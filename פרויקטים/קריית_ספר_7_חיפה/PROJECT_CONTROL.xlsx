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וח בקרה" sheetId="1" state="visible" r:id="rId1"/>
    <sheet xmlns:r="http://schemas.openxmlformats.org/officeDocument/2006/relationships" name="מקורות" sheetId="2" state="visible" r:id="rId2"/>
    <sheet xmlns:r="http://schemas.openxmlformats.org/officeDocument/2006/relationships" name="ממצאים" sheetId="3" state="visible" r:id="rId3"/>
    <sheet xmlns:r="http://schemas.openxmlformats.org/officeDocument/2006/relationships" name="מסלולים" sheetId="4" state="visible" r:id="rId4"/>
    <sheet xmlns:r="http://schemas.openxmlformats.org/officeDocument/2006/relationships" name="משימות" sheetId="5" state="visible" r:id="rId5"/>
    <sheet xmlns:r="http://schemas.openxmlformats.org/officeDocument/2006/relationships" name="סיכונים ובעיות" sheetId="6" state="visible" r:id="rId6"/>
    <sheet xmlns:r="http://schemas.openxmlformats.org/officeDocument/2006/relationships" name="יומן שינויי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1" fillId="2" borderId="0" applyAlignment="1" pivotButton="0" quotePrefix="0" xfId="0">
      <alignment horizontal="right" vertical="top" wrapText="1"/>
    </xf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ources" displayName="Sources" ref="A1:I13" headerRowCount="1">
  <autoFilter ref="A1:I13"/>
  <tableColumns count="9">
    <tableColumn id="1" name="מזהה"/>
    <tableColumn id="2" name="כותרת"/>
    <tableColumn id="3" name="מפרסם"/>
    <tableColumn id="4" name="קישור"/>
    <tableColumn id="5" name="נשלף בתאריך"/>
    <tableColumn id="6" name="תאריך פרסום"/>
    <tableColumn id="7" name="רלוונטיות"/>
    <tableColumn id="8" name="סטטוס"/>
    <tableColumn id="9" name="מגבלות"/>
  </tableColumns>
  <tableStyleInfo name="TableStyleMedium2" showRowStripes="1"/>
</table>
</file>

<file path=xl/tables/table2.xml><?xml version="1.0" encoding="utf-8"?>
<table xmlns="http://schemas.openxmlformats.org/spreadsheetml/2006/main" id="2" name="Findings" displayName="Findings" ref="A1:E11" headerRowCount="1">
  <autoFilter ref="A1:E11"/>
  <tableColumns count="5">
    <tableColumn id="1" name="מזהה"/>
    <tableColumn id="2" name="ממצא"/>
    <tableColumn id="3" name="סיווג"/>
    <tableColumn id="4" name="מקור"/>
    <tableColumn id="5" name="הערה / מה לאמת"/>
  </tableColumns>
  <tableStyleInfo name="TableStyleMedium2" showRowStripes="1"/>
</table>
</file>

<file path=xl/tables/table3.xml><?xml version="1.0" encoding="utf-8"?>
<table xmlns="http://schemas.openxmlformats.org/spreadsheetml/2006/main" id="3" name="Routes" displayName="Routes" ref="A1:F5" headerRowCount="1">
  <autoFilter ref="A1:F5"/>
  <tableColumns count="6">
    <tableColumn id="1" name="מזהה"/>
    <tableColumn id="2" name="מסלול"/>
    <tableColumn id="3" name="תנאי סף"/>
    <tableColumn id="4" name="תלוי במשימות"/>
    <tableColumn id="5" name="סטטוס"/>
    <tableColumn id="6" name="הערה"/>
  </tableColumns>
  <tableStyleInfo name="TableStyleMedium2" showRowStripes="1"/>
</table>
</file>

<file path=xl/tables/table4.xml><?xml version="1.0" encoding="utf-8"?>
<table xmlns="http://schemas.openxmlformats.org/spreadsheetml/2006/main" id="4" name="Tasks" displayName="Tasks" ref="A1:I8" headerRowCount="1">
  <autoFilter ref="A1:I8"/>
  <tableColumns count="9">
    <tableColumn id="1" name="מזהה"/>
    <tableColumn id="2" name="משימה"/>
    <tableColumn id="3" name="תוצר"/>
    <tableColumn id="4" name="אחראי"/>
    <tableColumn id="5" name="יעד"/>
    <tableColumn id="6" name="תלוי ב"/>
    <tableColumn id="7" name="סטטוס"/>
    <tableColumn id="8" name="עדיפות"/>
    <tableColumn id="9" name="קריטריון סיום"/>
  </tableColumns>
  <tableStyleInfo name="TableStyleMedium2" showRowStripes="1"/>
</table>
</file>

<file path=xl/tables/table5.xml><?xml version="1.0" encoding="utf-8"?>
<table xmlns="http://schemas.openxmlformats.org/spreadsheetml/2006/main" id="5" name="Risks" displayName="Risks" ref="A1:J6" headerRowCount="1">
  <autoFilter ref="A1:J6"/>
  <tableColumns count="10">
    <tableColumn id="1" name="מזהה"/>
    <tableColumn id="2" name="סוג"/>
    <tableColumn id="3" name="סיבה"/>
    <tableColumn id="4" name="אירוע"/>
    <tableColumn id="5" name="השלכה"/>
    <tableColumn id="6" name="סבירות"/>
    <tableColumn id="7" name="השפעה"/>
    <tableColumn id="8" name="תגובה"/>
    <tableColumn id="9" name="אחראי"/>
    <tableColumn id="10" name="מקור"/>
  </tableColumns>
  <tableStyleInfo name="TableStyleMedium2" showRowStripes="1"/>
</table>
</file>

<file path=xl/tables/table6.xml><?xml version="1.0" encoding="utf-8"?>
<table xmlns="http://schemas.openxmlformats.org/spreadsheetml/2006/main" id="6" name="ChangeLog" displayName="ChangeLog" ref="A1:G2" headerRowCount="1">
  <autoFilter ref="A1:G2"/>
  <tableColumns count="7">
    <tableColumn id="1" name="תאריך"/>
    <tableColumn id="2" name="גיליון"/>
    <tableColumn id="3" name="רשומה"/>
    <tableColumn id="4" name="ערך קודם"/>
    <tableColumn id="5" name="ערך חדש / תיאור"/>
    <tableColumn id="6" name="מבצע"/>
    <tableColumn id="7" name="אסמכתא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פריט</t>
        </is>
      </c>
      <c r="B1" s="1" t="inlineStr">
        <is>
          <t>ערך</t>
        </is>
      </c>
    </row>
    <row r="2">
      <c r="A2" s="2" t="inlineStr">
        <is>
          <t>פרויקט</t>
        </is>
      </c>
      <c r="B2" s="3" t="inlineStr">
        <is>
          <t>קריית ספר 7, חיפה – בדיקת התחדשות עירונית</t>
        </is>
      </c>
    </row>
    <row r="3">
      <c r="A3" s="2" t="inlineStr">
        <is>
          <t>עודכן</t>
        </is>
      </c>
      <c r="B3" s="3" t="inlineStr">
        <is>
          <t>2026-10-10</t>
        </is>
      </c>
    </row>
    <row r="4">
      <c r="A4" s="2" t="inlineStr">
        <is>
          <t>שער נוכחי</t>
        </is>
      </c>
      <c r="B4" s="3" t="inlineStr">
        <is>
          <t>G0 – לא הושג (חסרים מנדט, זיהוי חלקה ומקורות רשמיים)</t>
        </is>
      </c>
    </row>
    <row r="5">
      <c r="A5" s="2" t="inlineStr">
        <is>
          <t>מסלול מוביל (לא מאומת)</t>
        </is>
      </c>
      <c r="B5" s="3" t="inlineStr">
        <is>
          <t>חפ/2666 – תוכנית התחדשות בניינית חיפה</t>
        </is>
      </c>
    </row>
    <row r="6">
      <c r="A6" s="2" t="inlineStr">
        <is>
          <t>חסם עיקרי</t>
        </is>
      </c>
      <c r="B6" s="3" t="inlineStr">
        <is>
          <t>סטטוס חפ/2666 לא מאומת; סטטוס שימור ושנת בנייה לא ידועים</t>
        </is>
      </c>
    </row>
    <row r="7">
      <c r="A7" s="2" t="inlineStr">
        <is>
          <t>משימות פתוחות</t>
        </is>
      </c>
      <c r="B7" s="3">
        <f>COUNTIF(Tasks[סטטוס],"פתוח")+COUNTIF(Tasks[סטטוס],"בביצוע")</f>
        <v/>
      </c>
    </row>
    <row r="8">
      <c r="A8" s="2" t="inlineStr">
        <is>
          <t>משימות חסומות</t>
        </is>
      </c>
      <c r="B8" s="3">
        <f>COUNTIF(Tasks[סטטוס],"חסום")</f>
        <v/>
      </c>
    </row>
    <row r="9">
      <c r="A9" s="2" t="inlineStr">
        <is>
          <t>משימות שהושלמו</t>
        </is>
      </c>
      <c r="B9" s="3">
        <f>COUNTIF(Tasks[סטטוס],"הושלם")</f>
        <v/>
      </c>
    </row>
    <row r="10">
      <c r="A10" s="2" t="inlineStr">
        <is>
          <t>מקורות רשמיים מאומתים</t>
        </is>
      </c>
      <c r="B10" s="3">
        <f>COUNTIF(Sources[סטטוס],"מקור רשמי – אומת")</f>
        <v/>
      </c>
    </row>
    <row r="11">
      <c r="A11" s="2" t="inlineStr">
        <is>
          <t>הערה</t>
        </is>
      </c>
      <c r="B11" s="3" t="inlineStr">
        <is>
          <t>כל הממצאים מבוססים על חיפוש ברשת ואינם מהווים ראיה רשמית. אין להסתמך עליהם להחלטה או להתחייבות.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4" customWidth="1" min="3" max="3"/>
    <col width="40" customWidth="1" min="4" max="4"/>
    <col width="12" customWidth="1" min="5" max="5"/>
    <col width="16" customWidth="1" min="6" max="6"/>
    <col width="40" customWidth="1" min="7" max="7"/>
    <col width="20" customWidth="1" min="8" max="8"/>
    <col width="30" customWidth="1" min="9" max="9"/>
  </cols>
  <sheetData>
    <row r="1">
      <c r="A1" s="4" t="inlineStr">
        <is>
          <t>מזהה</t>
        </is>
      </c>
      <c r="B1" s="4" t="inlineStr">
        <is>
          <t>כותרת</t>
        </is>
      </c>
      <c r="C1" s="4" t="inlineStr">
        <is>
          <t>מפרסם</t>
        </is>
      </c>
      <c r="D1" s="4" t="inlineStr">
        <is>
          <t>קישור</t>
        </is>
      </c>
      <c r="E1" s="4" t="inlineStr">
        <is>
          <t>נשלף בתאריך</t>
        </is>
      </c>
      <c r="F1" s="4" t="inlineStr">
        <is>
          <t>תאריך פרסום</t>
        </is>
      </c>
      <c r="G1" s="4" t="inlineStr">
        <is>
          <t>רלוונטיות</t>
        </is>
      </c>
      <c r="H1" s="4" t="inlineStr">
        <is>
          <t>סטטוס</t>
        </is>
      </c>
      <c r="I1" s="4" t="inlineStr">
        <is>
          <t>מגבלות</t>
        </is>
      </c>
    </row>
    <row r="2">
      <c r="A2" s="3" t="inlineStr">
        <is>
          <t>S-001</t>
        </is>
      </c>
      <c r="B2" s="3" t="inlineStr">
        <is>
          <t>תמ"א 38 פקעה, התכנית החדשה עוד לא קמה: המלכוד שמשתק את חיפה</t>
        </is>
      </c>
      <c r="C2" s="3" t="inlineStr">
        <is>
          <t>ביזפורטל</t>
        </is>
      </c>
      <c r="D2" s="3" t="inlineStr">
        <is>
          <t>https://www.bizportal.co.il/marketopionion/news/article/20034000</t>
        </is>
      </c>
      <c r="E2" s="3" t="inlineStr">
        <is>
          <t>2026-10-10</t>
        </is>
      </c>
      <c r="F2" s="3" t="inlineStr">
        <is>
          <t>יוני 2026 (לפי תקציר חיפוש)</t>
        </is>
      </c>
      <c r="G2" s="3" t="inlineStr">
        <is>
          <t>פקיעת תמ"א 38 בחיפה 18.5.2026; חפ/2666 הופקדה ולא בתוקף</t>
        </is>
      </c>
      <c r="H2" s="3" t="inlineStr">
        <is>
          <t>ליד משני – לא אומת</t>
        </is>
      </c>
      <c r="I2" s="3" t="inlineStr">
        <is>
          <t>נקרא תקציר חיפוש בלבד; הדף עצמו חסום</t>
        </is>
      </c>
    </row>
    <row r="3">
      <c r="A3" s="3" t="inlineStr">
        <is>
          <t>S-002</t>
        </is>
      </c>
      <c r="B3" s="3" t="inlineStr">
        <is>
          <t>כ-30 אלף דירות חדשות וממוגנות בחיפה – תוכנית להתחדשות כלל-עירונית</t>
        </is>
      </c>
      <c r="C3" s="3" t="inlineStr">
        <is>
          <t>חי פה</t>
        </is>
      </c>
      <c r="D3" s="3" t="inlineStr">
        <is>
          <t>https://haipo.co.il/item/621416</t>
        </is>
      </c>
      <c r="E3" s="3" t="inlineStr">
        <is>
          <t>2026-10-10</t>
        </is>
      </c>
      <c r="F3" s="3" t="inlineStr">
        <is>
          <t>לא ידוע</t>
        </is>
      </c>
      <c r="G3" s="3" t="inlineStr">
        <is>
          <t>הוועדה המחוזית החליטה להפקיד את חפ/2666</t>
        </is>
      </c>
      <c r="H3" s="3" t="inlineStr">
        <is>
          <t>ליד משני – לא אומת</t>
        </is>
      </c>
      <c r="I3" s="3" t="inlineStr">
        <is>
          <t>תקציר חיפוש בלבד</t>
        </is>
      </c>
    </row>
    <row r="4">
      <c r="A4" s="3" t="inlineStr">
        <is>
          <t>S-003</t>
        </is>
      </c>
      <c r="B4" s="3" t="inlineStr">
        <is>
          <t>תושבי חיפה יוכלו לחדש את הבניינים שנבנו לפני 1984 – אושרה התוכנית</t>
        </is>
      </c>
      <c r="C4" s="3" t="inlineStr">
        <is>
          <t>מגדילים</t>
        </is>
      </c>
      <c r="D4" s="3" t="inlineStr">
        <is>
          <t>https://magdilim.co.il/120420261341/</t>
        </is>
      </c>
      <c r="E4" s="3" t="inlineStr">
        <is>
          <t>2026-10-10</t>
        </is>
      </c>
      <c r="F4" s="3" t="inlineStr">
        <is>
          <t>לא ידוע</t>
        </is>
      </c>
      <c r="G4" s="3" t="inlineStr">
        <is>
          <t>הכותרת אומרת 'אושרה' – סותר את S-001</t>
        </is>
      </c>
      <c r="H4" s="3" t="inlineStr">
        <is>
          <t>ליד משני – לא אומת</t>
        </is>
      </c>
      <c r="I4" s="3" t="inlineStr">
        <is>
          <t>לא ברור אם 'אושרה' = להפקדה או מתן תוקף</t>
        </is>
      </c>
    </row>
    <row r="5">
      <c r="A5" s="3" t="inlineStr">
        <is>
          <t>S-004</t>
        </is>
      </c>
      <c r="B5" s="3" t="inlineStr">
        <is>
          <t>פוטנציאל ל-30 אלף דירות: תוכנית ההתחדשות הבניינית של חיפה הופקדה להתנגדויות</t>
        </is>
      </c>
      <c r="C5" s="3" t="inlineStr">
        <is>
          <t>מרכז הנדל"ן</t>
        </is>
      </c>
      <c r="D5" s="3" t="inlineStr">
        <is>
          <t>https://www.nadlancenter.co.il/article/14876</t>
        </is>
      </c>
      <c r="E5" s="3" t="inlineStr">
        <is>
          <t>2026-10-10</t>
        </is>
      </c>
      <c r="F5" s="3" t="inlineStr">
        <is>
          <t>לא ידוע</t>
        </is>
      </c>
      <c r="G5" s="3" t="inlineStr">
        <is>
          <t>הפקדה להתנגדויות</t>
        </is>
      </c>
      <c r="H5" s="3" t="inlineStr">
        <is>
          <t>ליד משני – לא אומת</t>
        </is>
      </c>
      <c r="I5" s="3" t="inlineStr">
        <is>
          <t>הדף חסום; תקציר חיפוש בלבד</t>
        </is>
      </c>
    </row>
    <row r="6">
      <c r="A6" s="3" t="inlineStr">
        <is>
          <t>S-005</t>
        </is>
      </c>
      <c r="B6" s="3" t="inlineStr">
        <is>
          <t>חיפה נמנעת מלאשר תוכנית שימור, ואלפי יח"ד ותיקות נגרעו מתכנית ההתחדשות</t>
        </is>
      </c>
      <c r="C6" s="3" t="inlineStr">
        <is>
          <t>מרכז הנדל"ן</t>
        </is>
      </c>
      <c r="D6" s="3" t="inlineStr">
        <is>
          <t>https://www.nadlancenter.co.il/article/14139</t>
        </is>
      </c>
      <c r="E6" s="3" t="inlineStr">
        <is>
          <t>2026-10-10</t>
        </is>
      </c>
      <c r="F6" s="3" t="inlineStr">
        <is>
          <t>לא ידוע</t>
        </is>
      </c>
      <c r="G6" s="3" t="inlineStr">
        <is>
          <t>מעל 1,100 בניינים, בעיקר בכרמל, הוחרגו בגלל שימור</t>
        </is>
      </c>
      <c r="H6" s="3" t="inlineStr">
        <is>
          <t>ליד משני – לא אומת</t>
        </is>
      </c>
      <c r="I6" s="3" t="inlineStr">
        <is>
          <t>תקציר חיפוש בלבד</t>
        </is>
      </c>
    </row>
    <row r="7">
      <c r="A7" s="3" t="inlineStr">
        <is>
          <t>S-006</t>
        </is>
      </c>
      <c r="B7" s="3" t="inlineStr">
        <is>
          <t>תוספת של 30 עד 60 אלף דירות: התוכנית שתחליף את תמ"א 38 בחיפה נחשפת</t>
        </is>
      </c>
      <c r="C7" s="3" t="inlineStr">
        <is>
          <t>מרכז הנדל"ן</t>
        </is>
      </c>
      <c r="D7" s="3" t="inlineStr">
        <is>
          <t>https://www.nadlancenter.co.il/article/11356</t>
        </is>
      </c>
      <c r="E7" s="3" t="inlineStr">
        <is>
          <t>2026-10-10</t>
        </is>
      </c>
      <c r="F7" s="3" t="inlineStr">
        <is>
          <t>לא ידוע</t>
        </is>
      </c>
      <c r="G7" s="3" t="inlineStr">
        <is>
          <t>עד 7 קומות; 11–22 יח"ד לדונם</t>
        </is>
      </c>
      <c r="H7" s="3" t="inlineStr">
        <is>
          <t>ליד משני – לא אומת</t>
        </is>
      </c>
      <c r="I7" s="3" t="inlineStr">
        <is>
          <t>שלב מוקדם של התוכנית; ייתכן שהשתנה</t>
        </is>
      </c>
    </row>
    <row r="8">
      <c r="A8" s="3" t="inlineStr">
        <is>
          <t>S-007</t>
        </is>
      </c>
      <c r="B8" s="3" t="inlineStr">
        <is>
          <t>אושרה להפקדה תוכנית ההתחדשות העירונית החדשה של חיפה</t>
        </is>
      </c>
      <c r="C8" s="3" t="inlineStr">
        <is>
          <t>כלבו</t>
        </is>
      </c>
      <c r="D8" s="3" t="inlineStr">
        <is>
          <t>https://www.colbonews.co.il/real-estate/212055/</t>
        </is>
      </c>
      <c r="E8" s="3" t="inlineStr">
        <is>
          <t>2026-10-10</t>
        </is>
      </c>
      <c r="F8" s="3" t="inlineStr">
        <is>
          <t>לא ידוע</t>
        </is>
      </c>
      <c r="G8" s="3" t="inlineStr">
        <is>
          <t>אישור להפקדה</t>
        </is>
      </c>
      <c r="H8" s="3" t="inlineStr">
        <is>
          <t>ליד משני – לא אומת</t>
        </is>
      </c>
      <c r="I8" s="3" t="inlineStr">
        <is>
          <t>תקציר חיפוש בלבד</t>
        </is>
      </c>
    </row>
    <row r="9">
      <c r="A9" s="3" t="inlineStr">
        <is>
          <t>S-008</t>
        </is>
      </c>
      <c r="B9" s="3" t="inlineStr">
        <is>
          <t>תיקיית חפ/2666 – תוכנית התחדשות בניינית – שמבור</t>
        </is>
      </c>
      <c r="C9" s="3" t="inlineStr">
        <is>
          <t>dexytech</t>
        </is>
      </c>
      <c r="D9" s="3" t="inlineStr">
        <is>
          <t>https://www.dexytech.com/%D7%97%D7%A42666</t>
        </is>
      </c>
      <c r="E9" s="3" t="inlineStr">
        <is>
          <t>2026-10-10</t>
        </is>
      </c>
      <c r="F9" s="3" t="inlineStr">
        <is>
          <t>לא ידוע</t>
        </is>
      </c>
      <c r="G9" s="3" t="inlineStr">
        <is>
          <t>קשר בין חפ/2666 לשכונת שמבור</t>
        </is>
      </c>
      <c r="H9" s="3" t="inlineStr">
        <is>
          <t>ליד משני – לא אומת</t>
        </is>
      </c>
      <c r="I9" s="3" t="inlineStr">
        <is>
          <t>אתר צד שלישי; לא נקרא</t>
        </is>
      </c>
    </row>
    <row r="10">
      <c r="A10" s="3" t="inlineStr">
        <is>
          <t>S-009</t>
        </is>
      </c>
      <c r="B10" s="3" t="inlineStr">
        <is>
          <t>מודעת נכס ברחוב קריית ספר</t>
        </is>
      </c>
      <c r="C10" s="3" t="inlineStr">
        <is>
          <t>מדלן</t>
        </is>
      </c>
      <c r="D10" s="3" t="inlineStr">
        <is>
          <t>https://www.madlan.co.il/listings/CRQvQ4uFYN4</t>
        </is>
      </c>
      <c r="E10" s="3" t="inlineStr">
        <is>
          <t>2026-10-10</t>
        </is>
      </c>
      <c r="F10" s="3" t="inlineStr">
        <is>
          <t>לא ידוע</t>
        </is>
      </c>
      <c r="G10" s="3" t="inlineStr">
        <is>
          <t>הרחוב בשכונת אחוזה/שמבור</t>
        </is>
      </c>
      <c r="H10" s="3" t="inlineStr">
        <is>
          <t>ליד משני – לא אומת</t>
        </is>
      </c>
      <c r="I10" s="3" t="inlineStr">
        <is>
          <t>מודעה מסחרית; לא מאמת מספר בית</t>
        </is>
      </c>
    </row>
    <row r="11">
      <c r="A11" s="3" t="inlineStr">
        <is>
          <t>S-010</t>
        </is>
      </c>
      <c r="B11" s="3" t="inlineStr">
        <is>
          <t>מבא"ת – מערכת מידע תכנוני</t>
        </is>
      </c>
      <c r="C11" s="3" t="inlineStr">
        <is>
          <t>מינהל התכנון</t>
        </is>
      </c>
      <c r="D11" s="3" t="inlineStr">
        <is>
          <t>https://mavat.iplan.gov.il/</t>
        </is>
      </c>
      <c r="E11" s="3" t="inlineStr">
        <is>
          <t>2026-10-10</t>
        </is>
      </c>
      <c r="F11" s="3" t="inlineStr">
        <is>
          <t>—</t>
        </is>
      </c>
      <c r="G11" s="3" t="inlineStr">
        <is>
          <t>מקור רשמי לסטטוס חפ/2666 ולתב"עות החלות</t>
        </is>
      </c>
      <c r="H11" s="3" t="inlineStr">
        <is>
          <t>לא נגיש – חסום ברשת</t>
        </is>
      </c>
      <c r="I11" s="3" t="inlineStr">
        <is>
          <t>נדרש פתיחת דומיין</t>
        </is>
      </c>
    </row>
    <row r="12">
      <c r="A12" s="3" t="inlineStr">
        <is>
          <t>S-011</t>
        </is>
      </c>
      <c r="B12" s="3" t="inlineStr">
        <is>
          <t>GovMap – גוש/חלקה</t>
        </is>
      </c>
      <c r="C12" s="3" t="inlineStr">
        <is>
          <t>מפ"י</t>
        </is>
      </c>
      <c r="D12" s="3" t="inlineStr">
        <is>
          <t>https://www.govmap.gov.il/</t>
        </is>
      </c>
      <c r="E12" s="3" t="inlineStr">
        <is>
          <t>2026-10-10</t>
        </is>
      </c>
      <c r="F12" s="3" t="inlineStr">
        <is>
          <t>—</t>
        </is>
      </c>
      <c r="G12" s="3" t="inlineStr">
        <is>
          <t>זיהוי גוש וחלקה</t>
        </is>
      </c>
      <c r="H12" s="3" t="inlineStr">
        <is>
          <t>לא נגיש – חסום ברשת</t>
        </is>
      </c>
      <c r="I12" s="3" t="inlineStr">
        <is>
          <t>נדרש פתיחת דומיין</t>
        </is>
      </c>
    </row>
    <row r="13">
      <c r="A13" s="3" t="inlineStr">
        <is>
          <t>S-012</t>
        </is>
      </c>
      <c r="B13" s="3" t="inlineStr">
        <is>
          <t>עיריית חיפה – הנדסה / תיק בניין / מידע תכנוני</t>
        </is>
      </c>
      <c r="C13" s="3" t="inlineStr">
        <is>
          <t>עיריית חיפה</t>
        </is>
      </c>
      <c r="D13" s="3" t="inlineStr">
        <is>
          <t>https://www.haifa.muni.il/</t>
        </is>
      </c>
      <c r="E13" s="3" t="inlineStr">
        <is>
          <t>2026-10-10</t>
        </is>
      </c>
      <c r="F13" s="3" t="inlineStr">
        <is>
          <t>—</t>
        </is>
      </c>
      <c r="G13" s="3" t="inlineStr">
        <is>
          <t>תיק בניין, היתר מקורי, סטטוס שימור</t>
        </is>
      </c>
      <c r="H13" s="3" t="inlineStr">
        <is>
          <t>לא נגיש – חסום ברשת</t>
        </is>
      </c>
      <c r="I13" s="3" t="inlineStr">
        <is>
          <t>נדרש פתיחת דומיין או מסמכים מהלקוח</t>
        </is>
      </c>
    </row>
  </sheetData>
  <dataValidations count="1">
    <dataValidation sqref="H2:H500" showDropDown="0" showInputMessage="0" showErrorMessage="0" allowBlank="1" type="list">
      <formula1>"ליד משני – לא אומת,מקור רשמי – אומת,לא נגיש – חסום ברשת,הוחלף"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0" customWidth="1" min="3" max="3"/>
    <col width="18" customWidth="1" min="4" max="4"/>
    <col width="40" customWidth="1" min="5" max="5"/>
  </cols>
  <sheetData>
    <row r="1">
      <c r="A1" s="4" t="inlineStr">
        <is>
          <t>מזהה</t>
        </is>
      </c>
      <c r="B1" s="4" t="inlineStr">
        <is>
          <t>ממצא</t>
        </is>
      </c>
      <c r="C1" s="4" t="inlineStr">
        <is>
          <t>סיווג</t>
        </is>
      </c>
      <c r="D1" s="4" t="inlineStr">
        <is>
          <t>מקור</t>
        </is>
      </c>
      <c r="E1" s="4" t="inlineStr">
        <is>
          <t>הערה / מה לאמת</t>
        </is>
      </c>
    </row>
    <row r="2">
      <c r="A2" s="3" t="inlineStr">
        <is>
          <t>F-001</t>
        </is>
      </c>
      <c r="B2" s="3" t="inlineStr">
        <is>
          <t>הכתובת קריית ספר 7, חיפה</t>
        </is>
      </c>
      <c r="C2" s="3" t="inlineStr">
        <is>
          <t>נתון מהלקוח</t>
        </is>
      </c>
      <c r="D2" s="3" t="inlineStr">
        <is>
          <t>—</t>
        </is>
      </c>
      <c r="E2" s="3" t="inlineStr">
        <is>
          <t>גוש/חלקה לא ידועים</t>
        </is>
      </c>
    </row>
    <row r="3">
      <c r="A3" s="3" t="inlineStr">
        <is>
          <t>F-002</t>
        </is>
      </c>
      <c r="B3" s="3" t="inlineStr">
        <is>
          <t>הרחוב נמצא בשכונת אחוזה (שמבור), הכרמל</t>
        </is>
      </c>
      <c r="C3" s="3" t="inlineStr">
        <is>
          <t>ליד משני</t>
        </is>
      </c>
      <c r="D3" s="3" t="inlineStr">
        <is>
          <t>S-009</t>
        </is>
      </c>
      <c r="E3" s="3" t="inlineStr">
        <is>
          <t>לאמת ב-GovMap</t>
        </is>
      </c>
    </row>
    <row r="4">
      <c r="A4" s="3" t="inlineStr">
        <is>
          <t>F-003</t>
        </is>
      </c>
      <c r="B4" s="3" t="inlineStr">
        <is>
          <t>תמ"א 38 פקעה בחיפה ב-18.5.2026</t>
        </is>
      </c>
      <c r="C4" s="3" t="inlineStr">
        <is>
          <t>ליד משני</t>
        </is>
      </c>
      <c r="D4" s="3" t="inlineStr">
        <is>
          <t>S-001</t>
        </is>
      </c>
      <c r="E4" s="3" t="inlineStr">
        <is>
          <t>לאמת במקור רשמי</t>
        </is>
      </c>
    </row>
    <row r="5">
      <c r="A5" s="3" t="inlineStr">
        <is>
          <t>F-004</t>
        </is>
      </c>
      <c r="B5" s="3" t="inlineStr">
        <is>
          <t>חפ/2666 – תוכנית התחדשות בניינית כלל-עירונית, מחליפה את תמ"א 38</t>
        </is>
      </c>
      <c r="C5" s="3" t="inlineStr">
        <is>
          <t>ליד משני</t>
        </is>
      </c>
      <c r="D5" s="3" t="inlineStr">
        <is>
          <t>S-001, S-002, S-004</t>
        </is>
      </c>
      <c r="E5" s="3" t="inlineStr">
        <is>
          <t>מספר התוכנית לאמת במבא"ת</t>
        </is>
      </c>
    </row>
    <row r="6">
      <c r="A6" s="3" t="inlineStr">
        <is>
          <t>F-005</t>
        </is>
      </c>
      <c r="B6" s="3" t="inlineStr">
        <is>
          <t>חפ/2666 חלה על בנייני מגורים שנבנו לפני 1984 במגרש ביעוד מגורים</t>
        </is>
      </c>
      <c r="C6" s="3" t="inlineStr">
        <is>
          <t>ליד משני</t>
        </is>
      </c>
      <c r="D6" s="3" t="inlineStr">
        <is>
          <t>S-001, S-003</t>
        </is>
      </c>
      <c r="E6" s="3" t="inlineStr">
        <is>
          <t>לאמת בהוראות התוכנית</t>
        </is>
      </c>
    </row>
    <row r="7">
      <c r="A7" s="3" t="inlineStr">
        <is>
          <t>F-006</t>
        </is>
      </c>
      <c r="B7" s="3" t="inlineStr">
        <is>
          <t>שני מסלולים: הריסה ובנייה / חיזוק ותוספת; עד 7 קומות; 11–22 יח"ד לדונם</t>
        </is>
      </c>
      <c r="C7" s="3" t="inlineStr">
        <is>
          <t>ליד משני</t>
        </is>
      </c>
      <c r="D7" s="3" t="inlineStr">
        <is>
          <t>S-006</t>
        </is>
      </c>
      <c r="E7" s="3" t="inlineStr">
        <is>
          <t>נתונים משלב מוקדם – עלולים להשתנות</t>
        </is>
      </c>
    </row>
    <row r="8">
      <c r="A8" s="3" t="inlineStr">
        <is>
          <t>F-007</t>
        </is>
      </c>
      <c r="B8" s="3" t="inlineStr">
        <is>
          <t>נכון ליוני 2026 חפ/2666 הופקדה ולא קיבלה תוקף</t>
        </is>
      </c>
      <c r="C8" s="3" t="inlineStr">
        <is>
          <t>ליד משני – סותר</t>
        </is>
      </c>
      <c r="D8" s="3" t="inlineStr">
        <is>
          <t>S-001 מול S-003</t>
        </is>
      </c>
      <c r="E8" s="3" t="inlineStr">
        <is>
          <t>סטטוס נוכחי לא ידוע</t>
        </is>
      </c>
    </row>
    <row r="9">
      <c r="A9" s="3" t="inlineStr">
        <is>
          <t>F-008</t>
        </is>
      </c>
      <c r="B9" s="3" t="inlineStr">
        <is>
          <t>מעל 1,100 בניינים, בעיקר בכרמל, הוחרגו מחפ/2666 בגלל שימור</t>
        </is>
      </c>
      <c r="C9" s="3" t="inlineStr">
        <is>
          <t>ליד משני</t>
        </is>
      </c>
      <c r="D9" s="3" t="inlineStr">
        <is>
          <t>S-005</t>
        </is>
      </c>
      <c r="E9" s="3" t="inlineStr">
        <is>
          <t>לא ידוע אם הבניין בקריית ספר 7 ביניהם</t>
        </is>
      </c>
    </row>
    <row r="10">
      <c r="A10" s="3" t="inlineStr">
        <is>
          <t>F-009</t>
        </is>
      </c>
      <c r="B10" s="3" t="inlineStr">
        <is>
          <t>שנת בניית הבניין</t>
        </is>
      </c>
      <c r="C10" s="3" t="inlineStr">
        <is>
          <t>לא ידוע</t>
        </is>
      </c>
      <c r="D10" s="3" t="inlineStr">
        <is>
          <t>—</t>
        </is>
      </c>
      <c r="E10" s="3" t="inlineStr">
        <is>
          <t>קריטי לתחולת חפ/2666</t>
        </is>
      </c>
    </row>
    <row r="11">
      <c r="A11" s="3" t="inlineStr">
        <is>
          <t>F-010</t>
        </is>
      </c>
      <c r="B11" s="3" t="inlineStr">
        <is>
          <t>תפקיד הלקוח (בעל דירה / יזם / קבלן) והמנדט</t>
        </is>
      </c>
      <c r="C11" s="3" t="inlineStr">
        <is>
          <t>לא ידוע</t>
        </is>
      </c>
      <c r="D11" s="3" t="inlineStr">
        <is>
          <t>—</t>
        </is>
      </c>
      <c r="E11" s="3" t="inlineStr">
        <is>
          <t>לברר עם הלקוח</t>
        </is>
      </c>
    </row>
  </sheetData>
  <dataValidations count="1">
    <dataValidation sqref="C2:C500" showDropDown="0" showInputMessage="0" showErrorMessage="0" allowBlank="1" type="list">
      <formula1>"עובדה מאומתת,נתון מהלקוח,ליד משני,ליד משני – סותר,הנחה,לא ידוע"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50" customWidth="1" min="3" max="3"/>
    <col width="22" customWidth="1" min="4" max="4"/>
    <col width="14" customWidth="1" min="5" max="5"/>
    <col width="45" customWidth="1" min="6" max="6"/>
  </cols>
  <sheetData>
    <row r="1">
      <c r="A1" s="4" t="inlineStr">
        <is>
          <t>מזהה</t>
        </is>
      </c>
      <c r="B1" s="4" t="inlineStr">
        <is>
          <t>מסלול</t>
        </is>
      </c>
      <c r="C1" s="4" t="inlineStr">
        <is>
          <t>תנאי סף</t>
        </is>
      </c>
      <c r="D1" s="4" t="inlineStr">
        <is>
          <t>תלוי במשימות</t>
        </is>
      </c>
      <c r="E1" s="4" t="inlineStr">
        <is>
          <t>סטטוס</t>
        </is>
      </c>
      <c r="F1" s="4" t="inlineStr">
        <is>
          <t>הערה</t>
        </is>
      </c>
    </row>
    <row r="2">
      <c r="A2" s="3" t="inlineStr">
        <is>
          <t>R-1</t>
        </is>
      </c>
      <c r="B2" s="3" t="inlineStr">
        <is>
          <t>חפ/2666 – הריסה ובנייה מחדש</t>
        </is>
      </c>
      <c r="C2" s="3" t="inlineStr">
        <is>
          <t>חפ/2666 בתוקף; נבנה לפני 1984; לא הוחרג לשימור; יעוד מגורים</t>
        </is>
      </c>
      <c r="D2" s="3" t="inlineStr">
        <is>
          <t>T-001, T-002, T-003, T-004</t>
        </is>
      </c>
      <c r="E2" s="3" t="inlineStr">
        <is>
          <t>UNKNOWN</t>
        </is>
      </c>
      <c r="F2" s="3" t="inlineStr">
        <is>
          <t>מסלול מועדף אם התנאים מתקיימים – דורש הסכמת בעלים ושמאות</t>
        </is>
      </c>
    </row>
    <row r="3">
      <c r="A3" s="3" t="inlineStr">
        <is>
          <t>R-2</t>
        </is>
      </c>
      <c r="B3" s="3" t="inlineStr">
        <is>
          <t>חפ/2666 – חיזוק ותוספת בנייה</t>
        </is>
      </c>
      <c r="C3" s="3" t="inlineStr">
        <is>
          <t>אותם תנאים כמו R-1</t>
        </is>
      </c>
      <c r="D3" s="3" t="inlineStr">
        <is>
          <t>T-001, T-002, T-003, T-004</t>
        </is>
      </c>
      <c r="E3" s="3" t="inlineStr">
        <is>
          <t>UNKNOWN</t>
        </is>
      </c>
      <c r="F3" s="3" t="inlineStr">
        <is>
          <t>חלופה אם הריסה לא כדאית או לא מותרת</t>
        </is>
      </c>
    </row>
    <row r="4">
      <c r="A4" s="3" t="inlineStr">
        <is>
          <t>R-3</t>
        </is>
      </c>
      <c r="B4" s="3" t="inlineStr">
        <is>
          <t>פינוי-בינוי בתב"ע נפרדת</t>
        </is>
      </c>
      <c r="C4" s="3" t="inlineStr">
        <is>
          <t>מתחם מספק (בדרך כלל כמה בניינים); הסכמות בעלים; כדאיות</t>
        </is>
      </c>
      <c r="D4" s="3" t="inlineStr">
        <is>
          <t>T-001, T-006</t>
        </is>
      </c>
      <c r="E4" s="3" t="inlineStr">
        <is>
          <t>UNKNOWN</t>
        </is>
      </c>
      <c r="F4" s="3" t="inlineStr">
        <is>
          <t>מסלול ארוך; רלוונטי במיוחד אם הבניין הוחרג מחפ/2666</t>
        </is>
      </c>
    </row>
    <row r="5">
      <c r="A5" s="3" t="inlineStr">
        <is>
          <t>R-4</t>
        </is>
      </c>
      <c r="B5" s="3" t="inlineStr">
        <is>
          <t>חלופת שקד</t>
        </is>
      </c>
      <c r="C5" s="3" t="inlineStr">
        <is>
          <t>לא ידוע אם עדיין רלוונטית בחיפה</t>
        </is>
      </c>
      <c r="D5" s="3" t="inlineStr">
        <is>
          <t>T-003</t>
        </is>
      </c>
      <c r="E5" s="3" t="inlineStr">
        <is>
          <t>UNKNOWN</t>
        </is>
      </c>
      <c r="F5" s="3" t="inlineStr">
        <is>
          <t>כנראה לא רלוונטי – לאמת</t>
        </is>
      </c>
    </row>
  </sheetData>
  <dataValidations count="1">
    <dataValidation sqref="E2:E500" showDropDown="0" showInputMessage="0" showErrorMessage="0" allowBlank="1" type="list">
      <formula1>"COMPLIANT,NONCOMPLIANT,UNKNOWN,NOT_APPLICABLE_WITH_REASON"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32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30" customWidth="1" min="9" max="9"/>
  </cols>
  <sheetData>
    <row r="1">
      <c r="A1" s="4" t="inlineStr">
        <is>
          <t>מזהה</t>
        </is>
      </c>
      <c r="B1" s="4" t="inlineStr">
        <is>
          <t>משימה</t>
        </is>
      </c>
      <c r="C1" s="4" t="inlineStr">
        <is>
          <t>תוצר</t>
        </is>
      </c>
      <c r="D1" s="4" t="inlineStr">
        <is>
          <t>אחראי</t>
        </is>
      </c>
      <c r="E1" s="4" t="inlineStr">
        <is>
          <t>יעד</t>
        </is>
      </c>
      <c r="F1" s="4" t="inlineStr">
        <is>
          <t>תלוי ב</t>
        </is>
      </c>
      <c r="G1" s="4" t="inlineStr">
        <is>
          <t>סטטוס</t>
        </is>
      </c>
      <c r="H1" s="4" t="inlineStr">
        <is>
          <t>עדיפות</t>
        </is>
      </c>
      <c r="I1" s="4" t="inlineStr">
        <is>
          <t>קריטריון סיום</t>
        </is>
      </c>
    </row>
    <row r="2">
      <c r="A2" s="3" t="inlineStr">
        <is>
          <t>T-001</t>
        </is>
      </c>
      <c r="B2" s="3" t="inlineStr">
        <is>
          <t>להזמין תיק מידע מהוועדה המקומית חיפה / לשלוף תב"עות חלות</t>
        </is>
      </c>
      <c r="C2" s="3" t="inlineStr">
        <is>
          <t>תיק מידע או רשימת תוכניות חלות</t>
        </is>
      </c>
      <c r="D2" s="3" t="inlineStr">
        <is>
          <t>בעלים או אדריכל מטעמם</t>
        </is>
      </c>
      <c r="E2" s="3" t="inlineStr">
        <is>
          <t>לא ידוע</t>
        </is>
      </c>
      <c r="F2" s="3" t="inlineStr">
        <is>
          <t>T-005</t>
        </is>
      </c>
      <c r="G2" s="3" t="inlineStr">
        <is>
          <t>פתוח</t>
        </is>
      </c>
      <c r="H2" s="3" t="inlineStr">
        <is>
          <t>גבוהה</t>
        </is>
      </c>
      <c r="I2" s="3" t="inlineStr">
        <is>
          <t>תיק מידע בתיקיית הפרויקט</t>
        </is>
      </c>
    </row>
    <row r="3">
      <c r="A3" s="3" t="inlineStr">
        <is>
          <t>T-002</t>
        </is>
      </c>
      <c r="B3" s="3" t="inlineStr">
        <is>
          <t>לברר שנת בנייה והיתר מקורי מתיק הבניין</t>
        </is>
      </c>
      <c r="C3" s="3" t="inlineStr">
        <is>
          <t>צילום היתר + תוכנית מאושרת</t>
        </is>
      </c>
      <c r="D3" s="3" t="inlineStr">
        <is>
          <t>בעלים / עורך בקשה</t>
        </is>
      </c>
      <c r="E3" s="3" t="inlineStr">
        <is>
          <t>לא ידוע</t>
        </is>
      </c>
      <c r="F3" s="3" t="inlineStr"/>
      <c r="G3" s="3" t="inlineStr">
        <is>
          <t>פתוח</t>
        </is>
      </c>
      <c r="H3" s="3" t="inlineStr">
        <is>
          <t>גבוהה</t>
        </is>
      </c>
      <c r="I3" s="3" t="inlineStr">
        <is>
          <t>היתר מקורי בתיקיית הפרויקט</t>
        </is>
      </c>
    </row>
    <row r="4">
      <c r="A4" s="3" t="inlineStr">
        <is>
          <t>T-003</t>
        </is>
      </c>
      <c r="B4" s="3" t="inlineStr">
        <is>
          <t>לאמת סטטוס עדכני של חפ/2666 (הפקדה / מתן תוקף) והוראותיה</t>
        </is>
      </c>
      <c r="C4" s="3" t="inlineStr">
        <is>
          <t>הוראות התוכנית + פרסום ברשומות</t>
        </is>
      </c>
      <c r="D4" s="3" t="inlineStr">
        <is>
          <t>Claude (לאחר פתיחת גישה) / הלקוח</t>
        </is>
      </c>
      <c r="E4" s="3" t="inlineStr">
        <is>
          <t>לא ידוע</t>
        </is>
      </c>
      <c r="F4" s="3" t="inlineStr">
        <is>
          <t>T-007</t>
        </is>
      </c>
      <c r="G4" s="3" t="inlineStr">
        <is>
          <t>חסום</t>
        </is>
      </c>
      <c r="H4" s="3" t="inlineStr">
        <is>
          <t>גבוהה</t>
        </is>
      </c>
      <c r="I4" s="3" t="inlineStr">
        <is>
          <t>קישור/קובץ ממבא"ת</t>
        </is>
      </c>
    </row>
    <row r="5">
      <c r="A5" s="3" t="inlineStr">
        <is>
          <t>T-004</t>
        </is>
      </c>
      <c r="B5" s="3" t="inlineStr">
        <is>
          <t>לבדוק אם הבניין ברשימת המבנים המוחרגים בגלל שימור</t>
        </is>
      </c>
      <c r="C5" s="3" t="inlineStr">
        <is>
          <t>אישור סטטוס שימור</t>
        </is>
      </c>
      <c r="D5" s="3" t="inlineStr">
        <is>
          <t>אדריכל / מחלקת שימור בעירייה</t>
        </is>
      </c>
      <c r="E5" s="3" t="inlineStr">
        <is>
          <t>לא ידוע</t>
        </is>
      </c>
      <c r="F5" s="3" t="inlineStr">
        <is>
          <t>T-001</t>
        </is>
      </c>
      <c r="G5" s="3" t="inlineStr">
        <is>
          <t>פתוח</t>
        </is>
      </c>
      <c r="H5" s="3" t="inlineStr">
        <is>
          <t>גבוהה</t>
        </is>
      </c>
      <c r="I5" s="3" t="inlineStr">
        <is>
          <t>מסמך מהעירייה או מהתוכנית</t>
        </is>
      </c>
    </row>
    <row r="6">
      <c r="A6" s="3" t="inlineStr">
        <is>
          <t>T-005</t>
        </is>
      </c>
      <c r="B6" s="3" t="inlineStr">
        <is>
          <t>לזהות גוש וחלקה</t>
        </is>
      </c>
      <c r="C6" s="3" t="inlineStr">
        <is>
          <t>גוש/חלקה מאומתים</t>
        </is>
      </c>
      <c r="D6" s="3" t="inlineStr">
        <is>
          <t>Claude (GovMap) / הלקוח</t>
        </is>
      </c>
      <c r="E6" s="3" t="inlineStr">
        <is>
          <t>לא ידוע</t>
        </is>
      </c>
      <c r="F6" s="3" t="inlineStr">
        <is>
          <t>T-007</t>
        </is>
      </c>
      <c r="G6" s="3" t="inlineStr">
        <is>
          <t>חסום</t>
        </is>
      </c>
      <c r="H6" s="3" t="inlineStr">
        <is>
          <t>בינונית</t>
        </is>
      </c>
      <c r="I6" s="3" t="inlineStr">
        <is>
          <t>צילום מסך/נסח</t>
        </is>
      </c>
    </row>
    <row r="7">
      <c r="A7" s="3" t="inlineStr">
        <is>
          <t>T-006</t>
        </is>
      </c>
      <c r="B7" s="3" t="inlineStr">
        <is>
          <t>לברר תפקיד הלקוח, מטרה ומנדט</t>
        </is>
      </c>
      <c r="C7" s="3" t="inlineStr">
        <is>
          <t>מנדט כתוב</t>
        </is>
      </c>
      <c r="D7" s="3" t="inlineStr">
        <is>
          <t>הלקוח</t>
        </is>
      </c>
      <c r="E7" s="3" t="inlineStr">
        <is>
          <t>לא ידוע</t>
        </is>
      </c>
      <c r="F7" s="3" t="inlineStr"/>
      <c r="G7" s="3" t="inlineStr">
        <is>
          <t>פתוח</t>
        </is>
      </c>
      <c r="H7" s="3" t="inlineStr">
        <is>
          <t>גבוהה</t>
        </is>
      </c>
      <c r="I7" s="3" t="inlineStr">
        <is>
          <t>תשובת הלקוח</t>
        </is>
      </c>
    </row>
    <row r="8">
      <c r="A8" s="3" t="inlineStr">
        <is>
          <t>T-007</t>
        </is>
      </c>
      <c r="B8" s="3" t="inlineStr">
        <is>
          <t>לפתוח גישת רשת לאתרי התכנון</t>
        </is>
      </c>
      <c r="C8" s="3" t="inlineStr">
        <is>
          <t>גישה ל-mavat, ags.iplan, govmap, haifa.muni</t>
        </is>
      </c>
      <c r="D8" s="3" t="inlineStr">
        <is>
          <t>הלקוח (הגדרות סביבה)</t>
        </is>
      </c>
      <c r="E8" s="3" t="inlineStr">
        <is>
          <t>לא ידוע</t>
        </is>
      </c>
      <c r="F8" s="3" t="inlineStr"/>
      <c r="G8" s="3" t="inlineStr">
        <is>
          <t>פתוח</t>
        </is>
      </c>
      <c r="H8" s="3" t="inlineStr">
        <is>
          <t>גבוהה</t>
        </is>
      </c>
      <c r="I8" s="3" t="inlineStr">
        <is>
          <t>בדיקת גישה מוצלחת</t>
        </is>
      </c>
    </row>
  </sheetData>
  <conditionalFormatting sqref="A2:I500">
    <cfRule type="expression" priority="1" dxfId="0">
      <formula>$G2="חסום"</formula>
    </cfRule>
  </conditionalFormatting>
  <dataValidations count="2">
    <dataValidation sqref="G2:G500" showDropDown="0" showInputMessage="0" showErrorMessage="0" allowBlank="1" type="list">
      <formula1>"פתוח,בביצוע,חסום,הושלם,בוטל"</formula1>
    </dataValidation>
    <dataValidation sqref="H2:H500" showDropDown="0" showInputMessage="0" showErrorMessage="0" allowBlank="1" type="list">
      <formula1>"גבוהה,בינונית,נמוכה"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28" customWidth="1" min="4" max="4"/>
    <col width="32" customWidth="1" min="5" max="5"/>
    <col width="10" customWidth="1" min="6" max="6"/>
    <col width="10" customWidth="1" min="7" max="7"/>
    <col width="40" customWidth="1" min="8" max="8"/>
    <col width="12" customWidth="1" min="9" max="9"/>
    <col width="14" customWidth="1" min="10" max="10"/>
  </cols>
  <sheetData>
    <row r="1">
      <c r="A1" s="4" t="inlineStr">
        <is>
          <t>מזהה</t>
        </is>
      </c>
      <c r="B1" s="4" t="inlineStr">
        <is>
          <t>סוג</t>
        </is>
      </c>
      <c r="C1" s="4" t="inlineStr">
        <is>
          <t>סיבה</t>
        </is>
      </c>
      <c r="D1" s="4" t="inlineStr">
        <is>
          <t>אירוע</t>
        </is>
      </c>
      <c r="E1" s="4" t="inlineStr">
        <is>
          <t>השלכה</t>
        </is>
      </c>
      <c r="F1" s="4" t="inlineStr">
        <is>
          <t>סבירות</t>
        </is>
      </c>
      <c r="G1" s="4" t="inlineStr">
        <is>
          <t>השפעה</t>
        </is>
      </c>
      <c r="H1" s="4" t="inlineStr">
        <is>
          <t>תגובה</t>
        </is>
      </c>
      <c r="I1" s="4" t="inlineStr">
        <is>
          <t>אחראי</t>
        </is>
      </c>
      <c r="J1" s="4" t="inlineStr">
        <is>
          <t>מקור</t>
        </is>
      </c>
    </row>
    <row r="2">
      <c r="A2" s="3" t="inlineStr">
        <is>
          <t>K-001</t>
        </is>
      </c>
      <c r="B2" s="3" t="inlineStr">
        <is>
          <t>בעיה</t>
        </is>
      </c>
      <c r="C2" s="3" t="inlineStr">
        <is>
          <t>תמ"א 38 פקעה בחיפה</t>
        </is>
      </c>
      <c r="D2" s="3" t="inlineStr">
        <is>
          <t>אין מסלול תמ"א 38</t>
        </is>
      </c>
      <c r="E2" s="3" t="inlineStr">
        <is>
          <t>נדרש מסלול חלופי</t>
        </is>
      </c>
      <c r="F2" s="3" t="inlineStr">
        <is>
          <t>—</t>
        </is>
      </c>
      <c r="G2" s="3" t="inlineStr">
        <is>
          <t>—</t>
        </is>
      </c>
      <c r="H2" s="3" t="inlineStr">
        <is>
          <t>לבחון R-1 עד R-3</t>
        </is>
      </c>
      <c r="I2" s="3" t="inlineStr">
        <is>
          <t>Claude</t>
        </is>
      </c>
      <c r="J2" s="3" t="inlineStr">
        <is>
          <t>S-001</t>
        </is>
      </c>
    </row>
    <row r="3">
      <c r="A3" s="3" t="inlineStr">
        <is>
          <t>K-002</t>
        </is>
      </c>
      <c r="B3" s="3" t="inlineStr">
        <is>
          <t>סיכון</t>
        </is>
      </c>
      <c r="C3" s="3" t="inlineStr">
        <is>
          <t>חפ/2666 עדיין לא בתוקף או תשתנה בעקבות התנגדויות</t>
        </is>
      </c>
      <c r="D3" s="3" t="inlineStr">
        <is>
          <t>עיכוב או שינוי זכויות</t>
        </is>
      </c>
      <c r="E3" s="3" t="inlineStr">
        <is>
          <t>אי ודאות בלוח זמנים ובכדאיות</t>
        </is>
      </c>
      <c r="F3" s="3" t="inlineStr">
        <is>
          <t>בינונית</t>
        </is>
      </c>
      <c r="G3" s="3" t="inlineStr">
        <is>
          <t>גבוהה</t>
        </is>
      </c>
      <c r="H3" s="3" t="inlineStr">
        <is>
          <t>מעקב אחרי סטטוס התוכנית; לא להתחייב לזכויות לפני מתן תוקף</t>
        </is>
      </c>
      <c r="I3" s="3" t="inlineStr">
        <is>
          <t>Claude</t>
        </is>
      </c>
      <c r="J3" s="3" t="inlineStr">
        <is>
          <t>S-001, S-003</t>
        </is>
      </c>
    </row>
    <row r="4">
      <c r="A4" s="3" t="inlineStr">
        <is>
          <t>K-003</t>
        </is>
      </c>
      <c r="B4" s="3" t="inlineStr">
        <is>
          <t>סיכון</t>
        </is>
      </c>
      <c r="C4" s="3" t="inlineStr">
        <is>
          <t>הבניין הוחרג מחפ/2666 בגלל שימור</t>
        </is>
      </c>
      <c r="D4" s="3" t="inlineStr">
        <is>
          <t>התוכנית לא חלה על הבניין</t>
        </is>
      </c>
      <c r="E4" s="3" t="inlineStr">
        <is>
          <t>נדרש מסלול אחר (R-3) או הליך שימור</t>
        </is>
      </c>
      <c r="F4" s="3" t="inlineStr">
        <is>
          <t>לא ידוע</t>
        </is>
      </c>
      <c r="G4" s="3" t="inlineStr">
        <is>
          <t>גבוהה</t>
        </is>
      </c>
      <c r="H4" s="3" t="inlineStr">
        <is>
          <t>T-004</t>
        </is>
      </c>
      <c r="I4" s="3" t="inlineStr">
        <is>
          <t>אדריכל</t>
        </is>
      </c>
      <c r="J4" s="3" t="inlineStr">
        <is>
          <t>S-005</t>
        </is>
      </c>
    </row>
    <row r="5">
      <c r="A5" s="3" t="inlineStr">
        <is>
          <t>K-004</t>
        </is>
      </c>
      <c r="B5" s="3" t="inlineStr">
        <is>
          <t>סיכון</t>
        </is>
      </c>
      <c r="C5" s="3" t="inlineStr">
        <is>
          <t>הבניין נבנה אחרי 1984</t>
        </is>
      </c>
      <c r="D5" s="3" t="inlineStr">
        <is>
          <t>התוכנית לא חלה</t>
        </is>
      </c>
      <c r="E5" s="3" t="inlineStr">
        <is>
          <t>נדרש מסלול אחר</t>
        </is>
      </c>
      <c r="F5" s="3" t="inlineStr">
        <is>
          <t>לא ידוע</t>
        </is>
      </c>
      <c r="G5" s="3" t="inlineStr">
        <is>
          <t>גבוהה</t>
        </is>
      </c>
      <c r="H5" s="3" t="inlineStr">
        <is>
          <t>T-002</t>
        </is>
      </c>
      <c r="I5" s="3" t="inlineStr">
        <is>
          <t>בעלים</t>
        </is>
      </c>
      <c r="J5" s="3" t="inlineStr">
        <is>
          <t>S-001</t>
        </is>
      </c>
    </row>
    <row r="6">
      <c r="A6" s="3" t="inlineStr">
        <is>
          <t>K-005</t>
        </is>
      </c>
      <c r="B6" s="3" t="inlineStr">
        <is>
          <t>בעיה</t>
        </is>
      </c>
      <c r="C6" s="3" t="inlineStr">
        <is>
          <t>אין גישה למקורות רשמיים מהסביבה</t>
        </is>
      </c>
      <c r="D6" s="3" t="inlineStr">
        <is>
          <t>לא ניתן לאמת</t>
        </is>
      </c>
      <c r="E6" s="3" t="inlineStr">
        <is>
          <t>כל הממצאים נשארים 'לא מאומתים'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T-007 או מסמכים מהלקוח</t>
        </is>
      </c>
      <c r="I6" s="3" t="inlineStr">
        <is>
          <t>הלקוח</t>
        </is>
      </c>
      <c r="J6" s="3" t="inlineStr">
        <is>
          <t>S-010–S-012</t>
        </is>
      </c>
    </row>
  </sheetData>
  <dataValidations count="3">
    <dataValidation sqref="B2:B500" showDropDown="0" showInputMessage="0" showErrorMessage="0" allowBlank="1" type="list">
      <formula1>"סיכון,בעיה"</formula1>
    </dataValidation>
    <dataValidation sqref="F2:F500" showDropDown="0" showInputMessage="0" showErrorMessage="0" allowBlank="1" type="list">
      <formula1>"נמוכה,בינונית,גבוהה,לא ידוע,—"</formula1>
    </dataValidation>
    <dataValidation sqref="G2:G500" showDropDown="0" showInputMessage="0" showErrorMessage="0" allowBlank="1" type="list">
      <formula1>"נמוכה,בינונית,גבוהה,לא ידוע,—"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4" customWidth="1" min="4" max="4"/>
    <col width="40" customWidth="1" min="5" max="5"/>
    <col width="10" customWidth="1" min="6" max="6"/>
    <col width="24" customWidth="1" min="7" max="7"/>
  </cols>
  <sheetData>
    <row r="1">
      <c r="A1" s="4" t="inlineStr">
        <is>
          <t>תאריך</t>
        </is>
      </c>
      <c r="B1" s="4" t="inlineStr">
        <is>
          <t>גיליון</t>
        </is>
      </c>
      <c r="C1" s="4" t="inlineStr">
        <is>
          <t>רשומה</t>
        </is>
      </c>
      <c r="D1" s="4" t="inlineStr">
        <is>
          <t>ערך קודם</t>
        </is>
      </c>
      <c r="E1" s="4" t="inlineStr">
        <is>
          <t>ערך חדש / תיאור</t>
        </is>
      </c>
      <c r="F1" s="4" t="inlineStr">
        <is>
          <t>מבצע</t>
        </is>
      </c>
      <c r="G1" s="4" t="inlineStr">
        <is>
          <t>אסמכתא</t>
        </is>
      </c>
    </row>
    <row r="2">
      <c r="A2" s="3" t="inlineStr">
        <is>
          <t>2026-10-10</t>
        </is>
      </c>
      <c r="B2" s="3" t="inlineStr">
        <is>
          <t>כל הגיליונות</t>
        </is>
      </c>
      <c r="C2" s="3" t="inlineStr">
        <is>
          <t>—</t>
        </is>
      </c>
      <c r="D2" s="3" t="inlineStr">
        <is>
          <t>—</t>
        </is>
      </c>
      <c r="E2" s="3" t="inlineStr">
        <is>
          <t>יצירת קובץ ראשונית</t>
        </is>
      </c>
      <c r="F2" s="3" t="inlineStr">
        <is>
          <t>Claude</t>
        </is>
      </c>
      <c r="G2" s="3" t="inlineStr">
        <is>
          <t>בקשת הלקוח בשיחה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2026-10-10T11:10:45Z</dcterms:created>
  <dcterms:modified xmlns:dcterms="http://purl.org/dc/terms/" xmlns:xsi="http://www.w3.org/2001/XMLSchema-instance" xsi:type="dcterms:W3CDTF">2026-10-10T11:10:45Z</dcterms:modified>
</cp:coreProperties>
</file>