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הצעת מחיר" sheetId="1" state="visible" r:id="rId3"/>
    <sheet name="סיכום הצעה" sheetId="2" state="visible" r:id="rId4"/>
    <sheet name="בסיס תמחור" sheetId="3" state="visible" r:id="rId5"/>
    <sheet name="סקר שוק" sheetId="4" state="visible" r:id="rId6"/>
    <sheet name="הנחות והחרגות" sheetId="5" state="visible" r:id="rId7"/>
    <sheet name="שינויים מגרסה קודמת" sheetId="6" state="visible" r:id="rId8"/>
    <sheet name="מעקב כמויות" sheetId="7" state="visible" r:id="rId9"/>
  </sheets>
  <definedNames>
    <definedName function="false" hidden="false" localSheetId="0" name="_xlnm.Print_Titles" vbProcedure="false">'הצעת מחיר'!$4:$4</definedName>
    <definedName function="false" hidden="true" localSheetId="0" name="_xlnm._FilterDatabase" vbProcedure="false">'הצעת מחיר'!$A$4:$I$211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<sst xmlns="http://schemas.openxmlformats.org/spreadsheetml/2006/main" count="2197" uniqueCount="679">
  <si>
    <r>
      <rPr>
        <b val="true"/>
        <sz val="14"/>
        <rFont val="FreeSans"/>
        <family val="2"/>
      </rPr>
      <t xml:space="preserve">הצעת מחיר – שיפוץ ותוספות בבית ברחוב שלונסקי </t>
    </r>
    <r>
      <rPr>
        <b val="true"/>
        <sz val="14"/>
        <rFont val="Cambria"/>
        <family val="0"/>
        <charset val="1"/>
      </rPr>
      <t xml:space="preserve">53, </t>
    </r>
    <r>
      <rPr>
        <b val="true"/>
        <sz val="14"/>
        <rFont val="FreeSans"/>
        <family val="2"/>
      </rPr>
      <t xml:space="preserve">חיפה</t>
    </r>
  </si>
  <si>
    <r>
      <rPr>
        <sz val="11"/>
        <color theme="1"/>
        <rFont val="FreeSans"/>
        <family val="2"/>
      </rPr>
      <t xml:space="preserve">מחירים בש״ח לפני מע״מ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בסיס מחירים אוקטובר </t>
    </r>
    <r>
      <rPr>
        <sz val="11"/>
        <color theme="1"/>
        <rFont val="Calibri"/>
        <family val="2"/>
        <charset val="1"/>
      </rPr>
      <t xml:space="preserve">2026. </t>
    </r>
    <r>
      <rPr>
        <sz val="11"/>
        <color theme="1"/>
        <rFont val="FreeSans"/>
        <family val="2"/>
      </rPr>
      <t xml:space="preserve">מחירי היחידה הם אומדן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ראו גיליונות 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בסיס תמחור</t>
    </r>
    <r>
      <rPr>
        <sz val="11"/>
        <color theme="1"/>
        <rFont val="Calibri"/>
        <family val="2"/>
        <charset val="1"/>
      </rPr>
      <t xml:space="preserve">" </t>
    </r>
    <r>
      <rPr>
        <sz val="11"/>
        <color theme="1"/>
        <rFont val="FreeSans"/>
        <family val="2"/>
      </rPr>
      <t xml:space="preserve">ו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סקר שוק</t>
    </r>
    <r>
      <rPr>
        <sz val="11"/>
        <color theme="1"/>
        <rFont val="Calibri"/>
        <family val="2"/>
        <charset val="1"/>
      </rPr>
      <t xml:space="preserve">"). </t>
    </r>
    <r>
      <rPr>
        <sz val="11"/>
        <color theme="1"/>
        <rFont val="FreeSans"/>
        <family val="2"/>
      </rPr>
      <t xml:space="preserve">כמויות זמניות מסומנות ויתומדו לפי מדידה בפועל</t>
    </r>
    <r>
      <rPr>
        <sz val="11"/>
        <color theme="1"/>
        <rFont val="Calibri"/>
        <family val="2"/>
        <charset val="1"/>
      </rPr>
      <t xml:space="preserve">.</t>
    </r>
  </si>
  <si>
    <t xml:space="preserve">מס׳ סעיף</t>
  </si>
  <si>
    <t xml:space="preserve">שם הסעיף</t>
  </si>
  <si>
    <t xml:space="preserve">תיאור סעיף</t>
  </si>
  <si>
    <t xml:space="preserve">יחידה</t>
  </si>
  <si>
    <r>
      <rPr>
        <b val="true"/>
        <sz val="11"/>
        <color rgb="FFFFFFFF"/>
        <rFont val="FreeSans"/>
        <family val="2"/>
      </rPr>
      <t xml:space="preserve">כמות 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מהמסמכים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</si>
  <si>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FreeSans"/>
        <family val="2"/>
      </rPr>
      <t xml:space="preserve">כמות זמנית 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הנחה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</si>
  <si>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FreeSans"/>
        <family val="2"/>
      </rPr>
      <t xml:space="preserve">מחיר יחידה </t>
    </r>
    <r>
      <rPr>
        <b val="true"/>
        <sz val="11"/>
        <color rgb="FFFFFFFF"/>
        <rFont val="Cambria"/>
        <family val="0"/>
        <charset val="1"/>
      </rPr>
      <t xml:space="preserve">(₪)</t>
    </r>
  </si>
  <si>
    <r>
      <rPr>
        <b val="true"/>
        <sz val="11"/>
        <color rgb="FFFFFFFF"/>
        <rFont val="FreeSans"/>
        <family val="2"/>
      </rPr>
      <t xml:space="preserve">סה״כ </t>
    </r>
    <r>
      <rPr>
        <b val="true"/>
        <sz val="11"/>
        <color rgb="FFFFFFFF"/>
        <rFont val="Cambria"/>
        <family val="0"/>
        <charset val="1"/>
      </rPr>
      <t xml:space="preserve">(₪)</t>
    </r>
  </si>
  <si>
    <t xml:space="preserve">הערות</t>
  </si>
  <si>
    <r>
      <rPr>
        <b val="true"/>
        <sz val="11"/>
        <rFont val="FreeSans"/>
        <family val="2"/>
      </rPr>
      <t xml:space="preserve">פרק </t>
    </r>
    <r>
      <rPr>
        <b val="true"/>
        <sz val="11"/>
        <rFont val="Cambria"/>
        <family val="0"/>
        <charset val="1"/>
      </rPr>
      <t xml:space="preserve">01 — </t>
    </r>
    <r>
      <rPr>
        <b val="true"/>
        <sz val="11"/>
        <rFont val="FreeSans"/>
        <family val="2"/>
      </rPr>
      <t xml:space="preserve">הכנות והתארגנות לביצוע</t>
    </r>
  </si>
  <si>
    <t xml:space="preserve">01.01</t>
  </si>
  <si>
    <t xml:space="preserve">התארגנות אתר</t>
  </si>
  <si>
    <r>
      <rPr>
        <sz val="11"/>
        <color theme="1"/>
        <rFont val="FreeSans"/>
        <family val="2"/>
      </rPr>
      <t xml:space="preserve">התארגנות לביצוע עבודות השיפוץ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הקצאת אזורי עבודה ואחסון חומרים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הסדרת שירותים לעובדים ותיאום דרכי הגישה לעבודה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לתנאי האתר ולהנחיות המתכננת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סעיף זה אינו כולל את הגידור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החיבורים הזמניים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ההגנות ומכולת הפסולת המפורטים בנפרד</t>
    </r>
    <r>
      <rPr>
        <sz val="11"/>
        <color theme="1"/>
        <rFont val="Calibri"/>
        <family val="2"/>
        <charset val="1"/>
      </rPr>
      <t xml:space="preserve">.</t>
    </r>
  </si>
  <si>
    <t xml:space="preserve">קומפ׳</t>
  </si>
  <si>
    <t xml:space="preserve">01.02</t>
  </si>
  <si>
    <r>
      <rPr>
        <sz val="11"/>
        <color theme="1"/>
        <rFont val="FreeSans"/>
        <family val="2"/>
      </rPr>
      <t xml:space="preserve">גידור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שילוט ואמצעי בטיחות באתר</t>
    </r>
  </si>
  <si>
    <r>
      <rPr>
        <sz val="11"/>
        <color theme="1"/>
        <rFont val="FreeSans"/>
        <family val="2"/>
      </rPr>
      <t xml:space="preserve">הקמה והחזקה של גידור זמני מפח או מרשת תקנית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שילוט אתר ואזהרה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סימון אזורים מסוכנים ואמצעי הבטיחות הנדרשים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לאורך כל שלבי הביצוע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פירוק הגידור בתום הצורך</t>
    </r>
    <r>
      <rPr>
        <sz val="11"/>
        <color theme="1"/>
        <rFont val="Calibri"/>
        <family val="2"/>
        <charset val="1"/>
      </rPr>
      <t xml:space="preserve">.</t>
    </r>
  </si>
  <si>
    <t xml:space="preserve">01.03</t>
  </si>
  <si>
    <t xml:space="preserve">חיבור מים זמני</t>
  </si>
  <si>
    <r>
      <rPr>
        <sz val="11"/>
        <color theme="1"/>
        <rFont val="FreeSans"/>
        <family val="2"/>
      </rPr>
      <t xml:space="preserve">הסדרת חיבור מים זמני לצורכי ביצוע העבודות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חיבור למקור המים המאושר באתר ובדיקת תקינות החיבור</t>
    </r>
    <r>
      <rPr>
        <sz val="11"/>
        <color theme="1"/>
        <rFont val="Calibri"/>
        <family val="2"/>
        <charset val="1"/>
      </rPr>
      <t xml:space="preserve">.</t>
    </r>
  </si>
  <si>
    <t xml:space="preserve">01.04</t>
  </si>
  <si>
    <t xml:space="preserve">חיבור חשמל זמני</t>
  </si>
  <si>
    <r>
      <rPr>
        <sz val="11"/>
        <color theme="1"/>
        <rFont val="FreeSans"/>
        <family val="2"/>
      </rPr>
      <t xml:space="preserve">הסדרת חיבור חשמל זמני לצורכי ביצוע העבודות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באמצעות חשמלאי בעל רישיון מתאים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אמצעי ההגנה הנדרשים ובדיקת תקינות החיבור</t>
    </r>
    <r>
      <rPr>
        <sz val="11"/>
        <color theme="1"/>
        <rFont val="Calibri"/>
        <family val="2"/>
        <charset val="1"/>
      </rPr>
      <t xml:space="preserve">.</t>
    </r>
  </si>
  <si>
    <t xml:space="preserve">01.05</t>
  </si>
  <si>
    <t xml:space="preserve">הגנה על אלמנטים קיימים</t>
  </si>
  <si>
    <r>
      <rPr>
        <sz val="11"/>
        <color theme="1"/>
        <rFont val="FreeSans"/>
        <family val="2"/>
      </rPr>
      <t xml:space="preserve">ביצוע והחזקה של כיסויי הגנה לאלמנטים המיועדים להישאר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ריצופים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פתחים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חלונות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מדרגות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מעקות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קירות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ציוד וצמחייה לשימור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להיקף העבודה ולמצב הקיים</t>
    </r>
    <r>
      <rPr>
        <sz val="11"/>
        <color theme="1"/>
        <rFont val="Calibri"/>
        <family val="2"/>
        <charset val="1"/>
      </rPr>
      <t xml:space="preserve">.</t>
    </r>
  </si>
  <si>
    <t xml:space="preserve">01.06</t>
  </si>
  <si>
    <r>
      <rPr>
        <sz val="11"/>
        <color theme="1"/>
        <rFont val="FreeSans"/>
        <family val="2"/>
      </rPr>
      <t xml:space="preserve">מדידות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אימות וסימון בלייזר</t>
    </r>
  </si>
  <si>
    <r>
      <rPr>
        <sz val="11"/>
        <color theme="1"/>
        <rFont val="FreeSans"/>
        <family val="2"/>
      </rPr>
      <t xml:space="preserve">מדידת המבנה הקיים ואימות המידות מול תוכניות האדריכלות והמערכות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סימון מיקומי העבודות ומפלסי הביצוע באמצעות פלס לייזר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תיעוד המצב הקיים ודיווח על אי־התאמות לפני תחילת העבודה</t>
    </r>
    <r>
      <rPr>
        <sz val="11"/>
        <color theme="1"/>
        <rFont val="Calibri"/>
        <family val="2"/>
        <charset val="1"/>
      </rPr>
      <t xml:space="preserve">.</t>
    </r>
  </si>
  <si>
    <t xml:space="preserve">01.07</t>
  </si>
  <si>
    <t xml:space="preserve">מכולת פסולת והסדרת אזור ריכוז פסולת</t>
  </si>
  <si>
    <r>
      <rPr>
        <sz val="11"/>
        <color theme="1"/>
        <rFont val="FreeSans"/>
        <family val="2"/>
      </rPr>
      <t xml:space="preserve">הצבת מכולת פסולת והסדרת מקום לריכוז פסולת הבנייה באתר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לתנאי הגישה ולשלבי הביצוע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פינוי הפסולת לאתר מורשה מפורט בפרק ההריסות</t>
    </r>
    <r>
      <rPr>
        <sz val="11"/>
        <color theme="1"/>
        <rFont val="Calibri"/>
        <family val="2"/>
        <charset val="1"/>
      </rPr>
      <t xml:space="preserve">.</t>
    </r>
  </si>
  <si>
    <t xml:space="preserve">01.08</t>
  </si>
  <si>
    <t xml:space="preserve">ניקיון שוטף בתקופת הביצוע</t>
  </si>
  <si>
    <r>
      <rPr>
        <sz val="11"/>
        <color theme="1"/>
        <rFont val="FreeSans"/>
        <family val="2"/>
      </rPr>
      <t xml:space="preserve">ניקיון שוטף של שטחי העבודה והמעברים לאורך תקופת הביצוע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איסוף שאריות חומרים וריכוז הפסולת באזור המיועד לכך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לשמירת אתר מסודר ובטוח</t>
    </r>
    <r>
      <rPr>
        <sz val="11"/>
        <color theme="1"/>
        <rFont val="Calibri"/>
        <family val="2"/>
        <charset val="1"/>
      </rPr>
      <t xml:space="preserve">.</t>
    </r>
  </si>
  <si>
    <t xml:space="preserve">01.09</t>
  </si>
  <si>
    <t xml:space="preserve">פיגום חיצוני לחזיתות</t>
  </si>
  <si>
    <r>
      <rPr>
        <sz val="11"/>
        <color theme="1"/>
        <rFont val="FreeSans"/>
        <family val="2"/>
      </rPr>
      <t xml:space="preserve">הקמה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שכירות לתקופה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תחזוקה ופירוק של פיגום חיצוני תקני בהיקף החזיתות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לצורך ניסור ופירוק מסגרות הבטון הדקורטיביות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עבודות הפרפט וטיח החזיתות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כולל הגנות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רשת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אישור בודק ופיגום תקני לפי תקנות הבטיחות בעבודה</t>
    </r>
    <r>
      <rPr>
        <sz val="11"/>
        <color theme="1"/>
        <rFont val="Calibri"/>
        <family val="2"/>
        <charset val="1"/>
      </rPr>
      <t xml:space="preserve">.</t>
    </r>
  </si>
  <si>
    <t xml:space="preserve">מ״ר</t>
  </si>
  <si>
    <r>
      <rPr>
        <sz val="11"/>
        <color theme="1"/>
        <rFont val="FreeSans"/>
        <family val="2"/>
      </rPr>
      <t xml:space="preserve">כמות זמנית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FreeSans"/>
        <family val="2"/>
      </rPr>
      <t xml:space="preserve">שטח טיח החזיתות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כולל שכירות לכ</t>
    </r>
    <r>
      <rPr>
        <sz val="11"/>
        <color theme="1"/>
        <rFont val="Calibri"/>
        <family val="2"/>
        <charset val="1"/>
      </rPr>
      <t xml:space="preserve">-4.5 </t>
    </r>
    <r>
      <rPr>
        <sz val="11"/>
        <color theme="1"/>
        <rFont val="FreeSans"/>
        <family val="2"/>
      </rPr>
      <t xml:space="preserve">חודשים לפי לוח הזמנים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כמות זמנית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שטח חזיתות מטויחות </t>
    </r>
    <r>
      <rPr>
        <sz val="11"/>
        <color theme="1"/>
        <rFont val="Calibri"/>
        <family val="2"/>
        <charset val="1"/>
      </rPr>
      <t xml:space="preserve">(14.01); </t>
    </r>
    <r>
      <rPr>
        <sz val="11"/>
        <color theme="1"/>
        <rFont val="FreeSans"/>
        <family val="2"/>
      </rPr>
      <t xml:space="preserve">לאימות במדידה – תחשיב לפי מדידה בפועל</t>
    </r>
  </si>
  <si>
    <r>
      <rPr>
        <b val="true"/>
        <sz val="11"/>
        <rFont val="FreeSans"/>
        <family val="2"/>
      </rPr>
      <t xml:space="preserve">סה״כ פרק </t>
    </r>
    <r>
      <rPr>
        <b val="true"/>
        <sz val="11"/>
        <rFont val="Cambria"/>
        <family val="0"/>
        <charset val="1"/>
      </rPr>
      <t xml:space="preserve">01 — </t>
    </r>
    <r>
      <rPr>
        <b val="true"/>
        <sz val="11"/>
        <rFont val="FreeSans"/>
        <family val="2"/>
      </rPr>
      <t xml:space="preserve">הכנות והתארגנות לביצוע</t>
    </r>
  </si>
  <si>
    <r>
      <rPr>
        <b val="true"/>
        <sz val="11"/>
        <rFont val="FreeSans"/>
        <family val="2"/>
      </rPr>
      <t xml:space="preserve">פרק </t>
    </r>
    <r>
      <rPr>
        <b val="true"/>
        <sz val="11"/>
        <rFont val="Cambria"/>
        <family val="0"/>
        <charset val="1"/>
      </rPr>
      <t xml:space="preserve">02 — </t>
    </r>
    <r>
      <rPr>
        <b val="true"/>
        <sz val="11"/>
        <rFont val="FreeSans"/>
        <family val="2"/>
      </rPr>
      <t xml:space="preserve">הריסות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FreeSans"/>
        <family val="2"/>
      </rPr>
      <t xml:space="preserve">פירוקים ופינוי</t>
    </r>
  </si>
  <si>
    <t xml:space="preserve">02.01</t>
  </si>
  <si>
    <t xml:space="preserve">פירוק קירות ומחיצות במרתף</t>
  </si>
  <si>
    <r>
      <rPr>
        <sz val="11"/>
        <color theme="1"/>
        <rFont val="FreeSans"/>
        <family val="2"/>
      </rPr>
      <t xml:space="preserve">הריסה מבוקרת של כל הקירות והמחיצות המסומנים להריסה בקומת המרתף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לתוכנית ההריסה</t>
    </r>
    <r>
      <rPr>
        <sz val="11"/>
        <color theme="1"/>
        <rFont val="Calibri"/>
        <family val="2"/>
        <charset val="1"/>
      </rPr>
      <t xml:space="preserve">: 10 </t>
    </r>
    <r>
      <rPr>
        <sz val="11"/>
        <color theme="1"/>
        <rFont val="FreeSans"/>
        <family val="2"/>
      </rPr>
      <t xml:space="preserve">מ״ר קירות בלוקים ו־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FreeSans"/>
        <family val="2"/>
      </rPr>
      <t xml:space="preserve">מ״ר מחיצות גבס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אלמנטים נושאים – רק באישור קונסטרוקטור בכתב</t>
    </r>
    <r>
      <rPr>
        <sz val="11"/>
        <color theme="1"/>
        <rFont val="Calibri"/>
        <family val="2"/>
        <charset val="1"/>
      </rPr>
      <t xml:space="preserve">.</t>
    </r>
  </si>
  <si>
    <t xml:space="preserve">02.02</t>
  </si>
  <si>
    <t xml:space="preserve">פירוק קירות ומחיצות בקומת הקרקע</t>
  </si>
  <si>
    <r>
      <rPr>
        <sz val="11"/>
        <color theme="1"/>
        <rFont val="FreeSans"/>
        <family val="2"/>
      </rPr>
      <t xml:space="preserve">הריסה ופירוק מבוקרים של כל הקירות והמחיצות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בלוקים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בטון וגבס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המסומנים להריסה בקומת הקרקע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לתוכנית ההריסה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קירות בטון ואלמנטים נושאים – רק לאחר אישור הקונסטרוקטור בכתב</t>
    </r>
    <r>
      <rPr>
        <sz val="11"/>
        <color theme="1"/>
        <rFont val="Calibri"/>
        <family val="2"/>
        <charset val="1"/>
      </rPr>
      <t xml:space="preserve">.</t>
    </r>
  </si>
  <si>
    <t xml:space="preserve">02.03</t>
  </si>
  <si>
    <t xml:space="preserve">פירוק קירות ומחיצות בקומה א׳</t>
  </si>
  <si>
    <r>
      <rPr>
        <sz val="11"/>
        <color theme="1"/>
        <rFont val="FreeSans"/>
        <family val="2"/>
      </rPr>
      <t xml:space="preserve">הריסה ופירוק מבוקרים של כל הקירות והמחיצות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בלוקים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בטון וגבס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המסומנים להריסה בקומה א׳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לתוכנית ההריסה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כמות משוערת לפי התוכנית</t>
    </r>
    <r>
      <rPr>
        <sz val="11"/>
        <color theme="1"/>
        <rFont val="Calibri"/>
        <family val="2"/>
        <charset val="1"/>
      </rPr>
      <t xml:space="preserve">). </t>
    </r>
    <r>
      <rPr>
        <sz val="11"/>
        <color theme="1"/>
        <rFont val="FreeSans"/>
        <family val="2"/>
      </rPr>
      <t xml:space="preserve">קירות בטון ואלמנטים נושאים – רק לאחר אישור הקונסטרוקטור בכתב</t>
    </r>
    <r>
      <rPr>
        <sz val="11"/>
        <color theme="1"/>
        <rFont val="Calibri"/>
        <family val="2"/>
        <charset val="1"/>
      </rPr>
      <t xml:space="preserve">.</t>
    </r>
  </si>
  <si>
    <t xml:space="preserve">02.04</t>
  </si>
  <si>
    <t xml:space="preserve">פירוק תקרות גבס קיימות</t>
  </si>
  <si>
    <r>
      <rPr>
        <sz val="11"/>
        <color theme="1"/>
        <rFont val="FreeSans"/>
        <family val="2"/>
      </rPr>
      <t xml:space="preserve">פירוק תקרות גבס קיימות המיועדות להסרה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לוחות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פרופילים ומתלים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בתיאום עם בעלי המקצוע ולאחר ניתוק המערכות הרלוונטיות</t>
    </r>
    <r>
      <rPr>
        <sz val="11"/>
        <color theme="1"/>
        <rFont val="Calibri"/>
        <family val="2"/>
        <charset val="1"/>
      </rPr>
      <t xml:space="preserve">.</t>
    </r>
  </si>
  <si>
    <t xml:space="preserve">02.05</t>
  </si>
  <si>
    <t xml:space="preserve">פירוק ריצופים קיימים</t>
  </si>
  <si>
    <r>
      <rPr>
        <sz val="11"/>
        <color theme="1"/>
        <rFont val="FreeSans"/>
        <family val="2"/>
      </rPr>
      <t xml:space="preserve">פירוק ריצופים קיימים באזורים שיאושרו לביצוע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להחלטה משותפת בשטח ובהתחשב במצב הריצוף הקיים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היקף הפירוק ייקבע לפני תחילת העבודה</t>
    </r>
    <r>
      <rPr>
        <sz val="11"/>
        <color theme="1"/>
        <rFont val="Calibri"/>
        <family val="2"/>
        <charset val="1"/>
      </rPr>
      <t xml:space="preserve">.</t>
    </r>
  </si>
  <si>
    <t xml:space="preserve">02.06</t>
  </si>
  <si>
    <t xml:space="preserve">פירוק ארונות מטבח קיימים</t>
  </si>
  <si>
    <r>
      <rPr>
        <sz val="11"/>
        <color theme="1"/>
        <rFont val="FreeSans"/>
        <family val="2"/>
      </rPr>
      <t xml:space="preserve">פירוק ארונות מטבח קיימים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יחידות הארונות ורכיבי החיבור שלהן למבנה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בתיאום עם המזמין לגבי פריטים המיועדים לשימור</t>
    </r>
    <r>
      <rPr>
        <sz val="11"/>
        <color theme="1"/>
        <rFont val="Calibri"/>
        <family val="2"/>
        <charset val="1"/>
      </rPr>
      <t xml:space="preserve">.</t>
    </r>
  </si>
  <si>
    <t xml:space="preserve">02.07</t>
  </si>
  <si>
    <t xml:space="preserve">פירוק ארונות ונגרות קיימת אחרת</t>
  </si>
  <si>
    <r>
      <rPr>
        <sz val="11"/>
        <color theme="1"/>
        <rFont val="FreeSans"/>
        <family val="2"/>
      </rPr>
      <t xml:space="preserve">פירוק ארונות הלבשה ופריטי נגרות קיימים אחרים המיועדים להסרה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רכיבי החיבור למבנה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להחלטת המזמין בדבר שימור או פינוי</t>
    </r>
    <r>
      <rPr>
        <sz val="11"/>
        <color theme="1"/>
        <rFont val="Calibri"/>
        <family val="2"/>
        <charset val="1"/>
      </rPr>
      <t xml:space="preserve">.</t>
    </r>
  </si>
  <si>
    <t xml:space="preserve">יח׳</t>
  </si>
  <si>
    <t xml:space="preserve">02.08</t>
  </si>
  <si>
    <t xml:space="preserve">פירוק חלונות אלומיניום ותריסים קיימים – קומפלט</t>
  </si>
  <si>
    <r>
      <rPr>
        <sz val="11"/>
        <color theme="1"/>
        <rFont val="FreeSans"/>
        <family val="2"/>
      </rPr>
      <t xml:space="preserve">פירוק כל החלונות והתריסים הקיימים המיועדים להחלפה לפי תוכנית הבנייה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כנפיים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זיגוג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מסגרות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רכיבי הפעלה ועיגון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וניתוק הזנת תריסים חשמליים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תוך שמירה על הפתח</t>
    </r>
    <r>
      <rPr>
        <sz val="11"/>
        <color theme="1"/>
        <rFont val="Calibri"/>
        <family val="2"/>
        <charset val="1"/>
      </rPr>
      <t xml:space="preserve">.</t>
    </r>
  </si>
  <si>
    <t xml:space="preserve">02.09</t>
  </si>
  <si>
    <t xml:space="preserve">פירוק דלתות פנים וכניסה ומשקופים – קומפלט</t>
  </si>
  <si>
    <r>
      <rPr>
        <sz val="11"/>
        <color theme="1"/>
        <rFont val="FreeSans"/>
        <family val="2"/>
      </rPr>
      <t xml:space="preserve">פירוק כל הדלתות המסומנות בתוכניות ההריסה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כנפיים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משקופים ופרזול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ובתיאום הסדרת הגישה למבנה במהלך הביצוע</t>
    </r>
    <r>
      <rPr>
        <sz val="11"/>
        <color theme="1"/>
        <rFont val="Calibri"/>
        <family val="2"/>
        <charset val="1"/>
      </rPr>
      <t xml:space="preserve">.</t>
    </r>
  </si>
  <si>
    <t xml:space="preserve">02.10</t>
  </si>
  <si>
    <r>
      <rPr>
        <sz val="11"/>
        <color theme="1"/>
        <rFont val="FreeSans"/>
        <family val="2"/>
      </rPr>
      <t xml:space="preserve">פירוק חדרי רחצה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שירותים וכלים סניטריים – קומפלט</t>
    </r>
  </si>
  <si>
    <r>
      <rPr>
        <sz val="11"/>
        <color theme="1"/>
        <rFont val="FreeSans"/>
        <family val="2"/>
      </rPr>
      <t xml:space="preserve">פירוק מלא של חדרי הרחצה והשירותים הקיימים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אסלות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כיורים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אמבטיות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מקלחונים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ברזים וחיפויי קירות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ניתוק וסגירת חיבורי מים וביוב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לתוכניות ההריסה</t>
    </r>
    <r>
      <rPr>
        <sz val="11"/>
        <color theme="1"/>
        <rFont val="Calibri"/>
        <family val="2"/>
        <charset val="1"/>
      </rPr>
      <t xml:space="preserve">.</t>
    </r>
  </si>
  <si>
    <t xml:space="preserve">02.11</t>
  </si>
  <si>
    <r>
      <rPr>
        <sz val="11"/>
        <color theme="1"/>
        <rFont val="FreeSans"/>
        <family val="2"/>
      </rPr>
      <t xml:space="preserve">פירוק נקודות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אביזרי חשמל וגופי תאורה קיימים</t>
    </r>
  </si>
  <si>
    <r>
      <rPr>
        <sz val="11"/>
        <color theme="1"/>
        <rFont val="FreeSans"/>
        <family val="2"/>
      </rPr>
      <t xml:space="preserve">ניתוק ופירוק נקודות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שקעים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מפסקים וגופי תאורה קיימים המיועדים לביטול או להחלפה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באמצעות חשמלאי בעל רישיון מתאים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בתיאום עם המזמין לגבי פריטים לשימור</t>
    </r>
    <r>
      <rPr>
        <sz val="11"/>
        <color theme="1"/>
        <rFont val="Calibri"/>
        <family val="2"/>
        <charset val="1"/>
      </rPr>
      <t xml:space="preserve">.</t>
    </r>
  </si>
  <si>
    <t xml:space="preserve">02.12</t>
  </si>
  <si>
    <t xml:space="preserve">פירוק צנרת אינסטלציה גלויה קיימת</t>
  </si>
  <si>
    <r>
      <rPr>
        <sz val="11"/>
        <color theme="1"/>
        <rFont val="FreeSans"/>
        <family val="2"/>
      </rPr>
      <t xml:space="preserve">ניתוק ופירוק צנרת אינסטלציה גלויה המיועדת להסרה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אביזרי החיבור והקיבוע הרלוונטיים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לאחר זיהוי הקווים הפעילים וסגירת החיבורים הנדרשים</t>
    </r>
    <r>
      <rPr>
        <sz val="11"/>
        <color theme="1"/>
        <rFont val="Calibri"/>
        <family val="2"/>
        <charset val="1"/>
      </rPr>
      <t xml:space="preserve">.</t>
    </r>
  </si>
  <si>
    <t xml:space="preserve">02.13</t>
  </si>
  <si>
    <r>
      <rPr>
        <sz val="11"/>
        <color theme="1"/>
        <rFont val="FreeSans"/>
        <family val="2"/>
      </rPr>
      <t xml:space="preserve">פירוק יחידות מיזוג קיימות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פנים וחוץ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</si>
  <si>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ניתוק ופירוק יחידות מיזוג פנים וחוץ קיימות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בתיאום מוקדם עם המזמין לגבי יחידות תקינות לשימוש חוזר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חלקן מיועדות ליחידת המרתף</t>
    </r>
    <r>
      <rPr>
        <sz val="11"/>
        <color theme="1"/>
        <rFont val="Calibri"/>
        <family val="2"/>
        <charset val="1"/>
      </rPr>
      <t xml:space="preserve">), </t>
    </r>
    <r>
      <rPr>
        <sz val="11"/>
        <color theme="1"/>
        <rFont val="FreeSans"/>
        <family val="2"/>
      </rPr>
      <t xml:space="preserve">לרבות שמירתן לפי ההחלטה</t>
    </r>
    <r>
      <rPr>
        <sz val="11"/>
        <color theme="1"/>
        <rFont val="Calibri"/>
        <family val="2"/>
        <charset val="1"/>
      </rPr>
      <t xml:space="preserve">.</t>
    </r>
  </si>
  <si>
    <t xml:space="preserve">02.14</t>
  </si>
  <si>
    <t xml:space="preserve">פירוק מעקה גרם המדרגות הפנימי</t>
  </si>
  <si>
    <r>
      <rPr>
        <sz val="11"/>
        <color theme="1"/>
        <rFont val="FreeSans"/>
        <family val="2"/>
      </rPr>
      <t xml:space="preserve">פירוק זהיר ומבוקר של המעקה הקיים בגרם המדרגות הפנימי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להנחיות הקונסטרוקטור ולאישורו בכתב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חיזוק גרם המדרגות מתואר בנפרד בפרק הבנייה</t>
    </r>
    <r>
      <rPr>
        <sz val="11"/>
        <color theme="1"/>
        <rFont val="Calibri"/>
        <family val="2"/>
        <charset val="1"/>
      </rPr>
      <t xml:space="preserve">.</t>
    </r>
  </si>
  <si>
    <t xml:space="preserve">02.15</t>
  </si>
  <si>
    <t xml:space="preserve">ניסור ופירוק מסגרות בטון דקורטיביות סביב חלונות</t>
  </si>
  <si>
    <r>
      <rPr>
        <sz val="11"/>
        <color theme="1"/>
        <rFont val="FreeSans"/>
        <family val="2"/>
      </rPr>
      <t xml:space="preserve">ניסור ופירוק מבוקר של מסגרות הבטון הדקורטיביות סביב פתחי החלונות בחזיתות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להנחיות ולאישור הקונסטרוקטור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עד להסרת הבליטות והכנת האזור להשלמת גמר חזית אחיד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עבודות הטיח והגמר מתוארות בפרק טיח החוץ</t>
    </r>
    <r>
      <rPr>
        <sz val="11"/>
        <color theme="1"/>
        <rFont val="Calibri"/>
        <family val="2"/>
        <charset val="1"/>
      </rPr>
      <t xml:space="preserve">.</t>
    </r>
  </si>
  <si>
    <t xml:space="preserve">מ״א</t>
  </si>
  <si>
    <r>
      <rPr>
        <sz val="11"/>
        <color theme="1"/>
        <rFont val="FreeSans"/>
        <family val="2"/>
      </rPr>
      <t xml:space="preserve">הניסור מבוצע מפיגום </t>
    </r>
    <r>
      <rPr>
        <sz val="11"/>
        <color theme="1"/>
        <rFont val="Calibri"/>
        <family val="2"/>
        <charset val="1"/>
      </rPr>
      <t xml:space="preserve">(01.09) </t>
    </r>
    <r>
      <rPr>
        <sz val="11"/>
        <color theme="1"/>
        <rFont val="FreeSans"/>
        <family val="2"/>
      </rPr>
      <t xml:space="preserve">ובאישור קונסטרוקטור בכתב</t>
    </r>
  </si>
  <si>
    <t xml:space="preserve">02.16</t>
  </si>
  <si>
    <t xml:space="preserve">מיון ופינוי פסולת לאתר מורשה</t>
  </si>
  <si>
    <r>
      <rPr>
        <sz val="11"/>
        <color theme="1"/>
        <rFont val="FreeSans"/>
        <family val="2"/>
      </rPr>
      <t xml:space="preserve">מיון פסולת ההריסה והפירוק לפי סוגי החומרים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העמסה והובלה לאתר מורשה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מסירת אישורי הפינוי הנדרשים</t>
    </r>
    <r>
      <rPr>
        <sz val="11"/>
        <color theme="1"/>
        <rFont val="Calibri"/>
        <family val="2"/>
        <charset val="1"/>
      </rPr>
      <t xml:space="preserve">.</t>
    </r>
  </si>
  <si>
    <t xml:space="preserve">02.17</t>
  </si>
  <si>
    <t xml:space="preserve">ניקיון יסודי לאחר ההריסות</t>
  </si>
  <si>
    <r>
      <rPr>
        <sz val="11"/>
        <color theme="1"/>
        <rFont val="FreeSans"/>
        <family val="2"/>
      </rPr>
      <t xml:space="preserve">ניקיון יסודי של שטחי ההריסה והפירוק לאחר השלמתם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הסרת שאריות וריכוז פסולת שנותרה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והכנת השטחים לתחילת עבודות הבנייה</t>
    </r>
    <r>
      <rPr>
        <sz val="11"/>
        <color theme="1"/>
        <rFont val="Calibri"/>
        <family val="2"/>
        <charset val="1"/>
      </rPr>
      <t xml:space="preserve">.</t>
    </r>
  </si>
  <si>
    <t xml:space="preserve">02.18</t>
  </si>
  <si>
    <t xml:space="preserve">פירוק פנלים קיימים בכל הבית</t>
  </si>
  <si>
    <r>
      <rPr>
        <sz val="11"/>
        <color theme="1"/>
        <rFont val="FreeSans"/>
        <family val="2"/>
      </rPr>
      <t xml:space="preserve">פירוק פנלים קיימים בכל שטחי הבית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ניקוי הקיר ושאריות הדבק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לפי הערות תוכניות ההריסה</t>
    </r>
    <r>
      <rPr>
        <sz val="11"/>
        <color theme="1"/>
        <rFont val="Calibri"/>
        <family val="2"/>
        <charset val="1"/>
      </rPr>
      <t xml:space="preserve">.</t>
    </r>
  </si>
  <si>
    <t xml:space="preserve">02.19</t>
  </si>
  <si>
    <t xml:space="preserve">פירוק מדרגות חוץ</t>
  </si>
  <si>
    <r>
      <rPr>
        <sz val="11"/>
        <color theme="1"/>
        <rFont val="FreeSans"/>
        <family val="2"/>
      </rPr>
      <t xml:space="preserve">פירוק והריסת מדרגות בטון בגמר גרנוליט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פירוק המעקות ועיגוניהם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חיתוך הזיון לפי הצורך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איסוף הפסולת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העמסתה 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FreeSans"/>
        <family val="2"/>
      </rPr>
      <t xml:space="preserve">הובלתה לאתר מורשה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אגרות פינוי וניקוי שטח העבודה בגמר הביצוע</t>
    </r>
    <r>
      <rPr>
        <sz val="11"/>
        <color theme="1"/>
        <rFont val="Calibri"/>
        <family val="2"/>
        <charset val="1"/>
      </rPr>
      <t xml:space="preserve">. </t>
    </r>
  </si>
  <si>
    <t xml:space="preserve">02.20</t>
  </si>
  <si>
    <r>
      <rPr>
        <sz val="11"/>
        <color theme="1"/>
        <rFont val="FreeSans"/>
        <family val="2"/>
      </rPr>
      <t xml:space="preserve">פירוק רצפת גרנוליט בחניה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בכניסה ובשבילים</t>
    </r>
  </si>
  <si>
    <r>
      <rPr>
        <sz val="11"/>
        <color theme="1"/>
        <rFont val="FreeSans"/>
        <family val="2"/>
      </rPr>
      <t xml:space="preserve">פירוק רצפת גרנוליט ומצעה באזור החניה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הכניסה לבית והשבילים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כמפורט בתכולת פרק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FreeSans"/>
        <family val="2"/>
      </rPr>
      <t xml:space="preserve">בחוברת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ריכוז הפסולת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</si>
  <si>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1"/>
        <rFont val="FreeSans"/>
        <family val="2"/>
      </rPr>
      <t xml:space="preserve">סה״כ פרק </t>
    </r>
    <r>
      <rPr>
        <b val="true"/>
        <sz val="11"/>
        <rFont val="Cambria"/>
        <family val="0"/>
        <charset val="1"/>
      </rPr>
      <t xml:space="preserve">02 — </t>
    </r>
    <r>
      <rPr>
        <b val="true"/>
        <sz val="11"/>
        <rFont val="FreeSans"/>
        <family val="2"/>
      </rPr>
      <t xml:space="preserve">הריסות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FreeSans"/>
        <family val="2"/>
      </rPr>
      <t xml:space="preserve">פירוקים ופינוי</t>
    </r>
  </si>
  <si>
    <r>
      <rPr>
        <b val="true"/>
        <sz val="11"/>
        <rFont val="FreeSans"/>
        <family val="2"/>
      </rPr>
      <t xml:space="preserve">פרק </t>
    </r>
    <r>
      <rPr>
        <b val="true"/>
        <sz val="11"/>
        <rFont val="Cambria"/>
        <family val="0"/>
        <charset val="1"/>
      </rPr>
      <t xml:space="preserve">03 — </t>
    </r>
    <r>
      <rPr>
        <b val="true"/>
        <sz val="11"/>
        <rFont val="FreeSans"/>
        <family val="2"/>
      </rPr>
      <t xml:space="preserve">בנייה ותוספות מבניות</t>
    </r>
  </si>
  <si>
    <t xml:space="preserve">03.01</t>
  </si>
  <si>
    <t xml:space="preserve">הגדלת מרפסת הסלון ותוספת פרגולה</t>
  </si>
  <si>
    <r>
      <rPr>
        <sz val="11"/>
        <color theme="1"/>
        <rFont val="FreeSans"/>
        <family val="2"/>
      </rPr>
      <t xml:space="preserve">ביצוע הגדלת מרפסת הסלון ותוספת הפרגולה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קומפלט בתחום העבודות המבניות ובהתאם לתוכניות ולמפרט הקונסטרוקטור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ביסוס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רכיבי בטון וזיון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שלד פלדה מפרופילי </t>
    </r>
    <r>
      <rPr>
        <sz val="11"/>
        <color theme="1"/>
        <rFont val="Calibri"/>
        <family val="2"/>
        <charset val="1"/>
      </rPr>
      <t xml:space="preserve">RHS, </t>
    </r>
    <r>
      <rPr>
        <sz val="11"/>
        <color theme="1"/>
        <rFont val="FreeSans"/>
        <family val="2"/>
      </rPr>
      <t xml:space="preserve">לוחות בסיס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עיגונים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חיבורים וריתוכים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ככל שנדרשים בתכנון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העבודה כוללת את הבדיקות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אישורי הביצוע ותוכנית העדות הנדרשים במפרט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עבודות האיטום והגמר יבוצעו במסגרת הפרקים הייעודיים</t>
    </r>
    <r>
      <rPr>
        <sz val="11"/>
        <color theme="1"/>
        <rFont val="Calibri"/>
        <family val="2"/>
        <charset val="1"/>
      </rPr>
      <t xml:space="preserve">.</t>
    </r>
  </si>
  <si>
    <t xml:space="preserve">03.02</t>
  </si>
  <si>
    <t xml:space="preserve">תוספת חדר בקומת הגלריה</t>
  </si>
  <si>
    <r>
      <rPr>
        <sz val="11"/>
        <color theme="1"/>
        <rFont val="FreeSans"/>
        <family val="2"/>
      </rPr>
      <t xml:space="preserve">ביצוע העבודות המבניות לתוספת החדר בקומת הגלריה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קומפלט לפי תוכניות הקונסטרוקטור והאדריכלות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רכיבי השלד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החיבורים והעיגונים למבנה הקיים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פתחים והכנות מבניות למערכות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לתכנון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העבודה כוללת בדיקות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אישורים ותוכנית עדות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גמרים ומערכות מפורטים בפרקים הייעודיים</t>
    </r>
    <r>
      <rPr>
        <sz val="11"/>
        <color theme="1"/>
        <rFont val="Calibri"/>
        <family val="2"/>
        <charset val="1"/>
      </rPr>
      <t xml:space="preserve">.</t>
    </r>
  </si>
  <si>
    <t xml:space="preserve">03.03</t>
  </si>
  <si>
    <t xml:space="preserve">כניסה חדשה וגרם מדרגות חדש</t>
  </si>
  <si>
    <r>
      <rPr>
        <sz val="11"/>
        <color theme="1"/>
        <rFont val="FreeSans"/>
        <family val="2"/>
      </rPr>
      <t xml:space="preserve">ביצוע העבודות המבניות לכניסה החדשה ולגרם המדרגות החדש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קומפלט לפי תוכניות הקונסטרוקטור והאדריכלות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ביסוס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רכיבי השלד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זיון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יציקות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חיבורים ועיגונים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וכן אלמנטי מעקה ככל שנכללים בתכנון המבני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גמרים יבוצעו במסגרת הפרקים הייעודיים</t>
    </r>
    <r>
      <rPr>
        <sz val="11"/>
        <color theme="1"/>
        <rFont val="Calibri"/>
        <family val="2"/>
        <charset val="1"/>
      </rPr>
      <t xml:space="preserve">.</t>
    </r>
  </si>
  <si>
    <t xml:space="preserve">03.04</t>
  </si>
  <si>
    <t xml:space="preserve">חיזוק גרם המדרגות הפנימי הקיים</t>
  </si>
  <si>
    <r>
      <rPr>
        <sz val="11"/>
        <color theme="1"/>
        <rFont val="FreeSans"/>
        <family val="2"/>
      </rPr>
      <t xml:space="preserve">חיזוק גרם המדרגות הפנימי לאחר פירוק המעקה הקיים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קומפלט לפי פרטי הקונסטרוקטור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רכיבי החיזוק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החיבורים והעיגונים המוגדרים בתכנון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בדיקות וקבלת אישור הקונסטרוקטור לביצוע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</si>
  <si>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1"/>
        <rFont val="FreeSans"/>
        <family val="2"/>
      </rPr>
      <t xml:space="preserve">סה״כ פרק </t>
    </r>
    <r>
      <rPr>
        <b val="true"/>
        <sz val="11"/>
        <rFont val="Cambria"/>
        <family val="0"/>
        <charset val="1"/>
      </rPr>
      <t xml:space="preserve">03 — </t>
    </r>
    <r>
      <rPr>
        <b val="true"/>
        <sz val="11"/>
        <rFont val="FreeSans"/>
        <family val="2"/>
      </rPr>
      <t xml:space="preserve">בנייה ותוספות מבניות</t>
    </r>
  </si>
  <si>
    <r>
      <rPr>
        <b val="true"/>
        <sz val="11"/>
        <rFont val="FreeSans"/>
        <family val="2"/>
      </rPr>
      <t xml:space="preserve">פרק </t>
    </r>
    <r>
      <rPr>
        <b val="true"/>
        <sz val="11"/>
        <rFont val="Cambria"/>
        <family val="0"/>
        <charset val="1"/>
      </rPr>
      <t xml:space="preserve">04 — </t>
    </r>
    <r>
      <rPr>
        <b val="true"/>
        <sz val="11"/>
        <rFont val="FreeSans"/>
        <family val="2"/>
      </rPr>
      <t xml:space="preserve">חלוקה חדשה בקירות בלוקים</t>
    </r>
  </si>
  <si>
    <t xml:space="preserve">04.01</t>
  </si>
  <si>
    <t xml:space="preserve">קירות בלוקים במרתף</t>
  </si>
  <si>
    <r>
      <rPr>
        <sz val="11"/>
        <color theme="1"/>
        <rFont val="FreeSans"/>
        <family val="2"/>
      </rPr>
      <t xml:space="preserve">בניית קירות בלוקים בעובי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FreeSans"/>
        <family val="2"/>
      </rPr>
      <t xml:space="preserve">ס״מ בקומת המרתף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במיקומים המסומנים בתוכנית הבנייה החדשה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לפרטי הקונסטרוקטור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חומרי החיבור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למבנה הקיים ורכיבי זיון או חיזוק ככל שנדרשים בפרטים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טיח וגמר אינם כלולים בסעיף זה</t>
    </r>
    <r>
      <rPr>
        <sz val="11"/>
        <color theme="1"/>
        <rFont val="Calibri"/>
        <family val="2"/>
        <charset val="1"/>
      </rPr>
      <t xml:space="preserve">.</t>
    </r>
  </si>
  <si>
    <t xml:space="preserve">04.02</t>
  </si>
  <si>
    <t xml:space="preserve">קירות בלוקים בקומת הקרקע</t>
  </si>
  <si>
    <r>
      <rPr>
        <sz val="11"/>
        <color theme="1"/>
        <rFont val="FreeSans"/>
        <family val="2"/>
      </rPr>
      <t xml:space="preserve">בניית קירות בלוקים בעובי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FreeSans"/>
        <family val="2"/>
      </rPr>
      <t xml:space="preserve">ס״מ בקומת הקרקע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במיקומים המסומנים בתוכנית הבנייה החדשה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לפרטי הקונסטרוקטור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חומרי החיבור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למבנה הקיים ורכיבי זיון או חיזוק ככל שנדרשים בפרטים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טיח וגמר אינם כלולים בסעיף זה</t>
    </r>
    <r>
      <rPr>
        <sz val="11"/>
        <color theme="1"/>
        <rFont val="Calibri"/>
        <family val="2"/>
        <charset val="1"/>
      </rPr>
      <t xml:space="preserve">.</t>
    </r>
  </si>
  <si>
    <t xml:space="preserve">04.03</t>
  </si>
  <si>
    <t xml:space="preserve">קירות בלוקים בקומה א׳ ובגלריה</t>
  </si>
  <si>
    <r>
      <rPr>
        <sz val="11"/>
        <color theme="1"/>
        <rFont val="FreeSans"/>
        <family val="2"/>
      </rPr>
      <t xml:space="preserve">בניית קירות בלוקים בעובי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FreeSans"/>
        <family val="2"/>
      </rPr>
      <t xml:space="preserve">ס״מ בקומה א׳ ובגלריה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במיקומים המסומנים בתוכנית הבנייה החדשה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לפרטי הקונסטרוקטור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חומרי החיבור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למבנה הקיים ורכיבי זיון או חיזוק ככל שנדרשים בפרטים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טיח וגמר אינם כלולים בסעיף זה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</si>
  <si>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1"/>
        <rFont val="FreeSans"/>
        <family val="2"/>
      </rPr>
      <t xml:space="preserve">סה״כ פרק </t>
    </r>
    <r>
      <rPr>
        <b val="true"/>
        <sz val="11"/>
        <rFont val="Cambria"/>
        <family val="0"/>
        <charset val="1"/>
      </rPr>
      <t xml:space="preserve">04 — </t>
    </r>
    <r>
      <rPr>
        <b val="true"/>
        <sz val="11"/>
        <rFont val="FreeSans"/>
        <family val="2"/>
      </rPr>
      <t xml:space="preserve">חלוקה חדשה בקירות בלוקים</t>
    </r>
  </si>
  <si>
    <r>
      <rPr>
        <b val="true"/>
        <sz val="11"/>
        <rFont val="FreeSans"/>
        <family val="2"/>
      </rPr>
      <t xml:space="preserve">פרק </t>
    </r>
    <r>
      <rPr>
        <b val="true"/>
        <sz val="11"/>
        <rFont val="Cambria"/>
        <family val="0"/>
        <charset val="1"/>
      </rPr>
      <t xml:space="preserve">05 — </t>
    </r>
    <r>
      <rPr>
        <b val="true"/>
        <sz val="11"/>
        <rFont val="FreeSans"/>
        <family val="2"/>
      </rPr>
      <t xml:space="preserve">אינסטלציה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FreeSans"/>
        <family val="2"/>
      </rPr>
      <t xml:space="preserve">התקנת כלים סניטריים וברזים</t>
    </r>
  </si>
  <si>
    <t xml:space="preserve">05.01</t>
  </si>
  <si>
    <t xml:space="preserve">התקנת אסלה תלויה</t>
  </si>
  <si>
    <r>
      <rPr>
        <sz val="11"/>
        <color theme="1"/>
        <rFont val="FreeSans"/>
        <family val="2"/>
      </rPr>
      <t xml:space="preserve">התקנת אסלה תלויה במיקום המתוכנן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קיבוע למערכת הנשיאה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למערכת ההדחה והביוב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אטימת החיבורים ובדיקת יציבות ותפקוד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מכל ההדחה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הלחצן והמושב מתוארים בנפרד</t>
    </r>
    <r>
      <rPr>
        <sz val="11"/>
        <color theme="1"/>
        <rFont val="Calibri"/>
        <family val="2"/>
        <charset val="1"/>
      </rPr>
      <t xml:space="preserve">.</t>
    </r>
  </si>
  <si>
    <t xml:space="preserve">05.02</t>
  </si>
  <si>
    <t xml:space="preserve">התקנת מכל הדחה סמוי</t>
  </si>
  <si>
    <r>
      <rPr>
        <sz val="11"/>
        <color theme="1"/>
        <rFont val="FreeSans"/>
        <family val="2"/>
      </rPr>
      <t xml:space="preserve">התקנת מכל הדחה סמוי ומערכת הנשיאה הנלווית לפי המוצר שנבחר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עיגון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למים ולאסלה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התאמת מיקום פתח השירות ובדיקת אטימות ותפקוד לפני סגירת החיפוי</t>
    </r>
    <r>
      <rPr>
        <sz val="11"/>
        <color theme="1"/>
        <rFont val="Calibri"/>
        <family val="2"/>
        <charset val="1"/>
      </rPr>
      <t xml:space="preserve">.</t>
    </r>
  </si>
  <si>
    <t xml:space="preserve">05.03</t>
  </si>
  <si>
    <t xml:space="preserve">התקנת לחצן הדחה</t>
  </si>
  <si>
    <r>
      <rPr>
        <sz val="11"/>
        <color theme="1"/>
        <rFont val="FreeSans"/>
        <family val="2"/>
      </rPr>
      <t xml:space="preserve">התקנת לחצן הדחה התואם למכל הסמוי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התאמתו למישור הגמר ובדיקת פעולת מנגנון ההדחה</t>
    </r>
    <r>
      <rPr>
        <sz val="11"/>
        <color theme="1"/>
        <rFont val="Calibri"/>
        <family val="2"/>
        <charset val="1"/>
      </rPr>
      <t xml:space="preserve">.</t>
    </r>
  </si>
  <si>
    <t xml:space="preserve">05.04</t>
  </si>
  <si>
    <t xml:space="preserve">התקנת מושב אסלה הידראולי</t>
  </si>
  <si>
    <r>
      <rPr>
        <sz val="11"/>
        <color theme="1"/>
        <rFont val="FreeSans"/>
        <family val="2"/>
      </rPr>
      <t xml:space="preserve">התקנת מושב אסלה בעל מנגנון סגירה הידראולי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התואם לדגם האסלה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קיבוע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כיוון ובדיקת פעולת המנגנון</t>
    </r>
    <r>
      <rPr>
        <sz val="11"/>
        <color theme="1"/>
        <rFont val="Calibri"/>
        <family val="2"/>
        <charset val="1"/>
      </rPr>
      <t xml:space="preserve">.</t>
    </r>
  </si>
  <si>
    <t xml:space="preserve">05.05</t>
  </si>
  <si>
    <t xml:space="preserve">התקנת כיור עומד</t>
  </si>
  <si>
    <r>
      <rPr>
        <sz val="11"/>
        <color theme="1"/>
        <rFont val="FreeSans"/>
        <family val="2"/>
      </rPr>
      <t xml:space="preserve">התקנת כיור עומד לפי הדגם שנבחר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העמדה וקיבוע בהתאם להוראות היצרן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לניקוז ואטימת המפגשים הנדרשים</t>
    </r>
    <r>
      <rPr>
        <sz val="11"/>
        <color theme="1"/>
        <rFont val="Calibri"/>
        <family val="2"/>
        <charset val="1"/>
      </rPr>
      <t xml:space="preserve">.</t>
    </r>
  </si>
  <si>
    <t xml:space="preserve">05.06</t>
  </si>
  <si>
    <t xml:space="preserve">התקנת ברז קיר</t>
  </si>
  <si>
    <r>
      <rPr>
        <sz val="11"/>
        <color theme="1"/>
        <rFont val="FreeSans"/>
        <family val="2"/>
      </rPr>
      <t xml:space="preserve">התקנת ברז קיר במיקום ובגובה המתוכננים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חיבור לנקודות המים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התאמה לעומק הגמר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אטימת החיבורים ובדיקת פעולה</t>
    </r>
    <r>
      <rPr>
        <sz val="11"/>
        <color theme="1"/>
        <rFont val="Calibri"/>
        <family val="2"/>
        <charset val="1"/>
      </rPr>
      <t xml:space="preserve">.</t>
    </r>
  </si>
  <si>
    <t xml:space="preserve">05.07</t>
  </si>
  <si>
    <t xml:space="preserve">התקנת ראש גשם</t>
  </si>
  <si>
    <r>
      <rPr>
        <sz val="11"/>
        <color theme="1"/>
        <rFont val="FreeSans"/>
        <family val="2"/>
      </rPr>
      <t xml:space="preserve">התקנת ראש גשם ורכיב החיבור התואם למוצר שנבחר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חיבור לנקודת המים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קיבוע ובדיקת זרימה ואטימות</t>
    </r>
    <r>
      <rPr>
        <sz val="11"/>
        <color theme="1"/>
        <rFont val="Calibri"/>
        <family val="2"/>
        <charset val="1"/>
      </rPr>
      <t xml:space="preserve">.</t>
    </r>
  </si>
  <si>
    <t xml:space="preserve">05.08</t>
  </si>
  <si>
    <t xml:space="preserve">התקנת אינטרפוץ תלת־דרכי</t>
  </si>
  <si>
    <r>
      <rPr>
        <sz val="11"/>
        <color theme="1"/>
        <rFont val="FreeSans"/>
        <family val="2"/>
      </rPr>
      <t xml:space="preserve">התקנת מערכת אינטרפוץ תלת־דרכית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הגוף הסמוי ורכיבי הגמר של המוצר שנבחר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לקווי המים וליציאות המתוכננות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התאמת עומק ההתקנה ובדיקת אטימות ותפקוד לפני סגירה ובגמר ההתקנה</t>
    </r>
    <r>
      <rPr>
        <sz val="11"/>
        <color theme="1"/>
        <rFont val="Calibri"/>
        <family val="2"/>
        <charset val="1"/>
      </rPr>
      <t xml:space="preserve">.</t>
    </r>
  </si>
  <si>
    <t xml:space="preserve">05.09</t>
  </si>
  <si>
    <t xml:space="preserve">התקנת אינטרפוץ ארבע־דרכי</t>
  </si>
  <si>
    <r>
      <rPr>
        <sz val="11"/>
        <color theme="1"/>
        <rFont val="FreeSans"/>
        <family val="2"/>
      </rPr>
      <t xml:space="preserve">התקנת מערכת אינטרפוץ ארבע־דרכית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הגוף הסמוי ורכיבי הגמר של המוצר שנבחר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לקווי המים וליציאות המתוכננות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התאמת עומק ההתקנה ובדיקת אטימות ותפקוד לפני סגירה ובגמר ההתקנה</t>
    </r>
    <r>
      <rPr>
        <sz val="11"/>
        <color theme="1"/>
        <rFont val="Calibri"/>
        <family val="2"/>
        <charset val="1"/>
      </rPr>
      <t xml:space="preserve">.</t>
    </r>
  </si>
  <si>
    <t xml:space="preserve">05.10</t>
  </si>
  <si>
    <t xml:space="preserve">התקנת מאחז מזלף</t>
  </si>
  <si>
    <r>
      <rPr>
        <sz val="11"/>
        <color theme="1"/>
        <rFont val="FreeSans"/>
        <family val="2"/>
      </rPr>
      <t xml:space="preserve">התקנת מאחז מזלף במיקום המתוכנן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קיבוע לתשתית ואטימת נקודות העיגון באזור הרטוב</t>
    </r>
    <r>
      <rPr>
        <sz val="11"/>
        <color theme="1"/>
        <rFont val="Calibri"/>
        <family val="2"/>
        <charset val="1"/>
      </rPr>
      <t xml:space="preserve">.</t>
    </r>
  </si>
  <si>
    <t xml:space="preserve">05.11</t>
  </si>
  <si>
    <r>
      <rPr>
        <sz val="11"/>
        <color theme="1"/>
        <rFont val="FreeSans"/>
        <family val="2"/>
      </rPr>
      <t xml:space="preserve">התקנת אביזר ניקוז המסומן </t>
    </r>
    <r>
      <rPr>
        <sz val="11"/>
        <color theme="1"/>
        <rFont val="Calibri"/>
        <family val="2"/>
        <charset val="1"/>
      </rPr>
      <t xml:space="preserve">10/10</t>
    </r>
  </si>
  <si>
    <r>
      <rPr>
        <sz val="11"/>
        <color theme="1"/>
        <rFont val="FreeSans"/>
        <family val="2"/>
      </rPr>
      <t xml:space="preserve">התקנת אביזר הניקוז המסומן במקור „תעלת ניקוז </t>
    </r>
    <r>
      <rPr>
        <sz val="11"/>
        <color theme="1"/>
        <rFont val="Calibri"/>
        <family val="2"/>
        <charset val="1"/>
      </rPr>
      <t xml:space="preserve">10/10”, </t>
    </r>
    <r>
      <rPr>
        <sz val="11"/>
        <color theme="1"/>
        <rFont val="FreeSans"/>
        <family val="2"/>
      </rPr>
      <t xml:space="preserve">לרבות חיבור למערכת הניקוז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התאמה למפלס הריצוף ושילוב אטום עם מערכת האיטום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סוג האביזר המדויק ייקבע לפי התוכנית והמוצר המאושר</t>
    </r>
    <r>
      <rPr>
        <sz val="11"/>
        <color theme="1"/>
        <rFont val="Calibri"/>
        <family val="2"/>
        <charset val="1"/>
      </rPr>
      <t xml:space="preserve">.</t>
    </r>
  </si>
  <si>
    <t xml:space="preserve">05.12</t>
  </si>
  <si>
    <r>
      <rPr>
        <sz val="11"/>
        <color theme="1"/>
        <rFont val="FreeSans"/>
        <family val="2"/>
      </rPr>
      <t xml:space="preserve">התקנת תעלת גלישה המסומנת </t>
    </r>
    <r>
      <rPr>
        <sz val="11"/>
        <color theme="1"/>
        <rFont val="Calibri"/>
        <family val="2"/>
        <charset val="1"/>
      </rPr>
      <t xml:space="preserve">110</t>
    </r>
  </si>
  <si>
    <r>
      <rPr>
        <sz val="11"/>
        <color theme="1"/>
        <rFont val="FreeSans"/>
        <family val="2"/>
      </rPr>
      <t xml:space="preserve">התקנת תעלת הגלישה המסומנת במקור „</t>
    </r>
    <r>
      <rPr>
        <sz val="11"/>
        <color theme="1"/>
        <rFont val="Calibri"/>
        <family val="2"/>
        <charset val="1"/>
      </rPr>
      <t xml:space="preserve">110”, </t>
    </r>
    <r>
      <rPr>
        <sz val="11"/>
        <color theme="1"/>
        <rFont val="FreeSans"/>
        <family val="2"/>
      </rPr>
      <t xml:space="preserve">לרבות העמדה במיקום המתוכנן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לניקוז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התאמה למפלסי הגמר ושילוב עם מערכת האיטום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לפרט ולמוצר שנבחר</t>
    </r>
    <r>
      <rPr>
        <sz val="11"/>
        <color theme="1"/>
        <rFont val="Calibri"/>
        <family val="2"/>
        <charset val="1"/>
      </rPr>
      <t xml:space="preserve">.</t>
    </r>
  </si>
  <si>
    <t xml:space="preserve">05.13</t>
  </si>
  <si>
    <t xml:space="preserve">התקנת אמבטיה עצמאית</t>
  </si>
  <si>
    <r>
      <rPr>
        <sz val="11"/>
        <color theme="1"/>
        <rFont val="FreeSans"/>
        <family val="2"/>
      </rPr>
      <t xml:space="preserve">התקנת אמבטיה עצמאית מסוג </t>
    </r>
    <r>
      <rPr>
        <sz val="11"/>
        <color theme="1"/>
        <rFont val="Calibri"/>
        <family val="2"/>
        <charset val="1"/>
      </rPr>
      <t xml:space="preserve">Free Standing, </t>
    </r>
    <r>
      <rPr>
        <sz val="11"/>
        <color theme="1"/>
        <rFont val="FreeSans"/>
        <family val="2"/>
      </rPr>
      <t xml:space="preserve">לרבות העמדה במיקום המתוכנן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התאמת מפלס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לניקוז ובדיקת אטימות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ברז המילוי מתואר בנפרד</t>
    </r>
    <r>
      <rPr>
        <sz val="11"/>
        <color theme="1"/>
        <rFont val="Calibri"/>
        <family val="2"/>
        <charset val="1"/>
      </rPr>
      <t xml:space="preserve">.</t>
    </r>
  </si>
  <si>
    <t xml:space="preserve">05.15</t>
  </si>
  <si>
    <t xml:space="preserve">התקנת ברז מילוי לאמבטיה</t>
  </si>
  <si>
    <r>
      <rPr>
        <sz val="11"/>
        <color theme="1"/>
        <rFont val="FreeSans"/>
        <family val="2"/>
      </rPr>
      <t xml:space="preserve">התקנת ברז מילוי אמבטיה לפי הדגם ושיטת ההתקנה שנבחרו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חיבור למים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קיבוע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אטימת החיבורים ובדיקת פעולה</t>
    </r>
    <r>
      <rPr>
        <sz val="11"/>
        <color theme="1"/>
        <rFont val="Calibri"/>
        <family val="2"/>
        <charset val="1"/>
      </rPr>
      <t xml:space="preserve">.</t>
    </r>
  </si>
  <si>
    <t xml:space="preserve">05.16</t>
  </si>
  <si>
    <t xml:space="preserve">התקנת כיור מטבח</t>
  </si>
  <si>
    <r>
      <rPr>
        <sz val="11"/>
        <color theme="1"/>
        <rFont val="FreeSans"/>
        <family val="2"/>
      </rPr>
      <t xml:space="preserve">התקנת כיור מטבח לפי הדגם ושיטת ההתקנה שנבחרו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בתיאום עם ספק משטח העבודה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קיבוע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אטימת המפגש וחיבור לניקוז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ברז המטבח מתואר בנפרד</t>
    </r>
    <r>
      <rPr>
        <sz val="11"/>
        <color theme="1"/>
        <rFont val="Calibri"/>
        <family val="2"/>
        <charset val="1"/>
      </rPr>
      <t xml:space="preserve">.</t>
    </r>
  </si>
  <si>
    <t xml:space="preserve">05.17</t>
  </si>
  <si>
    <t xml:space="preserve">התקנת ברז מטבח פרח נשלף</t>
  </si>
  <si>
    <r>
      <rPr>
        <sz val="11"/>
        <color theme="1"/>
        <rFont val="FreeSans"/>
        <family val="2"/>
      </rPr>
      <t xml:space="preserve">התקנת ברז מטבח מסוג פרח בעל פייה נשלפת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קיבוע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למים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התקנת רכיבי מנגנון השליפה ובדיקת תפקוד ואטימות</t>
    </r>
    <r>
      <rPr>
        <sz val="11"/>
        <color theme="1"/>
        <rFont val="Calibri"/>
        <family val="2"/>
        <charset val="1"/>
      </rPr>
      <t xml:space="preserve">.</t>
    </r>
  </si>
  <si>
    <t xml:space="preserve">05.18</t>
  </si>
  <si>
    <t xml:space="preserve">התקנת כיור במטבח חוץ</t>
  </si>
  <si>
    <r>
      <rPr>
        <sz val="11"/>
        <color theme="1"/>
        <rFont val="FreeSans"/>
        <family val="2"/>
      </rPr>
      <t xml:space="preserve">התקנת כיור במטבח החוץ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לפי הדגם שנבחר ובתיאום עם משטח העבודה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קיבוע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איטום וחיבור לניקוז</t>
    </r>
    <r>
      <rPr>
        <sz val="11"/>
        <color theme="1"/>
        <rFont val="Calibri"/>
        <family val="2"/>
        <charset val="1"/>
      </rPr>
      <t xml:space="preserve">.</t>
    </r>
  </si>
  <si>
    <t xml:space="preserve">05.19</t>
  </si>
  <si>
    <t xml:space="preserve">התקנת ברז פרח נשלף במטבח חוץ</t>
  </si>
  <si>
    <r>
      <rPr>
        <sz val="11"/>
        <color theme="1"/>
        <rFont val="FreeSans"/>
        <family val="2"/>
      </rPr>
      <t xml:space="preserve">התקנת ברז פרח נשלף במטבח החוץ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קיבוע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למים ובדיקת תפקוד ואטימות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למוצר שנבחר</t>
    </r>
    <r>
      <rPr>
        <sz val="11"/>
        <color theme="1"/>
        <rFont val="Calibri"/>
        <family val="2"/>
        <charset val="1"/>
      </rPr>
      <t xml:space="preserve">.</t>
    </r>
  </si>
  <si>
    <t xml:space="preserve">05.20</t>
  </si>
  <si>
    <t xml:space="preserve">התקנת כיור מונח או שוקת בשירותי אורחים</t>
  </si>
  <si>
    <r>
      <rPr>
        <sz val="11"/>
        <color theme="1"/>
        <rFont val="FreeSans"/>
        <family val="2"/>
      </rPr>
      <t xml:space="preserve">התקנת כיור מונח או שוקת בשירותי האורחים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לבחירה המאושרת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העמדה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קיבוע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אטימת המפגש עם המשטח וחיבור לניקוז</t>
    </r>
    <r>
      <rPr>
        <sz val="11"/>
        <color theme="1"/>
        <rFont val="Calibri"/>
        <family val="2"/>
        <charset val="1"/>
      </rPr>
      <t xml:space="preserve">.</t>
    </r>
  </si>
  <si>
    <t xml:space="preserve">05.21</t>
  </si>
  <si>
    <t xml:space="preserve">התקנת ברז ניל</t>
  </si>
  <si>
    <r>
      <rPr>
        <sz val="11"/>
        <color theme="1"/>
        <rFont val="FreeSans"/>
        <family val="2"/>
      </rPr>
      <t xml:space="preserve">התקנת ברז ניל בנקודת המים המיועדת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אטימת החיבור ובדיקת תקינות ויכולת סגירה</t>
    </r>
    <r>
      <rPr>
        <sz val="11"/>
        <color theme="1"/>
        <rFont val="Calibri"/>
        <family val="2"/>
        <charset val="1"/>
      </rPr>
      <t xml:space="preserve">.</t>
    </r>
  </si>
  <si>
    <t xml:space="preserve">05.22</t>
  </si>
  <si>
    <t xml:space="preserve">התקנת ברז פרח וארון רחצה – מכלול</t>
  </si>
  <si>
    <r>
      <rPr>
        <sz val="11"/>
        <color theme="1"/>
        <rFont val="FreeSans"/>
        <family val="2"/>
      </rPr>
      <t xml:space="preserve">התקנת מכלול 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ברז פרח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FreeSans"/>
        <family val="2"/>
      </rPr>
      <t xml:space="preserve">ארון קומפלט</t>
    </r>
    <r>
      <rPr>
        <sz val="11"/>
        <color theme="1"/>
        <rFont val="Calibri"/>
        <family val="2"/>
        <charset val="1"/>
      </rPr>
      <t xml:space="preserve">": </t>
    </r>
    <r>
      <rPr>
        <sz val="11"/>
        <color theme="1"/>
        <rFont val="FreeSans"/>
        <family val="2"/>
      </rPr>
      <t xml:space="preserve">העמדה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פילוס וקיבוע הארון לפי הוראות הספק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התקנת הברז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למים ובדיקת תפקוד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תכולת המכלול המדויקת טעונה אישור לפני תמחור</t>
    </r>
    <r>
      <rPr>
        <sz val="11"/>
        <color theme="1"/>
        <rFont val="Calibri"/>
        <family val="2"/>
        <charset val="1"/>
      </rPr>
      <t xml:space="preserve">.</t>
    </r>
  </si>
  <si>
    <t xml:space="preserve">05.23</t>
  </si>
  <si>
    <r>
      <rPr>
        <sz val="11"/>
        <color theme="1"/>
        <rFont val="FreeSans"/>
        <family val="2"/>
      </rPr>
      <t xml:space="preserve">התקנת תעלת גלישה חיצונית המסומנת </t>
    </r>
    <r>
      <rPr>
        <sz val="11"/>
        <color theme="1"/>
        <rFont val="Calibri"/>
        <family val="2"/>
        <charset val="1"/>
      </rPr>
      <t xml:space="preserve">60</t>
    </r>
  </si>
  <si>
    <r>
      <rPr>
        <sz val="11"/>
        <color theme="1"/>
        <rFont val="FreeSans"/>
        <family val="2"/>
      </rPr>
      <t xml:space="preserve">התקנת תעלת הגלישה החיצונית המסומנת במקור „</t>
    </r>
    <r>
      <rPr>
        <sz val="11"/>
        <color theme="1"/>
        <rFont val="Calibri"/>
        <family val="2"/>
        <charset val="1"/>
      </rPr>
      <t xml:space="preserve">60”, </t>
    </r>
    <r>
      <rPr>
        <sz val="11"/>
        <color theme="1"/>
        <rFont val="FreeSans"/>
        <family val="2"/>
      </rPr>
      <t xml:space="preserve">לרבות חיבור לניקוז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התאמה למפלסי הגמר ושילוב אטום עם התשתית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לתוכנית ולמוצר המאושר</t>
    </r>
    <r>
      <rPr>
        <sz val="11"/>
        <color theme="1"/>
        <rFont val="Calibri"/>
        <family val="2"/>
        <charset val="1"/>
      </rPr>
      <t xml:space="preserve">.</t>
    </r>
  </si>
  <si>
    <t xml:space="preserve">05.24</t>
  </si>
  <si>
    <t xml:space="preserve">התקנת כיור בר</t>
  </si>
  <si>
    <r>
      <rPr>
        <sz val="11"/>
        <color theme="1"/>
        <rFont val="FreeSans"/>
        <family val="2"/>
      </rPr>
      <t xml:space="preserve">התקנת כיור בר במיקום המתוכנן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קיבוע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איטום המפגש עם המשטח וחיבור לניקוז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בתיאום עם ספק המשטח או הנגרות</t>
    </r>
    <r>
      <rPr>
        <sz val="11"/>
        <color theme="1"/>
        <rFont val="Calibri"/>
        <family val="2"/>
        <charset val="1"/>
      </rPr>
      <t xml:space="preserve">.</t>
    </r>
  </si>
  <si>
    <t xml:space="preserve">05.25</t>
  </si>
  <si>
    <t xml:space="preserve">נקודת מים חמים וקרים לברז או סוללה</t>
  </si>
  <si>
    <r>
      <rPr>
        <sz val="11"/>
        <color theme="1"/>
        <rFont val="FreeSans"/>
        <family val="2"/>
      </rPr>
      <t xml:space="preserve">נקודת מים חמים וקרים ממערכת אחידה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מהרכזת הקומתית ועד היציאה בקיר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מעברים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שרוולים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ברז ניל ובדיקת לחץ</t>
    </r>
    <r>
      <rPr>
        <sz val="11"/>
        <color theme="1"/>
        <rFont val="Calibri"/>
        <family val="2"/>
        <charset val="1"/>
      </rPr>
      <t xml:space="preserve">.</t>
    </r>
  </si>
  <si>
    <t xml:space="preserve">נק׳</t>
  </si>
  <si>
    <t xml:space="preserve">05.26</t>
  </si>
  <si>
    <t xml:space="preserve">נקודת מים קרים למכל הדחה</t>
  </si>
  <si>
    <r>
      <rPr>
        <sz val="11"/>
        <color theme="1"/>
        <rFont val="FreeSans"/>
        <family val="2"/>
      </rPr>
      <t xml:space="preserve">נקודת מים קרים   למכל הדחה סמוי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ברז ניל ובדיקת לחץ</t>
    </r>
    <r>
      <rPr>
        <sz val="11"/>
        <color theme="1"/>
        <rFont val="Calibri"/>
        <family val="2"/>
        <charset val="1"/>
      </rPr>
      <t xml:space="preserve">.</t>
    </r>
  </si>
  <si>
    <t xml:space="preserve">05.27</t>
  </si>
  <si>
    <t xml:space="preserve">נקודת ביוב לאסלה</t>
  </si>
  <si>
    <r>
      <rPr>
        <sz val="11"/>
        <color theme="1"/>
        <rFont val="FreeSans"/>
        <family val="2"/>
      </rPr>
      <t xml:space="preserve">נקודת ביוב </t>
    </r>
    <r>
      <rPr>
        <sz val="11"/>
        <color theme="1"/>
        <rFont val="Calibri"/>
        <family val="2"/>
        <charset val="1"/>
      </rPr>
      <t xml:space="preserve">110 </t>
    </r>
    <r>
      <rPr>
        <sz val="11"/>
        <color theme="1"/>
        <rFont val="FreeSans"/>
        <family val="2"/>
      </rPr>
      <t xml:space="preserve">מ״מ לאסלה תלויה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חיבור לקו הביוב בשיפוע תקני ובדיקת אטימות</t>
    </r>
    <r>
      <rPr>
        <sz val="11"/>
        <color theme="1"/>
        <rFont val="Calibri"/>
        <family val="2"/>
        <charset val="1"/>
      </rPr>
      <t xml:space="preserve">.</t>
    </r>
  </si>
  <si>
    <t xml:space="preserve">05.28</t>
  </si>
  <si>
    <t xml:space="preserve">נקודת ניקוז לכיור ולאמבטיה</t>
  </si>
  <si>
    <r>
      <rPr>
        <sz val="11"/>
        <color theme="1"/>
        <rFont val="FreeSans"/>
        <family val="2"/>
      </rPr>
      <t xml:space="preserve">נקודת ניקוז לכיורי רחצה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מטבח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מטבח חוץ ואמבטיה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סיפון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מחסום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לקו בשיפוע תקני ובדיקת אטימות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</si>
  <si>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כמות זמנית </t>
    </r>
    <r>
      <rPr>
        <sz val="11"/>
        <color theme="1"/>
        <rFont val="Calibri"/>
        <family val="2"/>
        <charset val="1"/>
      </rPr>
      <t xml:space="preserve">15 – </t>
    </r>
    <r>
      <rPr>
        <sz val="11"/>
        <color theme="1"/>
        <rFont val="FreeSans"/>
        <family val="2"/>
      </rPr>
      <t xml:space="preserve">לאימות</t>
    </r>
  </si>
  <si>
    <t xml:space="preserve">05.29</t>
  </si>
  <si>
    <t xml:space="preserve">נקודת מים וניקוז למכונת כביסה</t>
  </si>
  <si>
    <r>
      <rPr>
        <sz val="11"/>
        <color theme="1"/>
        <rFont val="FreeSans"/>
        <family val="2"/>
      </rPr>
      <t xml:space="preserve">נקודת מים קרים וניקוז עם ברז ניל להכנה למכונת כביסה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מקרא אינסטלציה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פריט </t>
    </r>
    <r>
      <rPr>
        <sz val="11"/>
        <color theme="1"/>
        <rFont val="Calibri"/>
        <family val="2"/>
        <charset val="1"/>
      </rPr>
      <t xml:space="preserve">5).</t>
    </r>
  </si>
  <si>
    <t xml:space="preserve">05.30</t>
  </si>
  <si>
    <t xml:space="preserve">ברז דלי</t>
  </si>
  <si>
    <r>
      <rPr>
        <sz val="11"/>
        <color theme="1"/>
        <rFont val="FreeSans"/>
        <family val="2"/>
      </rPr>
      <t xml:space="preserve">ברז דלי למים קרים לניקיון או השקיה בגובה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FreeSans"/>
        <family val="2"/>
      </rPr>
      <t xml:space="preserve">ס״מ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מקרא אינסטלציה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פריט </t>
    </r>
    <r>
      <rPr>
        <sz val="11"/>
        <color theme="1"/>
        <rFont val="Calibri"/>
        <family val="2"/>
        <charset val="1"/>
      </rPr>
      <t xml:space="preserve">7).</t>
    </r>
  </si>
  <si>
    <t xml:space="preserve">05.32</t>
  </si>
  <si>
    <t xml:space="preserve">קווי אספקה ראשיים ורכזות מים קומתיות</t>
  </si>
  <si>
    <r>
      <rPr>
        <sz val="11"/>
        <color theme="1"/>
        <rFont val="FreeSans"/>
        <family val="2"/>
      </rPr>
      <t xml:space="preserve">קווי מים ראשיים מהמונה ועד רכזות המים הקומתיות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מקרא אינסטלציה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פריט </t>
    </r>
    <r>
      <rPr>
        <sz val="11"/>
        <color theme="1"/>
        <rFont val="Calibri"/>
        <family val="2"/>
        <charset val="1"/>
      </rPr>
      <t xml:space="preserve">10), </t>
    </r>
    <r>
      <rPr>
        <sz val="11"/>
        <color theme="1"/>
        <rFont val="FreeSans"/>
        <family val="2"/>
      </rPr>
      <t xml:space="preserve">כולל מגופים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ווסת לחץ ובידוד צנרת חמה</t>
    </r>
    <r>
      <rPr>
        <sz val="11"/>
        <color theme="1"/>
        <rFont val="Calibri"/>
        <family val="2"/>
        <charset val="1"/>
      </rPr>
      <t xml:space="preserve">.</t>
    </r>
  </si>
  <si>
    <t xml:space="preserve">05.33</t>
  </si>
  <si>
    <t xml:space="preserve">מערכת ביוב וניקוז ראשית</t>
  </si>
  <si>
    <r>
      <rPr>
        <sz val="11"/>
        <color theme="1"/>
        <rFont val="FreeSans"/>
        <family val="2"/>
      </rPr>
      <t xml:space="preserve">קווי ביוב וניקוז ראשיים בכל הקומות עד חיבור למערכת הקיימת או לשוחה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ביקורות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אוורור ובדיקות אטימות</t>
    </r>
    <r>
      <rPr>
        <sz val="11"/>
        <color theme="1"/>
        <rFont val="Calibri"/>
        <family val="2"/>
        <charset val="1"/>
      </rPr>
      <t xml:space="preserve">.</t>
    </r>
  </si>
  <si>
    <t xml:space="preserve">05.34</t>
  </si>
  <si>
    <t xml:space="preserve">דוד מים חמים – התקנה וחיבור</t>
  </si>
  <si>
    <r>
      <rPr>
        <sz val="11"/>
        <color theme="1"/>
        <rFont val="FreeSans"/>
        <family val="2"/>
      </rPr>
      <t xml:space="preserve">התקנת דוד מים חמים וחיבורו למערכת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ברזים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שסתום בטיחות ומפסק זרם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סוג הדוד ומיקומו לפי תוכנית</t>
    </r>
    <r>
      <rPr>
        <sz val="11"/>
        <color theme="1"/>
        <rFont val="Calibri"/>
        <family val="2"/>
        <charset val="1"/>
      </rPr>
      <t xml:space="preserve">).</t>
    </r>
  </si>
  <si>
    <r>
      <rPr>
        <sz val="11"/>
        <color theme="1"/>
        <rFont val="FreeSans"/>
        <family val="2"/>
      </rPr>
      <t xml:space="preserve">כמות לפי תוכנית אינסטלציה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כמות זמנית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שני דודים – תחשיב לפי מדידה בפועל</t>
    </r>
  </si>
  <si>
    <t xml:space="preserve">05.35</t>
  </si>
  <si>
    <t xml:space="preserve">בדיקות לחץ ואטימות ותוכנית עדות</t>
  </si>
  <si>
    <r>
      <rPr>
        <sz val="11"/>
        <color theme="1"/>
        <rFont val="FreeSans"/>
        <family val="2"/>
      </rPr>
      <t xml:space="preserve">בדיקות לחץ לכל קווי המים ובדיקות אטימות לקווי הביוב לפני כיסוי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בנוכחות המתכננת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דוחות חתומים ותוכנית עדות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</si>
  <si>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1"/>
        <rFont val="FreeSans"/>
        <family val="2"/>
      </rPr>
      <t xml:space="preserve">סה״כ פרק </t>
    </r>
    <r>
      <rPr>
        <b val="true"/>
        <sz val="11"/>
        <rFont val="Cambria"/>
        <family val="0"/>
        <charset val="1"/>
      </rPr>
      <t xml:space="preserve">05 — </t>
    </r>
    <r>
      <rPr>
        <b val="true"/>
        <sz val="11"/>
        <rFont val="FreeSans"/>
        <family val="2"/>
      </rPr>
      <t xml:space="preserve">אינסטלציה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FreeSans"/>
        <family val="2"/>
      </rPr>
      <t xml:space="preserve">התקנת כלים סניטריים וברזים</t>
    </r>
  </si>
  <si>
    <r>
      <rPr>
        <b val="true"/>
        <sz val="11"/>
        <rFont val="FreeSans"/>
        <family val="2"/>
      </rPr>
      <t xml:space="preserve">פרק </t>
    </r>
    <r>
      <rPr>
        <b val="true"/>
        <sz val="11"/>
        <rFont val="Cambria"/>
        <family val="0"/>
        <charset val="1"/>
      </rPr>
      <t xml:space="preserve">06 — </t>
    </r>
    <r>
      <rPr>
        <b val="true"/>
        <sz val="11"/>
        <rFont val="FreeSans"/>
        <family val="2"/>
      </rPr>
      <t xml:space="preserve">חשמל</t>
    </r>
  </si>
  <si>
    <t xml:space="preserve">06.01</t>
  </si>
  <si>
    <t xml:space="preserve">נקודת שקע רגיל</t>
  </si>
  <si>
    <r>
      <rPr>
        <sz val="11"/>
        <color theme="1"/>
        <rFont val="FreeSans"/>
        <family val="2"/>
      </rPr>
      <t xml:space="preserve">ביצוע נקודת שקע רגיל במיקום ובגובה המתוכננים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תשתית וחיווט למעגל המתאים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התקנת אביזר הגמר ובדיקת תקינות הנקודה</t>
    </r>
    <r>
      <rPr>
        <sz val="11"/>
        <color theme="1"/>
        <rFont val="Calibri"/>
        <family val="2"/>
        <charset val="1"/>
      </rPr>
      <t xml:space="preserve">.</t>
    </r>
  </si>
  <si>
    <t xml:space="preserve">06.02</t>
  </si>
  <si>
    <t xml:space="preserve">נקודת שקע מוגן מים</t>
  </si>
  <si>
    <r>
      <rPr>
        <sz val="11"/>
        <color theme="1"/>
        <rFont val="FreeSans"/>
        <family val="2"/>
      </rPr>
      <t xml:space="preserve">ביצוע נקודת שקע מוגן מים באזור רטוב או חיצוני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בדרגת הגנה המתאימה למיקום ולדרישות המפרט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תשתית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חיווט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אביזר הגמר וחיבור למעגל בעל ההגנות הנדרשות</t>
    </r>
    <r>
      <rPr>
        <sz val="11"/>
        <color theme="1"/>
        <rFont val="Calibri"/>
        <family val="2"/>
        <charset val="1"/>
      </rPr>
      <t xml:space="preserve">.</t>
    </r>
  </si>
  <si>
    <t xml:space="preserve">06.03</t>
  </si>
  <si>
    <t xml:space="preserve">תשתית להפעלת תריס חשמלי</t>
  </si>
  <si>
    <r>
      <rPr>
        <sz val="11"/>
        <color theme="1"/>
        <rFont val="FreeSans"/>
        <family val="2"/>
      </rPr>
      <t xml:space="preserve">ביצוע תשתית חשמל להפעלת תריס חשמלי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לתוכנית ולשיטת הבקרה שתאושר בכתב בידי המזמין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צנרת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חיווט וקופסאות הנדרשים לשיטה שנבחרה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מנוע התריס אינו נכלל בסעיף התשתית</t>
    </r>
    <r>
      <rPr>
        <sz val="11"/>
        <color theme="1"/>
        <rFont val="Calibri"/>
        <family val="2"/>
        <charset val="1"/>
      </rPr>
      <t xml:space="preserve">.</t>
    </r>
  </si>
  <si>
    <t xml:space="preserve">06.04</t>
  </si>
  <si>
    <t xml:space="preserve">שקע מנוע תריס</t>
  </si>
  <si>
    <r>
      <rPr>
        <sz val="11"/>
        <color theme="1"/>
        <rFont val="FreeSans"/>
        <family val="2"/>
      </rPr>
      <t xml:space="preserve">ביצוע נקודת שקע למנוע תריס במיקום המתוכנן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חיווט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קופסה וחיבור למעגל המתאים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יש לתאם את גבול התכולה עם סעיף תשתית התריס כדי למנוע כפל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</si>
  <si>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לאימות – ייתכן כפל מול </t>
    </r>
    <r>
      <rPr>
        <sz val="11"/>
        <color theme="1"/>
        <rFont val="Calibri"/>
        <family val="2"/>
        <charset val="1"/>
      </rPr>
      <t xml:space="preserve">06.10</t>
    </r>
  </si>
  <si>
    <t xml:space="preserve">06.05</t>
  </si>
  <si>
    <t xml:space="preserve">נקודת שקע תלת־פאזי</t>
  </si>
  <si>
    <r>
      <rPr>
        <sz val="11"/>
        <color theme="1"/>
        <rFont val="FreeSans"/>
        <family val="2"/>
      </rPr>
      <t xml:space="preserve">ביצוע נקודת שקע תלת־פאזי בהתאם לייעוד ולעומס המתוכננים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תשתית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מוליכים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אביזר מתאים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למעגל ובדיקת תקינות</t>
    </r>
    <r>
      <rPr>
        <sz val="11"/>
        <color theme="1"/>
        <rFont val="Calibri"/>
        <family val="2"/>
        <charset val="1"/>
      </rPr>
      <t xml:space="preserve">.</t>
    </r>
  </si>
  <si>
    <t xml:space="preserve">06.06</t>
  </si>
  <si>
    <t xml:space="preserve">הרחבת לוח החשמל הראשי</t>
  </si>
  <si>
    <r>
      <rPr>
        <sz val="11"/>
        <color theme="1"/>
        <rFont val="FreeSans"/>
        <family val="2"/>
      </rPr>
      <t xml:space="preserve">הרחבת והתאמת לוח החשמל הראשי לעומסי הבית והתוספות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לתכנון החשמל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רכיבי הלוח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אמצעי ההגנה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המעגלים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סימונם ובדיקת תקינות</t>
    </r>
    <r>
      <rPr>
        <sz val="11"/>
        <color theme="1"/>
        <rFont val="Calibri"/>
        <family val="2"/>
        <charset val="1"/>
      </rPr>
      <t xml:space="preserve">.</t>
    </r>
  </si>
  <si>
    <t xml:space="preserve">06.07</t>
  </si>
  <si>
    <t xml:space="preserve">אספקה והתקנת פילר חברת החשמל</t>
  </si>
  <si>
    <r>
      <rPr>
        <sz val="11"/>
        <color theme="1"/>
        <rFont val="FreeSans"/>
        <family val="2"/>
      </rPr>
      <t xml:space="preserve">אספקה והתקנת פילר חדש בכניסה למגרש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למיקום ולמפרט שיאושרו בידי חברת החשמל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עבודות ההתקנה וההתאמות הנדרשות במסגרת הסעיף</t>
    </r>
    <r>
      <rPr>
        <sz val="11"/>
        <color theme="1"/>
        <rFont val="Calibri"/>
        <family val="2"/>
        <charset val="1"/>
      </rPr>
      <t xml:space="preserve">.</t>
    </r>
  </si>
  <si>
    <t xml:space="preserve">06.08</t>
  </si>
  <si>
    <t xml:space="preserve">טיפול בהגדלת חיבור החשמל</t>
  </si>
  <si>
    <r>
      <rPr>
        <sz val="11"/>
        <color theme="1"/>
        <rFont val="FreeSans"/>
        <family val="2"/>
      </rPr>
      <t xml:space="preserve">הכנת והגשת תוכניות ומסמכים לחברת החשמל לצורך הגדלת החיבור ל־</t>
    </r>
    <r>
      <rPr>
        <sz val="11"/>
        <color theme="1"/>
        <rFont val="Calibri"/>
        <family val="2"/>
        <charset val="1"/>
      </rPr>
      <t xml:space="preserve">3×40 </t>
    </r>
    <r>
      <rPr>
        <sz val="11"/>
        <color theme="1"/>
        <rFont val="FreeSans"/>
        <family val="2"/>
      </rPr>
      <t xml:space="preserve">אמפר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טיפול בהליך וקבלת האישורים הנדרשים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באמצעות חשמלאי בעל רישיון מתאים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התשלום לחברת החשמל בעבור הגדלת החיבור עצמה יחול על המזמין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למפרט</t>
    </r>
    <r>
      <rPr>
        <sz val="11"/>
        <color theme="1"/>
        <rFont val="Calibri"/>
        <family val="2"/>
        <charset val="1"/>
      </rPr>
      <t xml:space="preserve">.</t>
    </r>
  </si>
  <si>
    <t xml:space="preserve">06.09</t>
  </si>
  <si>
    <t xml:space="preserve">בדיקת חשמל סופית</t>
  </si>
  <si>
    <r>
      <rPr>
        <sz val="11"/>
        <color theme="1"/>
        <rFont val="FreeSans"/>
        <family val="2"/>
      </rPr>
      <t xml:space="preserve">ביצוע בדיקה סופית של מתקן החשמל באמצעות חשמלאי בודק בעל רישיון מתאים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בדיקות הארקה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בידוד ואמצעי הגנה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והמצאת דוח הבדיקה והאישורים הנדרשים</t>
    </r>
    <r>
      <rPr>
        <sz val="11"/>
        <color theme="1"/>
        <rFont val="Calibri"/>
        <family val="2"/>
        <charset val="1"/>
      </rPr>
      <t xml:space="preserve">.</t>
    </r>
  </si>
  <si>
    <t xml:space="preserve">06.10</t>
  </si>
  <si>
    <t xml:space="preserve">נקודת שקע כוח</t>
  </si>
  <si>
    <r>
      <rPr>
        <sz val="11"/>
        <color theme="1"/>
        <rFont val="FreeSans"/>
        <family val="2"/>
      </rPr>
      <t xml:space="preserve">ביצוע נקודת שקע כוח בהתאם לייעוד המסומן בתוכנית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תשתית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חיווט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אביזר הגמר וחיבור למעגל המתאים לעומס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ייעוד הנקודה וההבחנה בינה לבין שקע רגיל יוגדרו לפי המקרא</t>
    </r>
    <r>
      <rPr>
        <sz val="11"/>
        <color theme="1"/>
        <rFont val="Calibri"/>
        <family val="2"/>
        <charset val="1"/>
      </rPr>
      <t xml:space="preserve">.</t>
    </r>
  </si>
  <si>
    <t xml:space="preserve">06.11</t>
  </si>
  <si>
    <t xml:space="preserve">נקודת הזנה ליחידת מיזוג</t>
  </si>
  <si>
    <r>
      <rPr>
        <sz val="11"/>
        <color theme="1"/>
        <rFont val="FreeSans"/>
        <family val="2"/>
      </rPr>
      <t xml:space="preserve">נקודת הזנה ייעודית ליחידת מיזוג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מעגל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מפסק והגנות לפי התקן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</si>
  <si>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כמות לפי תוכנית מיזוג </t>
    </r>
    <r>
      <rPr>
        <sz val="11"/>
        <color theme="1"/>
        <rFont val="Calibri"/>
        <family val="2"/>
        <charset val="1"/>
      </rPr>
      <t xml:space="preserve">(7 </t>
    </r>
    <r>
      <rPr>
        <sz val="11"/>
        <color theme="1"/>
        <rFont val="FreeSans"/>
        <family val="2"/>
      </rPr>
      <t xml:space="preserve">או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FreeSans"/>
        <family val="2"/>
      </rPr>
      <t xml:space="preserve">לפי הכתב המקורי</t>
    </r>
    <r>
      <rPr>
        <sz val="11"/>
        <color theme="1"/>
        <rFont val="Calibri"/>
        <family val="2"/>
        <charset val="1"/>
      </rPr>
      <t xml:space="preserve">); </t>
    </r>
    <r>
      <rPr>
        <sz val="11"/>
        <color theme="1"/>
        <rFont val="FreeSans"/>
        <family val="2"/>
      </rPr>
      <t xml:space="preserve">כמות זמנית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לפי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FreeSans"/>
        <family val="2"/>
      </rPr>
      <t xml:space="preserve">או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FreeSans"/>
        <family val="2"/>
      </rPr>
      <t xml:space="preserve">בכתב המקורי – נלקח הגבוה – תחשיב לפי מדידה בפועל</t>
    </r>
  </si>
  <si>
    <t xml:space="preserve">06.12</t>
  </si>
  <si>
    <t xml:space="preserve">נקודת חיבור ישיר</t>
  </si>
  <si>
    <r>
      <rPr>
        <sz val="11"/>
        <color theme="1"/>
        <rFont val="FreeSans"/>
        <family val="2"/>
      </rPr>
      <t xml:space="preserve">נקודת חיבור ישיר לתנור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כיריים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קולט אדים או תנור חימום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לפי מקרא החשמל</t>
    </r>
    <r>
      <rPr>
        <sz val="11"/>
        <color theme="1"/>
        <rFont val="Calibri"/>
        <family val="2"/>
        <charset val="1"/>
      </rPr>
      <t xml:space="preserve">).</t>
    </r>
  </si>
  <si>
    <r>
      <rPr>
        <sz val="11"/>
        <color theme="1"/>
        <rFont val="FreeSans"/>
        <family val="2"/>
      </rPr>
      <t xml:space="preserve">כמות לפי ספירה בתוכנית חשמל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כמות זמנית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תנור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קולט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מדיח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מכונת כביסה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מייבש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דוד – תחשיב לפי מדידה בפועל</t>
    </r>
  </si>
  <si>
    <t xml:space="preserve">06.13</t>
  </si>
  <si>
    <t xml:space="preserve">מפסק זרם לדוד עם נורת סימון</t>
  </si>
  <si>
    <r>
      <rPr>
        <sz val="11"/>
        <color theme="1"/>
        <rFont val="FreeSans"/>
        <family val="2"/>
      </rPr>
      <t xml:space="preserve">נקודת מפסק זרם לדוד מים חמים עם נורת סימון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מקרא החשמל</t>
    </r>
    <r>
      <rPr>
        <sz val="11"/>
        <color theme="1"/>
        <rFont val="Calibri"/>
        <family val="2"/>
        <charset val="1"/>
      </rPr>
      <t xml:space="preserve">).</t>
    </r>
  </si>
  <si>
    <r>
      <rPr>
        <sz val="11"/>
        <color theme="1"/>
        <rFont val="FreeSans"/>
        <family val="2"/>
      </rPr>
      <t xml:space="preserve">כמות לפי מספר דודים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כמות זמנית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לפי </t>
    </r>
    <r>
      <rPr>
        <sz val="11"/>
        <color theme="1"/>
        <rFont val="Calibri"/>
        <family val="2"/>
        <charset val="1"/>
      </rPr>
      <t xml:space="preserve">PQ </t>
    </r>
    <r>
      <rPr>
        <sz val="11"/>
        <color theme="1"/>
        <rFont val="FreeSans"/>
        <family val="2"/>
      </rPr>
      <t xml:space="preserve">של </t>
    </r>
    <r>
      <rPr>
        <sz val="11"/>
        <color theme="1"/>
        <rFont val="Calibri"/>
        <family val="2"/>
        <charset val="1"/>
      </rPr>
      <t xml:space="preserve">05.34 – </t>
    </r>
    <r>
      <rPr>
        <sz val="11"/>
        <color theme="1"/>
        <rFont val="FreeSans"/>
        <family val="2"/>
      </rPr>
      <t xml:space="preserve">תחשיב לפי מדידה בפועל</t>
    </r>
  </si>
  <si>
    <t xml:space="preserve">06.14</t>
  </si>
  <si>
    <t xml:space="preserve">נקודת תרמוסטט למזגן</t>
  </si>
  <si>
    <r>
      <rPr>
        <sz val="11"/>
        <color theme="1"/>
        <rFont val="FreeSans"/>
        <family val="2"/>
      </rPr>
      <t xml:space="preserve">נקודת הכנה לתרמוסטט מזגן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מקרא החשמל</t>
    </r>
    <r>
      <rPr>
        <sz val="11"/>
        <color theme="1"/>
        <rFont val="Calibri"/>
        <family val="2"/>
        <charset val="1"/>
      </rPr>
      <t xml:space="preserve">).</t>
    </r>
  </si>
  <si>
    <r>
      <rPr>
        <sz val="11"/>
        <color theme="1"/>
        <rFont val="FreeSans"/>
        <family val="2"/>
      </rPr>
      <t xml:space="preserve">כמות לפי מספר מזגנים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כמות זמנית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לפי </t>
    </r>
    <r>
      <rPr>
        <sz val="11"/>
        <color theme="1"/>
        <rFont val="Calibri"/>
        <family val="2"/>
        <charset val="1"/>
      </rPr>
      <t xml:space="preserve">06.11 – </t>
    </r>
    <r>
      <rPr>
        <sz val="11"/>
        <color theme="1"/>
        <rFont val="FreeSans"/>
        <family val="2"/>
      </rPr>
      <t xml:space="preserve">תחשיב לפי מדידה בפועל</t>
    </r>
  </si>
  <si>
    <t xml:space="preserve">06.15</t>
  </si>
  <si>
    <t xml:space="preserve">פעמון ולחצן פעמון</t>
  </si>
  <si>
    <r>
      <rPr>
        <sz val="11"/>
        <color theme="1"/>
        <rFont val="FreeSans"/>
        <family val="2"/>
      </rPr>
      <t xml:space="preserve">התקנת פעמון בגובה </t>
    </r>
    <r>
      <rPr>
        <sz val="11"/>
        <color theme="1"/>
        <rFont val="Calibri"/>
        <family val="2"/>
        <charset val="1"/>
      </rPr>
      <t xml:space="preserve">230 </t>
    </r>
    <r>
      <rPr>
        <sz val="11"/>
        <color theme="1"/>
        <rFont val="FreeSans"/>
        <family val="2"/>
      </rPr>
      <t xml:space="preserve">ס״מ ולחצן פעמון בגובה </t>
    </r>
    <r>
      <rPr>
        <sz val="11"/>
        <color theme="1"/>
        <rFont val="Calibri"/>
        <family val="2"/>
        <charset val="1"/>
      </rPr>
      <t xml:space="preserve">130 </t>
    </r>
    <r>
      <rPr>
        <sz val="11"/>
        <color theme="1"/>
        <rFont val="FreeSans"/>
        <family val="2"/>
      </rPr>
      <t xml:space="preserve">ס״מ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חיווט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מקרא החשמל</t>
    </r>
    <r>
      <rPr>
        <sz val="11"/>
        <color theme="1"/>
        <rFont val="Calibri"/>
        <family val="2"/>
        <charset val="1"/>
      </rPr>
      <t xml:space="preserve">).</t>
    </r>
  </si>
  <si>
    <r>
      <rPr>
        <b val="true"/>
        <sz val="11"/>
        <rFont val="FreeSans"/>
        <family val="2"/>
      </rPr>
      <t xml:space="preserve">סה״כ פרק </t>
    </r>
    <r>
      <rPr>
        <b val="true"/>
        <sz val="11"/>
        <rFont val="Cambria"/>
        <family val="0"/>
        <charset val="1"/>
      </rPr>
      <t xml:space="preserve">06 — </t>
    </r>
    <r>
      <rPr>
        <b val="true"/>
        <sz val="11"/>
        <rFont val="FreeSans"/>
        <family val="2"/>
      </rPr>
      <t xml:space="preserve">חשמל</t>
    </r>
  </si>
  <si>
    <r>
      <rPr>
        <b val="true"/>
        <sz val="11"/>
        <rFont val="FreeSans"/>
        <family val="2"/>
      </rPr>
      <t xml:space="preserve">פרק </t>
    </r>
    <r>
      <rPr>
        <b val="true"/>
        <sz val="11"/>
        <rFont val="Cambria"/>
        <family val="0"/>
        <charset val="1"/>
      </rPr>
      <t xml:space="preserve">07 — </t>
    </r>
    <r>
      <rPr>
        <b val="true"/>
        <sz val="11"/>
        <rFont val="FreeSans"/>
        <family val="2"/>
      </rPr>
      <t xml:space="preserve">תאורה ומפסקי תאורה</t>
    </r>
  </si>
  <si>
    <t xml:space="preserve">07.01</t>
  </si>
  <si>
    <r>
      <rPr>
        <sz val="11"/>
        <color theme="1"/>
        <rFont val="FreeSans"/>
        <family val="2"/>
      </rPr>
      <t xml:space="preserve">מפסקי הדלקת תאורה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יחיד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כפול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משולש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רביעייה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</si>
  <si>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ביצוע והתקנת נקודות מפסקי תאורה מכל הסוגים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במיקום ובגובה המתוכננים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תשתית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חיווט ואביזר גמר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לחלוקת ההדלקות בתוכנית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</si>
  <si>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כמות לפי ספירה בתוכנית תאורה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כמות זמנית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אומדן </t>
    </r>
    <r>
      <rPr>
        <sz val="11"/>
        <color theme="1"/>
        <rFont val="Calibri"/>
        <family val="2"/>
        <charset val="1"/>
      </rPr>
      <t xml:space="preserve">~ 70% </t>
    </r>
    <r>
      <rPr>
        <sz val="11"/>
        <color theme="1"/>
        <rFont val="FreeSans"/>
        <family val="2"/>
      </rPr>
      <t xml:space="preserve">ממספר השקעים הפיזיים – תחשיב לפי מדידה בפועל</t>
    </r>
  </si>
  <si>
    <t xml:space="preserve">07.02</t>
  </si>
  <si>
    <r>
      <rPr>
        <sz val="11"/>
        <color theme="1"/>
        <rFont val="FreeSans"/>
        <family val="2"/>
      </rPr>
      <t xml:space="preserve">מפסקי מחלף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יחיד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משולש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</si>
  <si>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ביצוע והתקנת נקודות מפסקי מחלף להפעלת מעגלי תאורה ממיקומים שונים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תשתית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חיווט ואביזר גמר התואמים לחלוקת המעגלים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</si>
  <si>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כמות לפי ספירה בתוכנית תאורה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כמות זמנית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אומדן – תחשיב לפי מדידה בפועל</t>
    </r>
  </si>
  <si>
    <t xml:space="preserve">07.03</t>
  </si>
  <si>
    <t xml:space="preserve">התקנת גוף תאורה צמוד תקרה</t>
  </si>
  <si>
    <r>
      <rPr>
        <sz val="11"/>
        <color theme="1"/>
        <rFont val="FreeSans"/>
        <family val="2"/>
      </rPr>
      <t xml:space="preserve">התקנת גוף תאורה צמוד תקרה במיקום המתוכנן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קיבוע לתשתית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חשמלי ובדיקת פעולה</t>
    </r>
    <r>
      <rPr>
        <sz val="11"/>
        <color theme="1"/>
        <rFont val="Calibri"/>
        <family val="2"/>
        <charset val="1"/>
      </rPr>
      <t xml:space="preserve">.</t>
    </r>
  </si>
  <si>
    <t xml:space="preserve">07.04</t>
  </si>
  <si>
    <t xml:space="preserve">התקנת גוף תאורה תלוי</t>
  </si>
  <si>
    <r>
      <rPr>
        <sz val="11"/>
        <color theme="1"/>
        <rFont val="FreeSans"/>
        <family val="2"/>
      </rPr>
      <t xml:space="preserve">התקנת גוף תאורה תלוי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קיבוע מערכת התלייה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התאמת גובה התלייה לפי התוכנית והנחיות המתכננת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חשמלי ובדיקת פעולה</t>
    </r>
    <r>
      <rPr>
        <sz val="11"/>
        <color theme="1"/>
        <rFont val="Calibri"/>
        <family val="2"/>
        <charset val="1"/>
      </rPr>
      <t xml:space="preserve">.</t>
    </r>
  </si>
  <si>
    <t xml:space="preserve">07.05</t>
  </si>
  <si>
    <t xml:space="preserve">התקנת גוף תאורה קירי מוגן</t>
  </si>
  <si>
    <r>
      <rPr>
        <sz val="11"/>
        <color theme="1"/>
        <rFont val="FreeSans"/>
        <family val="2"/>
      </rPr>
      <t xml:space="preserve">התקנת גוף תאורה קירי מוגן במיקום ובגובה המסומנים בתוכנית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קיבוע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חשמלי ואטימת מפגש ההתקנה בהתאם למוצר ולמיקום</t>
    </r>
    <r>
      <rPr>
        <sz val="11"/>
        <color theme="1"/>
        <rFont val="Calibri"/>
        <family val="2"/>
        <charset val="1"/>
      </rPr>
      <t xml:space="preserve">.</t>
    </r>
  </si>
  <si>
    <t xml:space="preserve">07.06</t>
  </si>
  <si>
    <r>
      <rPr>
        <sz val="11"/>
        <color theme="1"/>
        <rFont val="FreeSans"/>
        <family val="2"/>
      </rPr>
      <t xml:space="preserve">התקנת גוף תאורה שקוע בקיר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מוגן</t>
    </r>
  </si>
  <si>
    <r>
      <rPr>
        <sz val="11"/>
        <color theme="1"/>
        <rFont val="FreeSans"/>
        <family val="2"/>
      </rPr>
      <t xml:space="preserve">התקנת גוף תאורה מוגן השקוע בקיר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שילוב רכיבי ההתקנה של הגוף במיקום המתוכנן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התאמה למישור הגמר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ובדיקת פעולה</t>
    </r>
    <r>
      <rPr>
        <sz val="11"/>
        <color theme="1"/>
        <rFont val="Calibri"/>
        <family val="2"/>
        <charset val="1"/>
      </rPr>
      <t xml:space="preserve">.</t>
    </r>
  </si>
  <si>
    <t xml:space="preserve">07.07</t>
  </si>
  <si>
    <t xml:space="preserve">התקנת ספוט שקוע בתקרת גבס</t>
  </si>
  <si>
    <r>
      <rPr>
        <sz val="11"/>
        <color theme="1"/>
        <rFont val="FreeSans"/>
        <family val="2"/>
      </rPr>
      <t xml:space="preserve">התקנת ספוט שקוע בתקרת גבס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בתיאום מוקדם עם עבודות הגבס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התאמת הפתח לגוף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קיבוע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חשמלי ובדיקת פעולה</t>
    </r>
    <r>
      <rPr>
        <sz val="11"/>
        <color theme="1"/>
        <rFont val="Calibri"/>
        <family val="2"/>
        <charset val="1"/>
      </rPr>
      <t xml:space="preserve">.</t>
    </r>
  </si>
  <si>
    <t xml:space="preserve">07.08</t>
  </si>
  <si>
    <t xml:space="preserve">התקנת פס תאורת לד נסתר</t>
  </si>
  <si>
    <r>
      <rPr>
        <sz val="11"/>
        <color theme="1"/>
        <rFont val="FreeSans"/>
        <family val="2"/>
      </rPr>
      <t xml:space="preserve">התקנת פס תאורת לד נסתר במיקום המתוכנן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רכיבי ההתקנה וההפעלה שסופקו עם המערכת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לנקודת ההזנה ובדיקת רציפות ופעולה</t>
    </r>
    <r>
      <rPr>
        <sz val="11"/>
        <color theme="1"/>
        <rFont val="Calibri"/>
        <family val="2"/>
        <charset val="1"/>
      </rPr>
      <t xml:space="preserve">.</t>
    </r>
  </si>
  <si>
    <t xml:space="preserve">07.09</t>
  </si>
  <si>
    <t xml:space="preserve">התקנת פס תאורה שקוע בגבס</t>
  </si>
  <si>
    <r>
      <rPr>
        <sz val="11"/>
        <color theme="1"/>
        <rFont val="FreeSans"/>
        <family val="2"/>
      </rPr>
      <t xml:space="preserve">התקנת פס תאורה שקוע בגבס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שילוב פרופיל ההתקנה התואם למוצר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תיאום עם קבלן הגבס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התאמה למישור הגמר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ובדיקת פעולה</t>
    </r>
    <r>
      <rPr>
        <sz val="11"/>
        <color theme="1"/>
        <rFont val="Calibri"/>
        <family val="2"/>
        <charset val="1"/>
      </rPr>
      <t xml:space="preserve">.</t>
    </r>
  </si>
  <si>
    <t xml:space="preserve">07.10</t>
  </si>
  <si>
    <t xml:space="preserve">התקנת פס תאורה צמוד תקרה</t>
  </si>
  <si>
    <r>
      <rPr>
        <sz val="11"/>
        <color theme="1"/>
        <rFont val="FreeSans"/>
        <family val="2"/>
      </rPr>
      <t xml:space="preserve">התקנת פס תאורה צמוד תקרה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קיבוע ישר ואחיד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התקנת רכיבי המערכת שסופקו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לנקודת ההזנה ובדיקת פעולה</t>
    </r>
    <r>
      <rPr>
        <sz val="11"/>
        <color theme="1"/>
        <rFont val="Calibri"/>
        <family val="2"/>
        <charset val="1"/>
      </rPr>
      <t xml:space="preserve">.</t>
    </r>
  </si>
  <si>
    <t xml:space="preserve">07.11</t>
  </si>
  <si>
    <t xml:space="preserve">נקודת הזנה לפס לד</t>
  </si>
  <si>
    <r>
      <rPr>
        <sz val="11"/>
        <color theme="1"/>
        <rFont val="FreeSans"/>
        <family val="2"/>
      </rPr>
      <t xml:space="preserve">ביצוע נקודת הזנה ייעודית לפס לד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צנרת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חיווט וחיבור למעגל המתוכנן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במיקום מתואם עם גוף התאורה ועם רכיבי ההפעלה שלו</t>
    </r>
    <r>
      <rPr>
        <sz val="11"/>
        <color theme="1"/>
        <rFont val="Calibri"/>
        <family val="2"/>
        <charset val="1"/>
      </rPr>
      <t xml:space="preserve">.</t>
    </r>
  </si>
  <si>
    <t xml:space="preserve">07.12</t>
  </si>
  <si>
    <t xml:space="preserve">התקנת גוף תאורה מוגן מים</t>
  </si>
  <si>
    <r>
      <rPr>
        <sz val="11"/>
        <color theme="1"/>
        <rFont val="FreeSans"/>
        <family val="2"/>
      </rPr>
      <t xml:space="preserve">התקנת גוף תאורה מוגן מים באזור רטוב או חיצוני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לסוג ולמיקום המסומנים במקרא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קיבוע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ובדיקת פעולה</t>
    </r>
    <r>
      <rPr>
        <sz val="11"/>
        <color theme="1"/>
        <rFont val="Calibri"/>
        <family val="2"/>
        <charset val="1"/>
      </rPr>
      <t xml:space="preserve">.</t>
    </r>
  </si>
  <si>
    <t xml:space="preserve">07.13</t>
  </si>
  <si>
    <t xml:space="preserve">התקנת גוף תאורה קירי</t>
  </si>
  <si>
    <r>
      <rPr>
        <sz val="11"/>
        <color theme="1"/>
        <rFont val="FreeSans"/>
        <family val="2"/>
      </rPr>
      <t xml:space="preserve">התקנת גוף תאורה קירי במיקום ובגובה המתוכננים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קיבוע לתשתית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חשמלי ובדיקת פעולה</t>
    </r>
    <r>
      <rPr>
        <sz val="11"/>
        <color theme="1"/>
        <rFont val="Calibri"/>
        <family val="2"/>
        <charset val="1"/>
      </rPr>
      <t xml:space="preserve">.</t>
    </r>
  </si>
  <si>
    <t xml:space="preserve">07.14</t>
  </si>
  <si>
    <t xml:space="preserve">התקנת גוף תאורה שקוע בקיר</t>
  </si>
  <si>
    <r>
      <rPr>
        <sz val="11"/>
        <color theme="1"/>
        <rFont val="FreeSans"/>
        <family val="2"/>
      </rPr>
      <t xml:space="preserve">התקנת גוף תאורה שקוע בקיר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שילוב רכיבי ההתקנה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התאמה למישור הגמר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חשמלי ובדיקת פעולה</t>
    </r>
    <r>
      <rPr>
        <sz val="11"/>
        <color theme="1"/>
        <rFont val="Calibri"/>
        <family val="2"/>
        <charset val="1"/>
      </rPr>
      <t xml:space="preserve">.</t>
    </r>
  </si>
  <si>
    <t xml:space="preserve">07.15</t>
  </si>
  <si>
    <t xml:space="preserve">התקנת מאוורר תקרה משולב תאורה</t>
  </si>
  <si>
    <r>
      <rPr>
        <sz val="11"/>
        <color theme="1"/>
        <rFont val="FreeSans"/>
        <family val="2"/>
      </rPr>
      <t xml:space="preserve">התקנת מאוורר תקרה הכולל גוף תאורה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קיבוע לתשתית המתאימה למוצר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הרכבה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חשמלי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כיוון ובדיקת פעולת המאוורר והתאורה</t>
    </r>
    <r>
      <rPr>
        <sz val="11"/>
        <color theme="1"/>
        <rFont val="Calibri"/>
        <family val="2"/>
        <charset val="1"/>
      </rPr>
      <t xml:space="preserve">.</t>
    </r>
  </si>
  <si>
    <t xml:space="preserve">07.16</t>
  </si>
  <si>
    <r>
      <rPr>
        <sz val="11"/>
        <color theme="1"/>
        <rFont val="FreeSans"/>
        <family val="2"/>
      </rPr>
      <t xml:space="preserve">התקנת מאוורר משולב תאורה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מוגן מים</t>
    </r>
  </si>
  <si>
    <r>
      <rPr>
        <sz val="11"/>
        <color theme="1"/>
        <rFont val="FreeSans"/>
        <family val="2"/>
      </rPr>
      <t xml:space="preserve">התקנת מאוורר משולב תאורה בעל התאמה למיקום הרטוב או החיצוני המתוכנן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קיבוע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הרכבה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ובדיקת פעולה בהתאם להוראות היצרן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</si>
  <si>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לאימות – ייתכן שנכלל ב</t>
    </r>
    <r>
      <rPr>
        <sz val="11"/>
        <color theme="1"/>
        <rFont val="Calibri"/>
        <family val="2"/>
        <charset val="1"/>
      </rPr>
      <t xml:space="preserve">-07.15</t>
    </r>
  </si>
  <si>
    <t xml:space="preserve">07.17</t>
  </si>
  <si>
    <t xml:space="preserve">התקנת ספוט צילינדר צמוד תקרה</t>
  </si>
  <si>
    <r>
      <rPr>
        <sz val="11"/>
        <color theme="1"/>
        <rFont val="FreeSans"/>
        <family val="2"/>
      </rPr>
      <t xml:space="preserve">התקנת גוף תאורה מסוג ספוט צילינדר צמוד תקרה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במיקום המתוכנן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קיבוע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ובדיקת פעולה</t>
    </r>
    <r>
      <rPr>
        <sz val="11"/>
        <color theme="1"/>
        <rFont val="Calibri"/>
        <family val="2"/>
        <charset val="1"/>
      </rPr>
      <t xml:space="preserve">.</t>
    </r>
  </si>
  <si>
    <t xml:space="preserve">07.18</t>
  </si>
  <si>
    <t xml:space="preserve">התקנת תאורת חירום דו־תכליתית</t>
  </si>
  <si>
    <r>
      <rPr>
        <sz val="11"/>
        <color theme="1"/>
        <rFont val="FreeSans"/>
        <family val="2"/>
      </rPr>
      <t xml:space="preserve">התקנת גוף תאורת חירום דו־תכליתי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חיבור ישיר ללוח בהתאם לתוכנית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ובדיקת פעולתו בעת ניתוק מבוקר של אספקת החשמל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</si>
  <si>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כמות לפי ספירה בתוכנית תאורה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כמות זמנית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אומדן</t>
    </r>
    <r>
      <rPr>
        <sz val="11"/>
        <color theme="1"/>
        <rFont val="Calibri"/>
        <family val="2"/>
        <charset val="1"/>
      </rPr>
      <t xml:space="preserve">: 3 </t>
    </r>
    <r>
      <rPr>
        <sz val="11"/>
        <color theme="1"/>
        <rFont val="FreeSans"/>
        <family val="2"/>
      </rPr>
      <t xml:space="preserve">קומות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מדרגות ומסדרונות – תחשיב לפי מדידה בפועל</t>
    </r>
  </si>
  <si>
    <t xml:space="preserve">07.19</t>
  </si>
  <si>
    <t xml:space="preserve">התקנת מקבץ ספוטים „נצנצים” שקוע בגבס</t>
  </si>
  <si>
    <r>
      <rPr>
        <sz val="11"/>
        <color theme="1"/>
        <rFont val="FreeSans"/>
        <family val="2"/>
      </rPr>
      <t xml:space="preserve">התקנת מקבץ ספוטים מסוג „נצנצים” השקוע בגבס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לפריסה המאושרת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תיאום הפתחים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קיבוע רכיבי המערכת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ובדיקת פעולה</t>
    </r>
    <r>
      <rPr>
        <sz val="11"/>
        <color theme="1"/>
        <rFont val="Calibri"/>
        <family val="2"/>
        <charset val="1"/>
      </rPr>
      <t xml:space="preserve">.</t>
    </r>
  </si>
  <si>
    <t xml:space="preserve">07.20</t>
  </si>
  <si>
    <t xml:space="preserve">נקודת הזנה כללית לתאורה</t>
  </si>
  <si>
    <r>
      <rPr>
        <sz val="11"/>
        <color theme="1"/>
        <rFont val="FreeSans"/>
        <family val="2"/>
      </rPr>
      <t xml:space="preserve">ביצוע נקודת הזנה כללית לתאורה בהתאם לתוכנית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צנרת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חיווט וחיבור למעגל המתוכנן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ללא התקנת גוף התאורה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</si>
  <si>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1"/>
        <rFont val="FreeSans"/>
        <family val="2"/>
      </rPr>
      <t xml:space="preserve">סה״כ פרק </t>
    </r>
    <r>
      <rPr>
        <b val="true"/>
        <sz val="11"/>
        <rFont val="Cambria"/>
        <family val="0"/>
        <charset val="1"/>
      </rPr>
      <t xml:space="preserve">07 — </t>
    </r>
    <r>
      <rPr>
        <b val="true"/>
        <sz val="11"/>
        <rFont val="FreeSans"/>
        <family val="2"/>
      </rPr>
      <t xml:space="preserve">תאורה ומפסקי תאורה</t>
    </r>
  </si>
  <si>
    <r>
      <rPr>
        <b val="true"/>
        <sz val="11"/>
        <rFont val="FreeSans"/>
        <family val="2"/>
      </rPr>
      <t xml:space="preserve">פרק </t>
    </r>
    <r>
      <rPr>
        <b val="true"/>
        <sz val="11"/>
        <rFont val="Cambria"/>
        <family val="0"/>
        <charset val="1"/>
      </rPr>
      <t xml:space="preserve">08 — </t>
    </r>
    <r>
      <rPr>
        <b val="true"/>
        <sz val="11"/>
        <rFont val="FreeSans"/>
        <family val="2"/>
      </rPr>
      <t xml:space="preserve">מיזוג אוויר</t>
    </r>
  </si>
  <si>
    <t xml:space="preserve">08.01</t>
  </si>
  <si>
    <t xml:space="preserve">התקנת יחידת מיזוג פנימית</t>
  </si>
  <si>
    <r>
      <rPr>
        <sz val="11"/>
        <color theme="1"/>
        <rFont val="FreeSans"/>
        <family val="2"/>
      </rPr>
      <t xml:space="preserve">התקנת יחידת מיזוג פנימית במיקום המאושר בתוכנית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קיבוע וחיבור לתשתיות הקירור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הניקוז והחשמל שהוכנו עבורה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ובדיקת פעולה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היחידה תהיה בהתאם למפרט הציוד שיימסר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במרתף נדרש אישור המתכננת לאזור המסומן בהערה</t>
    </r>
    <r>
      <rPr>
        <sz val="11"/>
        <color theme="1"/>
        <rFont val="Calibri"/>
        <family val="2"/>
        <charset val="1"/>
      </rPr>
      <t xml:space="preserve">.</t>
    </r>
  </si>
  <si>
    <t xml:space="preserve">08.02</t>
  </si>
  <si>
    <t xml:space="preserve">צנרת קירור וניקוז ליחידות המיזוג</t>
  </si>
  <si>
    <r>
      <rPr>
        <sz val="11"/>
        <color theme="1"/>
        <rFont val="FreeSans"/>
        <family val="2"/>
      </rPr>
      <t xml:space="preserve">אספקה והתקנה של צנרת נחושת מבודדת לפי הספק היחידה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ניקוז עיבוי בשיפוע תקין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תוואי לאזור מטבח חוץ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פרגולה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קופסאות וכיסויים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</si>
  <si>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כמות זמנית</t>
    </r>
    <r>
      <rPr>
        <sz val="11"/>
        <color theme="1"/>
        <rFont val="Calibri"/>
        <family val="2"/>
        <charset val="1"/>
      </rPr>
      <t xml:space="preserve">: 8 </t>
    </r>
    <r>
      <rPr>
        <sz val="11"/>
        <color theme="1"/>
        <rFont val="FreeSans"/>
        <family val="2"/>
      </rPr>
      <t xml:space="preserve">יחידות </t>
    </r>
    <r>
      <rPr>
        <sz val="11"/>
        <color theme="1"/>
        <rFont val="Calibri"/>
        <family val="2"/>
        <charset val="1"/>
      </rPr>
      <t xml:space="preserve">× ~12 </t>
    </r>
    <r>
      <rPr>
        <sz val="11"/>
        <color theme="1"/>
        <rFont val="FreeSans"/>
        <family val="2"/>
      </rPr>
      <t xml:space="preserve">מ״א – תחשיב לפי מדידה בפועל</t>
    </r>
  </si>
  <si>
    <t xml:space="preserve">08.03</t>
  </si>
  <si>
    <t xml:space="preserve">בדיקות ואקום ולחץ</t>
  </si>
  <si>
    <r>
      <rPr>
        <sz val="11"/>
        <color theme="1"/>
        <rFont val="FreeSans"/>
        <family val="2"/>
      </rPr>
      <t xml:space="preserve">ביצוע בדיקות ואקום ולחץ לצנרת הקירור לפני הפעלת המערכת ובהתאם להוראות היצרן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מסירת דוח בדיקה</t>
    </r>
    <r>
      <rPr>
        <sz val="11"/>
        <color theme="1"/>
        <rFont val="Calibri"/>
        <family val="2"/>
        <charset val="1"/>
      </rPr>
      <t xml:space="preserve">.</t>
    </r>
  </si>
  <si>
    <t xml:space="preserve">08.04</t>
  </si>
  <si>
    <t xml:space="preserve">התקנת יחידות מיזוג חיצוניות</t>
  </si>
  <si>
    <r>
      <rPr>
        <sz val="11"/>
        <color theme="1"/>
        <rFont val="FreeSans"/>
        <family val="2"/>
      </rPr>
      <t xml:space="preserve">התקנת יחידות מיזוג חיצוניות במיקום שיאושר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מתלים או בסיס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לצנרת ולחשמל ובדיקת פעולה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</si>
  <si>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כמות לפי תוכנית מיזוג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כמות זמנית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אומדן – ייתכן מיני מרכזי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 xml:space="preserve">מולטי – תחשיב לפי מדידה בפועל</t>
    </r>
  </si>
  <si>
    <r>
      <rPr>
        <b val="true"/>
        <sz val="11"/>
        <rFont val="FreeSans"/>
        <family val="2"/>
      </rPr>
      <t xml:space="preserve">סה״כ פרק </t>
    </r>
    <r>
      <rPr>
        <b val="true"/>
        <sz val="11"/>
        <rFont val="Cambria"/>
        <family val="0"/>
        <charset val="1"/>
      </rPr>
      <t xml:space="preserve">08 — </t>
    </r>
    <r>
      <rPr>
        <b val="true"/>
        <sz val="11"/>
        <rFont val="FreeSans"/>
        <family val="2"/>
      </rPr>
      <t xml:space="preserve">מיזוג אוויר</t>
    </r>
  </si>
  <si>
    <r>
      <rPr>
        <b val="true"/>
        <sz val="11"/>
        <rFont val="FreeSans"/>
        <family val="2"/>
      </rPr>
      <t xml:space="preserve">פרק </t>
    </r>
    <r>
      <rPr>
        <b val="true"/>
        <sz val="11"/>
        <rFont val="Cambria"/>
        <family val="0"/>
        <charset val="1"/>
      </rPr>
      <t xml:space="preserve">09 — </t>
    </r>
    <r>
      <rPr>
        <b val="true"/>
        <sz val="11"/>
        <rFont val="FreeSans"/>
        <family val="2"/>
      </rPr>
      <t xml:space="preserve">מחיצות ותקרות גבס</t>
    </r>
  </si>
  <si>
    <t xml:space="preserve">09.01</t>
  </si>
  <si>
    <t xml:space="preserve">מחיצות גבס במרתף</t>
  </si>
  <si>
    <r>
      <rPr>
        <sz val="11"/>
        <color theme="1"/>
        <rFont val="FreeSans"/>
        <family val="2"/>
      </rPr>
      <t xml:space="preserve">ביצוע מחיצות וקירות גבס בקומת המרתף בהתאם לתוכנית ולסוג המערכת המסומן במקרא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מסלולים וניצבים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לוחות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סרטי הפרדה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בידוד אקוסטי וחיבורי המערכת למבנה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באזורים רטובים יבוצעו לוחות עמידי מים וחיזוקים לתליית הכלים בהתאם למפרט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כולל לוח צמנטי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חיזוק מפגשים והכנה לאיטום באזורי התזה ישירה</t>
    </r>
    <r>
      <rPr>
        <sz val="11"/>
        <color theme="1"/>
        <rFont val="Calibri"/>
        <family val="2"/>
        <charset val="1"/>
      </rPr>
      <t xml:space="preserve">.</t>
    </r>
  </si>
  <si>
    <t xml:space="preserve">09.02</t>
  </si>
  <si>
    <t xml:space="preserve">מחיצות גבס בקומת הקרקע</t>
  </si>
  <si>
    <r>
      <rPr>
        <sz val="11"/>
        <color theme="1"/>
        <rFont val="FreeSans"/>
        <family val="2"/>
      </rPr>
      <t xml:space="preserve">ביצוע מחיצות וקירות גבס בקומת הקרקע בהתאם לתוכנית ולסוג המערכת המסומן במקרא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שלד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לוחות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סרטי הפרדה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בידוד אקוסטי וחיבורי המערכת למבנה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והתאמה ייעודית לאזורים הרטובים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כולל לוח צמנטי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חיזוק מפגשים והכנה לאיטום באזורי התזה ישירה</t>
    </r>
    <r>
      <rPr>
        <sz val="11"/>
        <color theme="1"/>
        <rFont val="Calibri"/>
        <family val="2"/>
        <charset val="1"/>
      </rPr>
      <t xml:space="preserve">.</t>
    </r>
  </si>
  <si>
    <t xml:space="preserve">09.03</t>
  </si>
  <si>
    <t xml:space="preserve">מחיצות גבס בקומה א׳ ובגלריה</t>
  </si>
  <si>
    <r>
      <rPr>
        <sz val="11"/>
        <color theme="1"/>
        <rFont val="FreeSans"/>
        <family val="2"/>
      </rPr>
      <t xml:space="preserve">ביצוע מחיצות וקירות גבס בקומה א׳ ובגלריה בהתאם לתוכנית ולסוג המערכת המסומן במקרא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שלד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לוחות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סרטי הפרדה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בידוד אקוסטי וחיבורי המערכת למבנה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והתאמה ייעודית לאזורים הרטובים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כולל לוח צמנטי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חיזוק מפגשים והכנה לאיטום באזורי התזה ישירה</t>
    </r>
    <r>
      <rPr>
        <sz val="11"/>
        <color theme="1"/>
        <rFont val="Calibri"/>
        <family val="2"/>
        <charset val="1"/>
      </rPr>
      <t xml:space="preserve">.</t>
    </r>
  </si>
  <si>
    <t xml:space="preserve">09.04</t>
  </si>
  <si>
    <t xml:space="preserve">תקרות גבס תלויות</t>
  </si>
  <si>
    <r>
      <rPr>
        <sz val="11"/>
        <color theme="1"/>
        <rFont val="FreeSans"/>
        <family val="2"/>
      </rPr>
      <t xml:space="preserve">ביצוע תקרות גבס תלויות או מונמכות באזורים המסומנים בתוכנית וככל שנדרש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מתלים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פרופילי נשיאה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לוחות ותיאום פתחים לתאורה ולמיזוג לפני הסגירה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להוראות מערכת הגבס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שפכטל וצבע מתוארים בפרק </t>
    </r>
    <r>
      <rPr>
        <sz val="11"/>
        <color theme="1"/>
        <rFont val="Calibri"/>
        <family val="2"/>
        <charset val="1"/>
      </rPr>
      <t xml:space="preserve">15.</t>
    </r>
  </si>
  <si>
    <r>
      <rPr>
        <b val="true"/>
        <sz val="11"/>
        <rFont val="FreeSans"/>
        <family val="2"/>
      </rPr>
      <t xml:space="preserve">סה״כ פרק </t>
    </r>
    <r>
      <rPr>
        <b val="true"/>
        <sz val="11"/>
        <rFont val="Cambria"/>
        <family val="0"/>
        <charset val="1"/>
      </rPr>
      <t xml:space="preserve">09 — </t>
    </r>
    <r>
      <rPr>
        <b val="true"/>
        <sz val="11"/>
        <rFont val="FreeSans"/>
        <family val="2"/>
      </rPr>
      <t xml:space="preserve">מחיצות ותקרות גבס</t>
    </r>
  </si>
  <si>
    <r>
      <rPr>
        <b val="true"/>
        <sz val="11"/>
        <rFont val="FreeSans"/>
        <family val="2"/>
      </rPr>
      <t xml:space="preserve">פרק </t>
    </r>
    <r>
      <rPr>
        <b val="true"/>
        <sz val="11"/>
        <rFont val="Cambria"/>
        <family val="0"/>
        <charset val="1"/>
      </rPr>
      <t xml:space="preserve">10 — </t>
    </r>
    <r>
      <rPr>
        <b val="true"/>
        <sz val="11"/>
        <rFont val="FreeSans"/>
        <family val="2"/>
      </rPr>
      <t xml:space="preserve">איטום פנים</t>
    </r>
  </si>
  <si>
    <t xml:space="preserve">10.01</t>
  </si>
  <si>
    <t xml:space="preserve">איטום רצפות חדרים רטובים</t>
  </si>
  <si>
    <r>
      <rPr>
        <sz val="11"/>
        <color theme="1"/>
        <rFont val="FreeSans"/>
        <family val="2"/>
      </rPr>
      <t xml:space="preserve">ביצוע מערכת איטום רציפה לרצפות חדרי הרחצה והאזורים הרטובים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הכנת התשתית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טיפול במפגשי רצפה וקיר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הרמות איטום היקפיות ושילוב אטום סביב מעברי הצנרת ואביזרי הניקוז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להנחיות ולאישור יועץ האיטום</t>
    </r>
    <r>
      <rPr>
        <sz val="11"/>
        <color theme="1"/>
        <rFont val="Calibri"/>
        <family val="2"/>
        <charset val="1"/>
      </rPr>
      <t xml:space="preserve">.</t>
    </r>
  </si>
  <si>
    <t xml:space="preserve">10.02</t>
  </si>
  <si>
    <t xml:space="preserve">איטום קירות חדרים רטובים</t>
  </si>
  <si>
    <r>
      <rPr>
        <sz val="11"/>
        <color theme="1"/>
        <rFont val="FreeSans"/>
        <family val="2"/>
      </rPr>
      <t xml:space="preserve">ביצוע מערכת איטום לקירות באזורים הרטובים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בשטחים ובגבהים שיאושרו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התאמה לתשתית בלוקים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בטון או לוחות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טיפול בפינות ובמפגשים ואיטום סביב חדירות ואביזרים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להנחיות יועץ האיטום</t>
    </r>
    <r>
      <rPr>
        <sz val="11"/>
        <color theme="1"/>
        <rFont val="Calibri"/>
        <family val="2"/>
        <charset val="1"/>
      </rPr>
      <t xml:space="preserve">.</t>
    </r>
  </si>
  <si>
    <t xml:space="preserve">10.03</t>
  </si>
  <si>
    <t xml:space="preserve">בדיקות הצפה לחדרים רטובים</t>
  </si>
  <si>
    <r>
      <rPr>
        <sz val="11"/>
        <color theme="1"/>
        <rFont val="FreeSans"/>
        <family val="2"/>
      </rPr>
      <t xml:space="preserve">ביצוע בדיקות הצפה נפרדות לחדרים הרטובים לאחר השלמת האיטום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למשך הזמן שיאשר יועץ האיטום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תיעוד הבדיקות וקבלת אישור בכתב לפני הריצוף</t>
    </r>
    <r>
      <rPr>
        <sz val="11"/>
        <color theme="1"/>
        <rFont val="Calibri"/>
        <family val="2"/>
        <charset val="1"/>
      </rPr>
      <t xml:space="preserve">.</t>
    </r>
  </si>
  <si>
    <t xml:space="preserve">10.04</t>
  </si>
  <si>
    <t xml:space="preserve">איטום מרפסות</t>
  </si>
  <si>
    <r>
      <rPr>
        <sz val="11"/>
        <color theme="1"/>
        <rFont val="FreeSans"/>
        <family val="2"/>
      </rPr>
      <t xml:space="preserve">איטום רצפות המרפסות מעל חללים מבונים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הרמות איטום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טיפול בספים ובנקודות ניקוז ובדיקת הצפה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בהנחיית יועץ האיטום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</si>
  <si>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1"/>
        <rFont val="FreeSans"/>
        <family val="2"/>
      </rPr>
      <t xml:space="preserve">סה״כ פרק </t>
    </r>
    <r>
      <rPr>
        <b val="true"/>
        <sz val="11"/>
        <rFont val="Cambria"/>
        <family val="0"/>
        <charset val="1"/>
      </rPr>
      <t xml:space="preserve">10 — </t>
    </r>
    <r>
      <rPr>
        <b val="true"/>
        <sz val="11"/>
        <rFont val="FreeSans"/>
        <family val="2"/>
      </rPr>
      <t xml:space="preserve">איטום פנים</t>
    </r>
  </si>
  <si>
    <r>
      <rPr>
        <b val="true"/>
        <sz val="11"/>
        <rFont val="FreeSans"/>
        <family val="2"/>
      </rPr>
      <t xml:space="preserve">פרק </t>
    </r>
    <r>
      <rPr>
        <b val="true"/>
        <sz val="11"/>
        <rFont val="Cambria"/>
        <family val="0"/>
        <charset val="1"/>
      </rPr>
      <t xml:space="preserve">11 — </t>
    </r>
    <r>
      <rPr>
        <b val="true"/>
        <sz val="11"/>
        <rFont val="FreeSans"/>
        <family val="2"/>
      </rPr>
      <t xml:space="preserve">איטום גג ופרפט</t>
    </r>
  </si>
  <si>
    <t xml:space="preserve">11.01</t>
  </si>
  <si>
    <t xml:space="preserve">בדיקת קונסטרוקטור למבנה הגג החשוף</t>
  </si>
  <si>
    <r>
      <rPr>
        <sz val="11"/>
        <color theme="1"/>
        <rFont val="FreeSans"/>
        <family val="2"/>
      </rPr>
      <t xml:space="preserve">בדיקת מצב מבנה הגג לאחר פירוק הרעפים וארגזי הרוח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וקבלת אישור בכתב לפני ביצוע</t>
    </r>
    <r>
      <rPr>
        <sz val="11"/>
        <color theme="1"/>
        <rFont val="Calibri"/>
        <family val="2"/>
        <charset val="1"/>
      </rPr>
      <t xml:space="preserve">.</t>
    </r>
  </si>
  <si>
    <t xml:space="preserve">11.02</t>
  </si>
  <si>
    <t xml:space="preserve">בניית פרפט חדש להסתרת שיפוע הגג</t>
  </si>
  <si>
    <r>
      <rPr>
        <sz val="11"/>
        <color theme="1"/>
        <rFont val="FreeSans"/>
        <family val="2"/>
      </rPr>
      <t xml:space="preserve">בניית דופן אנכית חדשה בהיקף הגג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בגובה אחיד המסתיר את קו השיפוע הישן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</si>
  <si>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כמות זמנית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היקף פרפט משוער מהתוכנית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לא נמדד</t>
    </r>
    <r>
      <rPr>
        <sz val="11"/>
        <color theme="1"/>
        <rFont val="Calibri"/>
        <family val="2"/>
        <charset val="1"/>
      </rPr>
      <t xml:space="preserve">) – </t>
    </r>
    <r>
      <rPr>
        <sz val="11"/>
        <color theme="1"/>
        <rFont val="FreeSans"/>
        <family val="2"/>
      </rPr>
      <t xml:space="preserve">תחשיב לפי מדידה בפועל</t>
    </r>
  </si>
  <si>
    <t xml:space="preserve">11.03</t>
  </si>
  <si>
    <t xml:space="preserve">איטום מלא של הגג והפרפט</t>
  </si>
  <si>
    <r>
      <rPr>
        <sz val="11"/>
        <color theme="1"/>
        <rFont val="FreeSans"/>
        <family val="2"/>
      </rPr>
      <t xml:space="preserve">מערכת איטום רציפה חדשה על כל משטח הגג כולל הרמה על הפרפט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בהנחיית יועץ איטום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בדיקת הצפה </t>
    </r>
    <r>
      <rPr>
        <sz val="11"/>
        <color theme="1"/>
        <rFont val="Calibri"/>
        <family val="2"/>
        <charset val="1"/>
      </rPr>
      <t xml:space="preserve">48–72 </t>
    </r>
    <r>
      <rPr>
        <sz val="11"/>
        <color theme="1"/>
        <rFont val="FreeSans"/>
        <family val="2"/>
      </rPr>
      <t xml:space="preserve">שעות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</si>
  <si>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כמות זמנית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שטח גג משוער מהתוכנית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לא נמדד</t>
    </r>
    <r>
      <rPr>
        <sz val="11"/>
        <color theme="1"/>
        <rFont val="Calibri"/>
        <family val="2"/>
        <charset val="1"/>
      </rPr>
      <t xml:space="preserve">) – </t>
    </r>
    <r>
      <rPr>
        <sz val="11"/>
        <color theme="1"/>
        <rFont val="FreeSans"/>
        <family val="2"/>
      </rPr>
      <t xml:space="preserve">תחשיב לפי מדידה בפועל</t>
    </r>
  </si>
  <si>
    <t xml:space="preserve">11.04</t>
  </si>
  <si>
    <t xml:space="preserve">פח קופינג עליון</t>
  </si>
  <si>
    <r>
      <rPr>
        <sz val="11"/>
        <color theme="1"/>
        <rFont val="FreeSans"/>
        <family val="2"/>
      </rPr>
      <t xml:space="preserve">אספקה והתקנת פח קופינג מגולוון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אלומיניום בגוון הבית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עם שיפוע פנימי ותפרי התפשטות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</si>
  <si>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כמות זמנית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כמו הפרפט – תחשיב לפי מדידה בפועל</t>
    </r>
  </si>
  <si>
    <t xml:space="preserve">11.05</t>
  </si>
  <si>
    <t xml:space="preserve">בדיקה ושימור מערכת ניקוז קיימת</t>
  </si>
  <si>
    <r>
      <rPr>
        <sz val="11"/>
        <color theme="1"/>
        <rFont val="FreeSans"/>
        <family val="2"/>
      </rPr>
      <t xml:space="preserve">בדיקת תפקוד מערכת הניקוז הקיימת בזרימת מים מבוקרת ושימור השיפועים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</si>
  <si>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1"/>
        <rFont val="FreeSans"/>
        <family val="2"/>
      </rPr>
      <t xml:space="preserve">סה״כ פרק </t>
    </r>
    <r>
      <rPr>
        <b val="true"/>
        <sz val="11"/>
        <rFont val="Cambria"/>
        <family val="0"/>
        <charset val="1"/>
      </rPr>
      <t xml:space="preserve">11 — </t>
    </r>
    <r>
      <rPr>
        <b val="true"/>
        <sz val="11"/>
        <rFont val="FreeSans"/>
        <family val="2"/>
      </rPr>
      <t xml:space="preserve">איטום גג ופרפט</t>
    </r>
  </si>
  <si>
    <r>
      <rPr>
        <b val="true"/>
        <sz val="11"/>
        <rFont val="FreeSans"/>
        <family val="2"/>
      </rPr>
      <t xml:space="preserve">פרק </t>
    </r>
    <r>
      <rPr>
        <b val="true"/>
        <sz val="11"/>
        <rFont val="Cambria"/>
        <family val="0"/>
        <charset val="1"/>
      </rPr>
      <t xml:space="preserve">12 — </t>
    </r>
    <r>
      <rPr>
        <b val="true"/>
        <sz val="11"/>
        <rFont val="FreeSans"/>
        <family val="2"/>
      </rPr>
      <t xml:space="preserve">אדני חלונות וספי פתחים</t>
    </r>
  </si>
  <si>
    <t xml:space="preserve">12.01</t>
  </si>
  <si>
    <t xml:space="preserve">התקנת אדני חלונות פנימיים</t>
  </si>
  <si>
    <r>
      <rPr>
        <sz val="11"/>
        <color theme="1"/>
        <rFont val="FreeSans"/>
        <family val="2"/>
      </rPr>
      <t xml:space="preserve">התקנת אדני חלונות פנימיים מאבן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שיש או חומר אחר שאושר במפרט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לאחר מדידה סופית של הפתחים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התאמה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מצע התקנה וקיבוע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בגמר ישר ואחיד וללא שברים או סדקים</t>
    </r>
    <r>
      <rPr>
        <sz val="11"/>
        <color theme="1"/>
        <rFont val="Calibri"/>
        <family val="2"/>
        <charset val="1"/>
      </rPr>
      <t xml:space="preserve">.</t>
    </r>
  </si>
  <si>
    <t xml:space="preserve">12.02</t>
  </si>
  <si>
    <t xml:space="preserve">התקנת ספי חלונות חיצוניים</t>
  </si>
  <si>
    <r>
      <rPr>
        <sz val="11"/>
        <color theme="1"/>
        <rFont val="FreeSans"/>
        <family val="2"/>
      </rPr>
      <t xml:space="preserve">התקנת ספי חלונות חיצוניים מהחומר המאושר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לאחר מדידה סופית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התאמה וקיבוע בשיפוע כלפי חוץ ותיאום עם מסגרות האלומיניום ועם מערכת האיטום</t>
    </r>
    <r>
      <rPr>
        <sz val="11"/>
        <color theme="1"/>
        <rFont val="Calibri"/>
        <family val="2"/>
        <charset val="1"/>
      </rPr>
      <t xml:space="preserve">.</t>
    </r>
  </si>
  <si>
    <t xml:space="preserve">12.03</t>
  </si>
  <si>
    <t xml:space="preserve">התקנת ספי דלתות</t>
  </si>
  <si>
    <r>
      <rPr>
        <sz val="11"/>
        <color theme="1"/>
        <rFont val="FreeSans"/>
        <family val="2"/>
      </rPr>
      <t xml:space="preserve">התקנת ספי דלתות ופתחי יציאה בהתאם לפרטים המאושרים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התאמה למפלסי הריצוף ולמשקופים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מצע התקנה וקיבוע</t>
    </r>
    <r>
      <rPr>
        <sz val="11"/>
        <color theme="1"/>
        <rFont val="Calibri"/>
        <family val="2"/>
        <charset val="1"/>
      </rPr>
      <t xml:space="preserve">.</t>
    </r>
  </si>
  <si>
    <t xml:space="preserve">12.04</t>
  </si>
  <si>
    <t xml:space="preserve">איטום סביב אדנים וספים</t>
  </si>
  <si>
    <r>
      <rPr>
        <sz val="11"/>
        <color theme="1"/>
        <rFont val="FreeSans"/>
        <family val="2"/>
      </rPr>
      <t xml:space="preserve">איטום המפגשים סביב אדני החלונות וספי הפתחים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ובינם לבין מסגרות האלומיניום והמעטפת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באמצעות מערכת וחומר גמיש מאושרים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בדיקת מים בספי החוץ בהתאם למפרט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עבודה זו לא תיכלל פעם נוספת בסעיפי התקנת הספים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</si>
  <si>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1"/>
        <rFont val="FreeSans"/>
        <family val="2"/>
      </rPr>
      <t xml:space="preserve">סה״כ פרק </t>
    </r>
    <r>
      <rPr>
        <b val="true"/>
        <sz val="11"/>
        <rFont val="Cambria"/>
        <family val="0"/>
        <charset val="1"/>
      </rPr>
      <t xml:space="preserve">12 — </t>
    </r>
    <r>
      <rPr>
        <b val="true"/>
        <sz val="11"/>
        <rFont val="FreeSans"/>
        <family val="2"/>
      </rPr>
      <t xml:space="preserve">אדני חלונות וספי פתחים</t>
    </r>
  </si>
  <si>
    <r>
      <rPr>
        <b val="true"/>
        <sz val="11"/>
        <rFont val="FreeSans"/>
        <family val="2"/>
      </rPr>
      <t xml:space="preserve">פרק </t>
    </r>
    <r>
      <rPr>
        <b val="true"/>
        <sz val="11"/>
        <rFont val="Cambria"/>
        <family val="0"/>
        <charset val="1"/>
      </rPr>
      <t xml:space="preserve">13 — </t>
    </r>
    <r>
      <rPr>
        <b val="true"/>
        <sz val="11"/>
        <rFont val="FreeSans"/>
        <family val="2"/>
      </rPr>
      <t xml:space="preserve">ריצופים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FreeSans"/>
        <family val="2"/>
      </rPr>
      <t xml:space="preserve">חיפויים ופנלים</t>
    </r>
  </si>
  <si>
    <t xml:space="preserve">13.01</t>
  </si>
  <si>
    <r>
      <rPr>
        <sz val="11"/>
        <color theme="1"/>
        <rFont val="FreeSans"/>
        <family val="2"/>
      </rPr>
      <t xml:space="preserve">ריצוף פנים באריחים </t>
    </r>
    <r>
      <rPr>
        <sz val="11"/>
        <color theme="1"/>
        <rFont val="Calibri"/>
        <family val="2"/>
        <charset val="1"/>
      </rPr>
      <t xml:space="preserve">120×120 </t>
    </r>
    <r>
      <rPr>
        <sz val="11"/>
        <color theme="1"/>
        <rFont val="FreeSans"/>
        <family val="2"/>
      </rPr>
      <t xml:space="preserve">ס״מ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רצפות מקלחות</t>
    </r>
  </si>
  <si>
    <r>
      <rPr>
        <sz val="11"/>
        <color theme="1"/>
        <rFont val="FreeSans"/>
        <family val="2"/>
      </rPr>
      <t xml:space="preserve">הנחת אריחי </t>
    </r>
    <r>
      <rPr>
        <sz val="11"/>
        <color theme="1"/>
        <rFont val="Calibri"/>
        <family val="2"/>
        <charset val="1"/>
      </rPr>
      <t xml:space="preserve">120×120 </t>
    </r>
    <r>
      <rPr>
        <sz val="11"/>
        <color theme="1"/>
        <rFont val="FreeSans"/>
        <family val="2"/>
      </rPr>
      <t xml:space="preserve">ס״מ בשטחי הפנים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רצפות המקלחות </t>
    </r>
    <r>
      <rPr>
        <sz val="11"/>
        <color theme="1"/>
        <rFont val="Calibri"/>
        <family val="2"/>
        <charset val="1"/>
      </rPr>
      <t xml:space="preserve">(28.90 </t>
    </r>
    <r>
      <rPr>
        <sz val="11"/>
        <color theme="1"/>
        <rFont val="FreeSans"/>
        <family val="2"/>
      </rPr>
      <t xml:space="preserve">מ״ר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לאחר אישור האיטום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הכנת תשתית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הדבקה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חיתוכים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התאמת שיפועים לניקוזים ומילוי פוגות</t>
    </r>
    <r>
      <rPr>
        <sz val="11"/>
        <color theme="1"/>
        <rFont val="Calibri"/>
        <family val="2"/>
        <charset val="1"/>
      </rPr>
      <t xml:space="preserve">.</t>
    </r>
  </si>
  <si>
    <t xml:space="preserve">13.02</t>
  </si>
  <si>
    <r>
      <rPr>
        <sz val="11"/>
        <color theme="1"/>
        <rFont val="FreeSans"/>
        <family val="2"/>
      </rPr>
      <t xml:space="preserve">ריצוף פנים במרתף באריחים </t>
    </r>
    <r>
      <rPr>
        <sz val="11"/>
        <color theme="1"/>
        <rFont val="Calibri"/>
        <family val="2"/>
        <charset val="1"/>
      </rPr>
      <t xml:space="preserve">120×60 </t>
    </r>
    <r>
      <rPr>
        <sz val="11"/>
        <color theme="1"/>
        <rFont val="FreeSans"/>
        <family val="2"/>
      </rPr>
      <t xml:space="preserve">ס״מ</t>
    </r>
  </si>
  <si>
    <r>
      <rPr>
        <sz val="11"/>
        <color theme="1"/>
        <rFont val="FreeSans"/>
        <family val="2"/>
      </rPr>
      <t xml:space="preserve">הנחת אריחי ריצוף במידות </t>
    </r>
    <r>
      <rPr>
        <sz val="11"/>
        <color theme="1"/>
        <rFont val="Calibri"/>
        <family val="2"/>
        <charset val="1"/>
      </rPr>
      <t xml:space="preserve">120×60 </t>
    </r>
    <r>
      <rPr>
        <sz val="11"/>
        <color theme="1"/>
        <rFont val="FreeSans"/>
        <family val="2"/>
      </rPr>
      <t xml:space="preserve">ס״מ בשטחי הפנים של המרתף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ללא רצפות המקלחות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הכנת תשתית ההתקנה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חיתוכים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התאמות ומילוי פוגות</t>
    </r>
    <r>
      <rPr>
        <sz val="11"/>
        <color theme="1"/>
        <rFont val="Calibri"/>
        <family val="2"/>
        <charset val="1"/>
      </rPr>
      <t xml:space="preserve">.</t>
    </r>
  </si>
  <si>
    <t xml:space="preserve">13.03</t>
  </si>
  <si>
    <r>
      <rPr>
        <sz val="11"/>
        <color theme="1"/>
        <rFont val="FreeSans"/>
        <family val="2"/>
      </rPr>
      <t xml:space="preserve">חיפוי קירות מקלחות באריחים </t>
    </r>
    <r>
      <rPr>
        <sz val="11"/>
        <color theme="1"/>
        <rFont val="Calibri"/>
        <family val="2"/>
        <charset val="1"/>
      </rPr>
      <t xml:space="preserve">120×60 </t>
    </r>
    <r>
      <rPr>
        <sz val="11"/>
        <color theme="1"/>
        <rFont val="FreeSans"/>
        <family val="2"/>
      </rPr>
      <t xml:space="preserve">ס״מ</t>
    </r>
  </si>
  <si>
    <r>
      <rPr>
        <sz val="11"/>
        <color theme="1"/>
        <rFont val="FreeSans"/>
        <family val="2"/>
      </rPr>
      <t xml:space="preserve">חיפוי קירות המקלחות באריחים במידות </t>
    </r>
    <r>
      <rPr>
        <sz val="11"/>
        <color theme="1"/>
        <rFont val="Calibri"/>
        <family val="2"/>
        <charset val="1"/>
      </rPr>
      <t xml:space="preserve">120×60 </t>
    </r>
    <r>
      <rPr>
        <sz val="11"/>
        <color theme="1"/>
        <rFont val="FreeSans"/>
        <family val="2"/>
      </rPr>
      <t xml:space="preserve">ס״מ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לאחר אישור מערכת האיטום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הדבקה בחומר מתאים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חיתוכים סביב אביזרים ופתחים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פרופילי גמר לפי התוכנית ומילוי פוגות</t>
    </r>
    <r>
      <rPr>
        <sz val="11"/>
        <color theme="1"/>
        <rFont val="Calibri"/>
        <family val="2"/>
        <charset val="1"/>
      </rPr>
      <t xml:space="preserve">.</t>
    </r>
  </si>
  <si>
    <t xml:space="preserve">13.04</t>
  </si>
  <si>
    <t xml:space="preserve">התקנת פנלים</t>
  </si>
  <si>
    <r>
      <rPr>
        <sz val="11"/>
        <color theme="1"/>
        <rFont val="FreeSans"/>
        <family val="2"/>
      </rPr>
      <t xml:space="preserve">חיתוך והתקנת פנלים מאריחי הגמר שנבחרו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בגובה ובהתאם לפרט המאושר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הדבקה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התאמות בפינות ובפתחים ומילוי המישקים</t>
    </r>
    <r>
      <rPr>
        <sz val="11"/>
        <color theme="1"/>
        <rFont val="Calibri"/>
        <family val="2"/>
        <charset val="1"/>
      </rPr>
      <t xml:space="preserve">.</t>
    </r>
  </si>
  <si>
    <t xml:space="preserve">13.05</t>
  </si>
  <si>
    <r>
      <rPr>
        <sz val="11"/>
        <color theme="1"/>
        <rFont val="FreeSans"/>
        <family val="2"/>
      </rPr>
      <t xml:space="preserve">ריצוף חוץ ומרפסות באריחים </t>
    </r>
    <r>
      <rPr>
        <sz val="11"/>
        <color theme="1"/>
        <rFont val="Calibri"/>
        <family val="2"/>
        <charset val="1"/>
      </rPr>
      <t xml:space="preserve">120×60 </t>
    </r>
    <r>
      <rPr>
        <sz val="11"/>
        <color theme="1"/>
        <rFont val="FreeSans"/>
        <family val="2"/>
      </rPr>
      <t xml:space="preserve">ס״מ</t>
    </r>
    <r>
      <rPr>
        <sz val="11"/>
        <color theme="1"/>
        <rFont val="Calibri"/>
        <family val="2"/>
        <charset val="1"/>
      </rPr>
      <t xml:space="preserve">, R11</t>
    </r>
  </si>
  <si>
    <r>
      <rPr>
        <sz val="11"/>
        <color theme="1"/>
        <rFont val="FreeSans"/>
        <family val="2"/>
      </rPr>
      <t xml:space="preserve">הנחת אריחי חוץ </t>
    </r>
    <r>
      <rPr>
        <sz val="11"/>
        <color theme="1"/>
        <rFont val="Calibri"/>
        <family val="2"/>
        <charset val="1"/>
      </rPr>
      <t xml:space="preserve">120×60 </t>
    </r>
    <r>
      <rPr>
        <sz val="11"/>
        <color theme="1"/>
        <rFont val="FreeSans"/>
        <family val="2"/>
      </rPr>
      <t xml:space="preserve">ס״מ </t>
    </r>
    <r>
      <rPr>
        <sz val="11"/>
        <color theme="1"/>
        <rFont val="Calibri"/>
        <family val="2"/>
        <charset val="1"/>
      </rPr>
      <t xml:space="preserve">R11 </t>
    </r>
    <r>
      <rPr>
        <sz val="11"/>
        <color theme="1"/>
        <rFont val="FreeSans"/>
        <family val="2"/>
      </rPr>
      <t xml:space="preserve">בשטחי החוץ ובמרפסות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לאחר אישור התשתית והאיטום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התאמה למפלסים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לשיפועי ניקוז ולספי הפתחים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חיתוכים ומילוי פוגות</t>
    </r>
    <r>
      <rPr>
        <sz val="11"/>
        <color theme="1"/>
        <rFont val="Calibri"/>
        <family val="2"/>
        <charset val="1"/>
      </rPr>
      <t xml:space="preserve">.</t>
    </r>
  </si>
  <si>
    <t xml:space="preserve">13.07</t>
  </si>
  <si>
    <r>
      <rPr>
        <sz val="11"/>
        <color theme="1"/>
        <rFont val="FreeSans"/>
        <family val="2"/>
      </rPr>
      <t xml:space="preserve">חיפוי מדרגות פנים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שלח ורום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</si>
  <si>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חיפוי מדרגות פנים באבן או באריחים לפי בחירה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שלח ורום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פסי החלקה ופרופילי גמר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</si>
  <si>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מתייחס לשלח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FreeSans"/>
        <family val="2"/>
      </rPr>
      <t xml:space="preserve">רום</t>
    </r>
  </si>
  <si>
    <r>
      <rPr>
        <b val="true"/>
        <sz val="11"/>
        <rFont val="FreeSans"/>
        <family val="2"/>
      </rPr>
      <t xml:space="preserve">סה״כ פרק </t>
    </r>
    <r>
      <rPr>
        <b val="true"/>
        <sz val="11"/>
        <rFont val="Cambria"/>
        <family val="0"/>
        <charset val="1"/>
      </rPr>
      <t xml:space="preserve">13 — </t>
    </r>
    <r>
      <rPr>
        <b val="true"/>
        <sz val="11"/>
        <rFont val="FreeSans"/>
        <family val="2"/>
      </rPr>
      <t xml:space="preserve">ריצופים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FreeSans"/>
        <family val="2"/>
      </rPr>
      <t xml:space="preserve">חיפויים ופנלים</t>
    </r>
  </si>
  <si>
    <r>
      <rPr>
        <b val="true"/>
        <sz val="11"/>
        <rFont val="FreeSans"/>
        <family val="2"/>
      </rPr>
      <t xml:space="preserve">פרק </t>
    </r>
    <r>
      <rPr>
        <b val="true"/>
        <sz val="11"/>
        <rFont val="Cambria"/>
        <family val="0"/>
        <charset val="1"/>
      </rPr>
      <t xml:space="preserve">14 — </t>
    </r>
    <r>
      <rPr>
        <b val="true"/>
        <sz val="11"/>
        <rFont val="FreeSans"/>
        <family val="2"/>
      </rPr>
      <t xml:space="preserve">טיח וגמר צבעוני חוץ</t>
    </r>
  </si>
  <si>
    <t xml:space="preserve">14.01</t>
  </si>
  <si>
    <t xml:space="preserve">הכנת תשתית וטיח צבעוני לחזיתות הבית</t>
  </si>
  <si>
    <r>
      <rPr>
        <sz val="11"/>
        <color theme="1"/>
        <rFont val="FreeSans"/>
        <family val="2"/>
      </rPr>
      <t xml:space="preserve">הכנה ותיקון תשתית החזית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כולל יישור אזורי המסגרות שפורקו ורשת במעברי חומרים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ויישום מערכת גמר צבעונית בגוון ובמרקם המאושרים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עם גבולות ישרים במפגש עם אזורי חיפוי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</si>
  <si>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הפיגומים בסעיף </t>
    </r>
    <r>
      <rPr>
        <sz val="11"/>
        <color theme="1"/>
        <rFont val="Calibri"/>
        <family val="2"/>
        <charset val="1"/>
      </rPr>
      <t xml:space="preserve">01.09</t>
    </r>
  </si>
  <si>
    <t xml:space="preserve">14.02</t>
  </si>
  <si>
    <t xml:space="preserve">טיח וגמר צבעוני לפרפט הגג</t>
  </si>
  <si>
    <r>
      <rPr>
        <sz val="11"/>
        <color theme="1"/>
        <rFont val="FreeSans"/>
        <family val="2"/>
      </rPr>
      <t xml:space="preserve">ביצוע הכנת תשתית וגמר צבעוני לפרפט הגג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בהתאמה לגוון ולמרקם החזיתות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טיפול בפינות ובמעברי חומרים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</si>
  <si>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כולל גימור הפרפט – אין לתמחר שוב בפרק </t>
    </r>
    <r>
      <rPr>
        <sz val="11"/>
        <color theme="1"/>
        <rFont val="Calibri"/>
        <family val="2"/>
        <charset val="1"/>
      </rPr>
      <t xml:space="preserve">11</t>
    </r>
  </si>
  <si>
    <t xml:space="preserve">14.03</t>
  </si>
  <si>
    <t xml:space="preserve">דוגמת גוון ומרקם לאישור</t>
  </si>
  <si>
    <r>
      <rPr>
        <sz val="11"/>
        <color theme="1"/>
        <rFont val="FreeSans"/>
        <family val="2"/>
      </rPr>
      <t xml:space="preserve">ביצוע דוגמת גמר באתר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המייצגת את החומר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הגוון והמרקם המוצעים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וקבלת אישור המזמין והמתכננת בכתב לפני יישום הגמר על החזיתות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</si>
  <si>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1"/>
        <rFont val="FreeSans"/>
        <family val="2"/>
      </rPr>
      <t xml:space="preserve">סה״כ פרק </t>
    </r>
    <r>
      <rPr>
        <b val="true"/>
        <sz val="11"/>
        <rFont val="Cambria"/>
        <family val="0"/>
        <charset val="1"/>
      </rPr>
      <t xml:space="preserve">14 — </t>
    </r>
    <r>
      <rPr>
        <b val="true"/>
        <sz val="11"/>
        <rFont val="FreeSans"/>
        <family val="2"/>
      </rPr>
      <t xml:space="preserve">טיח וגמר צבעוני חוץ</t>
    </r>
  </si>
  <si>
    <r>
      <rPr>
        <b val="true"/>
        <sz val="11"/>
        <rFont val="FreeSans"/>
        <family val="2"/>
      </rPr>
      <t xml:space="preserve">פרק </t>
    </r>
    <r>
      <rPr>
        <b val="true"/>
        <sz val="11"/>
        <rFont val="Cambria"/>
        <family val="0"/>
        <charset val="1"/>
      </rPr>
      <t xml:space="preserve">15 — </t>
    </r>
    <r>
      <rPr>
        <b val="true"/>
        <sz val="11"/>
        <rFont val="FreeSans"/>
        <family val="2"/>
      </rPr>
      <t xml:space="preserve">תיקוני טיח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FreeSans"/>
        <family val="2"/>
      </rPr>
      <t xml:space="preserve">שפכטל וצבע פנים</t>
    </r>
  </si>
  <si>
    <t xml:space="preserve">15.01</t>
  </si>
  <si>
    <r>
      <rPr>
        <sz val="11"/>
        <color theme="1"/>
        <rFont val="FreeSans"/>
        <family val="2"/>
      </rPr>
      <t xml:space="preserve">תיקוני טיח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שפכטל וצבע פנים – מרתף</t>
    </r>
  </si>
  <si>
    <r>
      <rPr>
        <sz val="11"/>
        <color theme="1"/>
        <rFont val="FreeSans"/>
        <family val="2"/>
      </rPr>
      <t xml:space="preserve">תיקוני טיח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שפכטל בשלוש ידיים וצביעה מחדש של קירות ותקרות פנים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עד לאישור המעצבת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הכנות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הגנות וניקיון</t>
    </r>
    <r>
      <rPr>
        <sz val="11"/>
        <color theme="1"/>
        <rFont val="Calibri"/>
        <family val="2"/>
        <charset val="1"/>
      </rPr>
      <t xml:space="preserve">.</t>
    </r>
  </si>
  <si>
    <t xml:space="preserve">15.02</t>
  </si>
  <si>
    <r>
      <rPr>
        <sz val="11"/>
        <color theme="1"/>
        <rFont val="FreeSans"/>
        <family val="2"/>
      </rPr>
      <t xml:space="preserve">תיקוני טיח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שפכטל וצבע פנים – קרקע</t>
    </r>
  </si>
  <si>
    <t xml:space="preserve">15.03</t>
  </si>
  <si>
    <r>
      <rPr>
        <sz val="11"/>
        <color theme="1"/>
        <rFont val="FreeSans"/>
        <family val="2"/>
      </rPr>
      <t xml:space="preserve">תיקוני טיח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שפכטל וצבע פנים – קומה א׳</t>
    </r>
  </si>
  <si>
    <r>
      <rPr>
        <b val="true"/>
        <sz val="11"/>
        <rFont val="FreeSans"/>
        <family val="2"/>
      </rPr>
      <t xml:space="preserve">סה״כ פרק </t>
    </r>
    <r>
      <rPr>
        <b val="true"/>
        <sz val="11"/>
        <rFont val="Cambria"/>
        <family val="0"/>
        <charset val="1"/>
      </rPr>
      <t xml:space="preserve">15 — </t>
    </r>
    <r>
      <rPr>
        <b val="true"/>
        <sz val="11"/>
        <rFont val="FreeSans"/>
        <family val="2"/>
      </rPr>
      <t xml:space="preserve">תיקוני טיח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FreeSans"/>
        <family val="2"/>
      </rPr>
      <t xml:space="preserve">שפכטל וצבע פנים</t>
    </r>
  </si>
  <si>
    <r>
      <rPr>
        <b val="true"/>
        <sz val="11"/>
        <rFont val="FreeSans"/>
        <family val="2"/>
      </rPr>
      <t xml:space="preserve">פרק </t>
    </r>
    <r>
      <rPr>
        <b val="true"/>
        <sz val="11"/>
        <rFont val="Cambria"/>
        <family val="0"/>
        <charset val="1"/>
      </rPr>
      <t xml:space="preserve">16 — </t>
    </r>
    <r>
      <rPr>
        <b val="true"/>
        <sz val="11"/>
        <rFont val="FreeSans"/>
        <family val="2"/>
      </rPr>
      <t xml:space="preserve">אלומיניום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FreeSans"/>
        <family val="2"/>
      </rPr>
      <t xml:space="preserve">דלתות ושערים</t>
    </r>
  </si>
  <si>
    <t xml:space="preserve">16.01</t>
  </si>
  <si>
    <t xml:space="preserve">פריטי אלומיניום לפי רשימת הפתחים</t>
  </si>
  <si>
    <r>
      <rPr>
        <sz val="11"/>
        <color theme="1"/>
        <rFont val="FreeSans"/>
        <family val="2"/>
      </rPr>
      <t xml:space="preserve">ביצוע והתקנת פריטי האלומיניום המסומנים </t>
    </r>
    <r>
      <rPr>
        <sz val="11"/>
        <color theme="1"/>
        <rFont val="Calibri"/>
        <family val="2"/>
        <charset val="1"/>
      </rPr>
      <t xml:space="preserve">R1–R26, </t>
    </r>
    <r>
      <rPr>
        <sz val="11"/>
        <color theme="1"/>
        <rFont val="FreeSans"/>
        <family val="2"/>
      </rPr>
      <t xml:space="preserve">בהתאם ללוח האלומיניום ולמדידה סופית מאושרת באתר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מסגרות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כנפיים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זיגוג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פרזול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עיגונים ואטימת חיבורי המסגרת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לפי ההגדרה של כל פריט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העבודה כוללת כיוון ובדיקת פתיחה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סגירה ואטימות</t>
    </r>
    <r>
      <rPr>
        <sz val="11"/>
        <color theme="1"/>
        <rFont val="Calibri"/>
        <family val="2"/>
        <charset val="1"/>
      </rPr>
      <t xml:space="preserve">.</t>
    </r>
  </si>
  <si>
    <t xml:space="preserve">16.02</t>
  </si>
  <si>
    <t xml:space="preserve">דלתות פנים </t>
  </si>
  <si>
    <r>
      <rPr>
        <sz val="11"/>
        <color theme="1"/>
        <rFont val="FreeSans"/>
        <family val="2"/>
      </rPr>
      <t xml:space="preserve">התקנת דלתות פנים  לפי לוח הדלתות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כנפיים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משקופים ופרזול המוגדרים בו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התאמה למפלסי הגמר ולכיווני הפתיחה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קיבוע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כיוון ובדיקת פעולה</t>
    </r>
    <r>
      <rPr>
        <sz val="11"/>
        <color theme="1"/>
        <rFont val="Calibri"/>
        <family val="2"/>
        <charset val="1"/>
      </rPr>
      <t xml:space="preserve">.</t>
    </r>
  </si>
  <si>
    <t xml:space="preserve">16.03</t>
  </si>
  <si>
    <t xml:space="preserve">דלתות כניסה במרתף</t>
  </si>
  <si>
    <r>
      <rPr>
        <sz val="11"/>
        <color theme="1"/>
        <rFont val="FreeSans"/>
        <family val="2"/>
      </rPr>
      <t xml:space="preserve">התקנת דלתות כניסה בקומת המרתף בהתאם ללוח הדלתות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משקופים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כנפיים ופרזול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התאמה לפתחים ולמפלסי הגמר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קיבוע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כיוון ואטימה לפי המוצר</t>
    </r>
    <r>
      <rPr>
        <sz val="11"/>
        <color theme="1"/>
        <rFont val="Calibri"/>
        <family val="2"/>
        <charset val="1"/>
      </rPr>
      <t xml:space="preserve">.</t>
    </r>
  </si>
  <si>
    <t xml:space="preserve">16.04</t>
  </si>
  <si>
    <t xml:space="preserve">דלת כניסה ראשית בקומת הקרקע</t>
  </si>
  <si>
    <r>
      <rPr>
        <sz val="11"/>
        <color theme="1"/>
        <rFont val="FreeSans"/>
        <family val="2"/>
      </rPr>
      <t xml:space="preserve">התקנת דלת כניסה ראשית במידות התכנון </t>
    </r>
    <r>
      <rPr>
        <sz val="11"/>
        <color theme="1"/>
        <rFont val="Calibri"/>
        <family val="2"/>
        <charset val="1"/>
      </rPr>
      <t xml:space="preserve">120×220 </t>
    </r>
    <r>
      <rPr>
        <sz val="11"/>
        <color theme="1"/>
        <rFont val="FreeSans"/>
        <family val="2"/>
      </rPr>
      <t xml:space="preserve">ס״מ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בכפוף למדידה סופית וללוח הדלתות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משקוף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כנף ופרזול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קיבוע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כיוון ואטימת המפגשים הנדרשים</t>
    </r>
    <r>
      <rPr>
        <sz val="11"/>
        <color theme="1"/>
        <rFont val="Calibri"/>
        <family val="2"/>
        <charset val="1"/>
      </rPr>
      <t xml:space="preserve">.</t>
    </r>
  </si>
  <si>
    <t xml:space="preserve">16.05</t>
  </si>
  <si>
    <t xml:space="preserve">שער כניסה חשמלי לרכב</t>
  </si>
  <si>
    <r>
      <rPr>
        <sz val="11"/>
        <color theme="1"/>
        <rFont val="FreeSans"/>
        <family val="2"/>
      </rPr>
      <t xml:space="preserve">ביצוע והתקנת שער כניסה חשמלי לרכב בהתאם לתוכנית השערים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רכיבי השער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מנגנון ההנעה והבקרה המוגדרים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קיבוע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חיבור לתשתיות המוכנות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כיוון ובדיקת פעולה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חיבור האינטרקום מתואם עם פרק </t>
    </r>
    <r>
      <rPr>
        <sz val="11"/>
        <color theme="1"/>
        <rFont val="Calibri"/>
        <family val="2"/>
        <charset val="1"/>
      </rPr>
      <t xml:space="preserve">18.</t>
    </r>
  </si>
  <si>
    <t xml:space="preserve">16.06</t>
  </si>
  <si>
    <t xml:space="preserve">שער פילר חשמלי</t>
  </si>
  <si>
    <r>
      <rPr>
        <sz val="11"/>
        <color theme="1"/>
        <rFont val="FreeSans"/>
        <family val="2"/>
      </rPr>
      <t xml:space="preserve">ביצוע והתקנת השער המסומן במקור „שער פילר חשמלי”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לתוכנית ולפרט המאושרים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רכיבי השער ומנגנון ההפעלה ככל שמוגדר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קיבוע ובדיקת פעולה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ייעוד השער ותצורתו טעונים אימות מול התוכנית</t>
    </r>
    <r>
      <rPr>
        <sz val="11"/>
        <color theme="1"/>
        <rFont val="Calibri"/>
        <family val="2"/>
        <charset val="1"/>
      </rPr>
      <t xml:space="preserve">.</t>
    </r>
  </si>
  <si>
    <t xml:space="preserve">16.07</t>
  </si>
  <si>
    <t xml:space="preserve">שער למתחם פחי אשפה</t>
  </si>
  <si>
    <r>
      <rPr>
        <sz val="11"/>
        <color theme="1"/>
        <rFont val="FreeSans"/>
        <family val="2"/>
      </rPr>
      <t xml:space="preserve">ביצוע והתקנת שער למתחם פחי האשפה בהתאם לתוכנית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מסגרת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כנפיים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פרזול וקיבוע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במקור קיימת אי־אחידות בשאלה אם שער זה חשמלי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מנגנון חשמלי ייכלל רק לאחר הבהרה ואישור</t>
    </r>
    <r>
      <rPr>
        <sz val="11"/>
        <color theme="1"/>
        <rFont val="Calibri"/>
        <family val="2"/>
        <charset val="1"/>
      </rPr>
      <t xml:space="preserve">.</t>
    </r>
  </si>
  <si>
    <t xml:space="preserve">16.09</t>
  </si>
  <si>
    <t xml:space="preserve">תריסים חשמליים</t>
  </si>
  <si>
    <r>
      <rPr>
        <sz val="11"/>
        <color theme="1"/>
        <rFont val="FreeSans"/>
        <family val="2"/>
      </rPr>
      <t xml:space="preserve">אספקה והתקנה של תריסים חשמליים בפתחים המסומנים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ארגז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שלבים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מסילות ומנוע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וחיבור לתשתית החשמל</t>
    </r>
    <r>
      <rPr>
        <sz val="11"/>
        <color theme="1"/>
        <rFont val="Calibri"/>
        <family val="2"/>
        <charset val="1"/>
      </rPr>
      <t xml:space="preserve">.</t>
    </r>
  </si>
  <si>
    <t xml:space="preserve">אופציה – אם מספקים גם את התריס ולא רק את ההכנה</t>
  </si>
  <si>
    <r>
      <rPr>
        <b val="true"/>
        <sz val="11"/>
        <rFont val="FreeSans"/>
        <family val="2"/>
      </rPr>
      <t xml:space="preserve">סה״כ פרק </t>
    </r>
    <r>
      <rPr>
        <b val="true"/>
        <sz val="11"/>
        <rFont val="Cambria"/>
        <family val="0"/>
        <charset val="1"/>
      </rPr>
      <t xml:space="preserve">16 — </t>
    </r>
    <r>
      <rPr>
        <b val="true"/>
        <sz val="11"/>
        <rFont val="FreeSans"/>
        <family val="2"/>
      </rPr>
      <t xml:space="preserve">אלומיניום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FreeSans"/>
        <family val="2"/>
      </rPr>
      <t xml:space="preserve">דלתות ושערים</t>
    </r>
  </si>
  <si>
    <r>
      <rPr>
        <b val="true"/>
        <sz val="11"/>
        <rFont val="FreeSans"/>
        <family val="2"/>
      </rPr>
      <t xml:space="preserve">פרק </t>
    </r>
    <r>
      <rPr>
        <b val="true"/>
        <sz val="11"/>
        <rFont val="Cambria"/>
        <family val="0"/>
        <charset val="1"/>
      </rPr>
      <t xml:space="preserve">17 — </t>
    </r>
    <r>
      <rPr>
        <b val="true"/>
        <sz val="11"/>
        <rFont val="FreeSans"/>
        <family val="2"/>
      </rPr>
      <t xml:space="preserve">פיתוח חוץ</t>
    </r>
  </si>
  <si>
    <t xml:space="preserve">17.01</t>
  </si>
  <si>
    <t xml:space="preserve">עבודות עפר ופילוס שטחי הפיתוח</t>
  </si>
  <si>
    <r>
      <rPr>
        <sz val="11"/>
        <color theme="1"/>
        <rFont val="FreeSans"/>
        <family val="2"/>
      </rPr>
      <t xml:space="preserve">ביצוע עבודות העפר והפילוס לשטחי הפיתוח בהתאם לתוכנית המאושרת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עיצוב מפלסים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תיחום והידוק הקרקע להשגת תשתית יציבה</t>
    </r>
    <r>
      <rPr>
        <sz val="11"/>
        <color theme="1"/>
        <rFont val="Calibri"/>
        <family val="2"/>
        <charset val="1"/>
      </rPr>
      <t xml:space="preserve">.</t>
    </r>
  </si>
  <si>
    <t xml:space="preserve">17.02</t>
  </si>
  <si>
    <t xml:space="preserve">מערכת ניקוז מי נגר</t>
  </si>
  <si>
    <r>
      <rPr>
        <sz val="11"/>
        <color theme="1"/>
        <rFont val="FreeSans"/>
        <family val="2"/>
      </rPr>
      <t xml:space="preserve">ביצוע מערכת ניקוז מי נגר בשטחי הפיתוח בהתאם לתכנון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רכיבי הניקוז והחיבורים המוגדרים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התאמה למפלסים ולשיפועים ובדיקת זרימה המוודאת הרחקת מים מהמבנה</t>
    </r>
    <r>
      <rPr>
        <sz val="11"/>
        <color theme="1"/>
        <rFont val="Calibri"/>
        <family val="2"/>
        <charset val="1"/>
      </rPr>
      <t xml:space="preserve">.</t>
    </r>
  </si>
  <si>
    <t xml:space="preserve">17.04</t>
  </si>
  <si>
    <r>
      <rPr>
        <sz val="11"/>
        <color theme="1"/>
        <rFont val="FreeSans"/>
        <family val="2"/>
      </rPr>
      <t xml:space="preserve">גינון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מערכת השקיה אוטומטית וברזי גינה</t>
    </r>
  </si>
  <si>
    <r>
      <rPr>
        <sz val="11"/>
        <color theme="1"/>
        <rFont val="FreeSans"/>
        <family val="2"/>
      </rPr>
      <t xml:space="preserve">עבודות גינון בשטחים המיועדים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מערכת השקיה אוטומטית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צנרת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טפטוף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המטרה ובקר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וחיבור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FreeSans"/>
        <family val="2"/>
      </rPr>
      <t xml:space="preserve">ברזי גינה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בדיקת תפקוד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סוגי הצמחייה טעונים השלמה</t>
    </r>
    <r>
      <rPr>
        <sz val="11"/>
        <color theme="1"/>
        <rFont val="Calibri"/>
        <family val="2"/>
        <charset val="1"/>
      </rPr>
      <t xml:space="preserve">.</t>
    </r>
  </si>
  <si>
    <t xml:space="preserve">17.05</t>
  </si>
  <si>
    <t xml:space="preserve">תאורת גן כולל חיבור חשמלי</t>
  </si>
  <si>
    <r>
      <rPr>
        <sz val="11"/>
        <color theme="1"/>
        <rFont val="FreeSans"/>
        <family val="2"/>
      </rPr>
      <t xml:space="preserve">התקנת גופי תאורת גן בדרגת ההגנה הנדרשת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החיבורים החשמליים למעגל מוגן ייעודי ובדיקת תקינות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גופים המתומחרים בפרק </t>
    </r>
    <r>
      <rPr>
        <sz val="11"/>
        <color theme="1"/>
        <rFont val="Calibri"/>
        <family val="2"/>
        <charset val="1"/>
      </rPr>
      <t xml:space="preserve">07 </t>
    </r>
    <r>
      <rPr>
        <sz val="11"/>
        <color theme="1"/>
        <rFont val="FreeSans"/>
        <family val="2"/>
      </rPr>
      <t xml:space="preserve">לא ייכללו שוב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</si>
  <si>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1"/>
        <rFont val="FreeSans"/>
        <family val="2"/>
      </rPr>
      <t xml:space="preserve">סה״כ פרק </t>
    </r>
    <r>
      <rPr>
        <b val="true"/>
        <sz val="11"/>
        <rFont val="Cambria"/>
        <family val="0"/>
        <charset val="1"/>
      </rPr>
      <t xml:space="preserve">17 — </t>
    </r>
    <r>
      <rPr>
        <b val="true"/>
        <sz val="11"/>
        <rFont val="FreeSans"/>
        <family val="2"/>
      </rPr>
      <t xml:space="preserve">פיתוח חוץ</t>
    </r>
  </si>
  <si>
    <r>
      <rPr>
        <b val="true"/>
        <sz val="11"/>
        <rFont val="FreeSans"/>
        <family val="2"/>
      </rPr>
      <t xml:space="preserve">פרק </t>
    </r>
    <r>
      <rPr>
        <b val="true"/>
        <sz val="11"/>
        <rFont val="Cambria"/>
        <family val="0"/>
        <charset val="1"/>
      </rPr>
      <t xml:space="preserve">18 — </t>
    </r>
    <r>
      <rPr>
        <b val="true"/>
        <sz val="11"/>
        <rFont val="FreeSans"/>
        <family val="2"/>
      </rPr>
      <t xml:space="preserve">תשתיות תקשורת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FreeSans"/>
        <family val="2"/>
      </rPr>
      <t xml:space="preserve">מיגון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FreeSans"/>
        <family val="2"/>
      </rPr>
      <t xml:space="preserve">אינטרקום ושמע</t>
    </r>
  </si>
  <si>
    <t xml:space="preserve">18.01</t>
  </si>
  <si>
    <r>
      <rPr>
        <sz val="11"/>
        <color theme="1"/>
        <rFont val="FreeSans"/>
        <family val="2"/>
      </rPr>
      <t xml:space="preserve">תשתית צנרת ושרוולים לתקשורת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מיגון ושמע – כל הקומות</t>
    </r>
  </si>
  <si>
    <r>
      <rPr>
        <sz val="11"/>
        <color theme="1"/>
        <rFont val="FreeSans"/>
        <family val="2"/>
      </rPr>
      <t xml:space="preserve">הנחת צנרת ושרוולים עם חוטי משיכה מכל הנקודות שיאושרו בשלוש הקומות אל לוח התקשורת המרכזי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בתיאום עם החשמל והגבס לפני סגירת קירות ותקרות</t>
    </r>
    <r>
      <rPr>
        <sz val="11"/>
        <color theme="1"/>
        <rFont val="Calibri"/>
        <family val="2"/>
        <charset val="1"/>
      </rPr>
      <t xml:space="preserve">.</t>
    </r>
  </si>
  <si>
    <t xml:space="preserve">18.02</t>
  </si>
  <si>
    <t xml:space="preserve">מיקום ומארז ללוח תקשורת מרכזי</t>
  </si>
  <si>
    <r>
      <rPr>
        <sz val="11"/>
        <color theme="1"/>
        <rFont val="FreeSans"/>
        <family val="2"/>
      </rPr>
      <t xml:space="preserve">הסדרת מיקום והתקנת מארז ללוח תקשורת מרכזי באזור נגיש לתחזוקה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ריכוז כניסות הצנרת והכנתו לשילוב המערכות בהתאם למפרט האינטגרטור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ציוד פעיל אינו מוגדר בסעיף המקורי</t>
    </r>
    <r>
      <rPr>
        <sz val="11"/>
        <color theme="1"/>
        <rFont val="Calibri"/>
        <family val="2"/>
        <charset val="1"/>
      </rPr>
      <t xml:space="preserve">.</t>
    </r>
  </si>
  <si>
    <t xml:space="preserve">18.03</t>
  </si>
  <si>
    <t xml:space="preserve">חיבור אינטרקום השער ללוח הפנימי</t>
  </si>
  <si>
    <r>
      <rPr>
        <sz val="11"/>
        <color theme="1"/>
        <rFont val="FreeSans"/>
        <family val="2"/>
      </rPr>
      <t xml:space="preserve">ביצוע חיבור נקודת האינטרקום בשער הכניסה ללוח הפנימי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בהתאם למערכת שתיבחר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החיווט והחיבורים הנדרשים ובדיקת תקשורת והפעלת השער מהנקודות המיועדות בבית</t>
    </r>
    <r>
      <rPr>
        <sz val="11"/>
        <color theme="1"/>
        <rFont val="Calibri"/>
        <family val="2"/>
        <charset val="1"/>
      </rPr>
      <t xml:space="preserve">.</t>
    </r>
  </si>
  <si>
    <t xml:space="preserve">18.04</t>
  </si>
  <si>
    <t xml:space="preserve">בדיקות רציפות לתשתיות</t>
  </si>
  <si>
    <r>
      <rPr>
        <sz val="11"/>
        <color theme="1"/>
        <rFont val="FreeSans"/>
        <family val="2"/>
      </rPr>
      <t xml:space="preserve">בדיקות רציפות לקווים שבהם הותקנה כבילה ובדיקת עבירות לצנרת ריקה עם חוט משיכה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לרבות מסירת תוצאות בדיקה ותוכנית עדות לתוואים שבוצעו</t>
    </r>
    <r>
      <rPr>
        <sz val="11"/>
        <color theme="1"/>
        <rFont val="Calibri"/>
        <family val="2"/>
        <charset val="1"/>
      </rPr>
      <t xml:space="preserve">.</t>
    </r>
  </si>
  <si>
    <t xml:space="preserve">18.05</t>
  </si>
  <si>
    <r>
      <rPr>
        <sz val="11"/>
        <color theme="1"/>
        <rFont val="FreeSans"/>
        <family val="2"/>
      </rPr>
      <t xml:space="preserve">נקודות תקשורת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טלוויזיה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טלפון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אינטרקום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אינטרנט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</si>
  <si>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נקודות קצה לתקשורת לפי מקרא החשמל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כבילה </t>
    </r>
    <r>
      <rPr>
        <sz val="11"/>
        <color theme="1"/>
        <rFont val="Calibri"/>
        <family val="2"/>
        <charset val="1"/>
      </rPr>
      <t xml:space="preserve">CAT6 </t>
    </r>
    <r>
      <rPr>
        <sz val="11"/>
        <color theme="1"/>
        <rFont val="FreeSans"/>
        <family val="2"/>
      </rPr>
      <t xml:space="preserve">לפחות עד לוח התקשורת ובדיקת רציפות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</si>
  <si>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FreeSans"/>
        <family val="2"/>
      </rPr>
      <t xml:space="preserve">כמות לפי מפרט האינטגרטור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כמות זמנית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אומדן –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FreeSans"/>
        <family val="2"/>
      </rPr>
      <t xml:space="preserve">קומות – תחשיב לפי מדידה בפועל</t>
    </r>
  </si>
  <si>
    <r>
      <rPr>
        <b val="true"/>
        <sz val="11"/>
        <rFont val="FreeSans"/>
        <family val="2"/>
      </rPr>
      <t xml:space="preserve">סה״כ פרק </t>
    </r>
    <r>
      <rPr>
        <b val="true"/>
        <sz val="11"/>
        <rFont val="Cambria"/>
        <family val="0"/>
        <charset val="1"/>
      </rPr>
      <t xml:space="preserve">18 — </t>
    </r>
    <r>
      <rPr>
        <b val="true"/>
        <sz val="11"/>
        <rFont val="FreeSans"/>
        <family val="2"/>
      </rPr>
      <t xml:space="preserve">תשתיות תקשורת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FreeSans"/>
        <family val="2"/>
      </rPr>
      <t xml:space="preserve">מיגון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FreeSans"/>
        <family val="2"/>
      </rPr>
      <t xml:space="preserve">אינטרקום ושמע</t>
    </r>
  </si>
  <si>
    <r>
      <rPr>
        <b val="true"/>
        <sz val="14"/>
        <rFont val="FreeSans"/>
        <family val="2"/>
      </rPr>
      <t xml:space="preserve">סיכום הצעת מחיר – שלונסקי </t>
    </r>
    <r>
      <rPr>
        <b val="true"/>
        <sz val="14"/>
        <rFont val="Cambria"/>
        <family val="0"/>
        <charset val="1"/>
      </rPr>
      <t xml:space="preserve">53</t>
    </r>
  </si>
  <si>
    <t xml:space="preserve">פרק</t>
  </si>
  <si>
    <r>
      <rPr>
        <sz val="11"/>
        <color theme="1"/>
        <rFont val="FreeSans"/>
        <family val="2"/>
      </rPr>
      <t xml:space="preserve">פרק </t>
    </r>
    <r>
      <rPr>
        <sz val="11"/>
        <color theme="1"/>
        <rFont val="Calibri"/>
        <family val="2"/>
        <charset val="1"/>
      </rPr>
      <t xml:space="preserve">01 — </t>
    </r>
    <r>
      <rPr>
        <sz val="11"/>
        <color theme="1"/>
        <rFont val="FreeSans"/>
        <family val="2"/>
      </rPr>
      <t xml:space="preserve">הכנות והתארגנות לביצוע</t>
    </r>
  </si>
  <si>
    <r>
      <rPr>
        <sz val="11"/>
        <color theme="1"/>
        <rFont val="FreeSans"/>
        <family val="2"/>
      </rPr>
      <t xml:space="preserve">פרק </t>
    </r>
    <r>
      <rPr>
        <sz val="11"/>
        <color theme="1"/>
        <rFont val="Calibri"/>
        <family val="2"/>
        <charset val="1"/>
      </rPr>
      <t xml:space="preserve">02 — </t>
    </r>
    <r>
      <rPr>
        <sz val="11"/>
        <color theme="1"/>
        <rFont val="FreeSans"/>
        <family val="2"/>
      </rPr>
      <t xml:space="preserve">הריסות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פירוקים ופינוי</t>
    </r>
  </si>
  <si>
    <r>
      <rPr>
        <sz val="11"/>
        <color theme="1"/>
        <rFont val="FreeSans"/>
        <family val="2"/>
      </rPr>
      <t xml:space="preserve">פרק </t>
    </r>
    <r>
      <rPr>
        <sz val="11"/>
        <color theme="1"/>
        <rFont val="Calibri"/>
        <family val="2"/>
        <charset val="1"/>
      </rPr>
      <t xml:space="preserve">03 — </t>
    </r>
    <r>
      <rPr>
        <sz val="11"/>
        <color theme="1"/>
        <rFont val="FreeSans"/>
        <family val="2"/>
      </rPr>
      <t xml:space="preserve">בנייה ותוספות מבניות</t>
    </r>
  </si>
  <si>
    <r>
      <rPr>
        <sz val="11"/>
        <color theme="1"/>
        <rFont val="FreeSans"/>
        <family val="2"/>
      </rPr>
      <t xml:space="preserve">פרק </t>
    </r>
    <r>
      <rPr>
        <sz val="11"/>
        <color theme="1"/>
        <rFont val="Calibri"/>
        <family val="2"/>
        <charset val="1"/>
      </rPr>
      <t xml:space="preserve">04 — </t>
    </r>
    <r>
      <rPr>
        <sz val="11"/>
        <color theme="1"/>
        <rFont val="FreeSans"/>
        <family val="2"/>
      </rPr>
      <t xml:space="preserve">חלוקה חדשה בקירות בלוקים</t>
    </r>
  </si>
  <si>
    <r>
      <rPr>
        <sz val="11"/>
        <color theme="1"/>
        <rFont val="FreeSans"/>
        <family val="2"/>
      </rPr>
      <t xml:space="preserve">פרק </t>
    </r>
    <r>
      <rPr>
        <sz val="11"/>
        <color theme="1"/>
        <rFont val="Calibri"/>
        <family val="2"/>
        <charset val="1"/>
      </rPr>
      <t xml:space="preserve">05 — </t>
    </r>
    <r>
      <rPr>
        <sz val="11"/>
        <color theme="1"/>
        <rFont val="FreeSans"/>
        <family val="2"/>
      </rPr>
      <t xml:space="preserve">אינסטלציה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התקנת כלים סניטריים וברזים</t>
    </r>
  </si>
  <si>
    <r>
      <rPr>
        <sz val="11"/>
        <color theme="1"/>
        <rFont val="FreeSans"/>
        <family val="2"/>
      </rPr>
      <t xml:space="preserve">פרק </t>
    </r>
    <r>
      <rPr>
        <sz val="11"/>
        <color theme="1"/>
        <rFont val="Calibri"/>
        <family val="2"/>
        <charset val="1"/>
      </rPr>
      <t xml:space="preserve">06 — </t>
    </r>
    <r>
      <rPr>
        <sz val="11"/>
        <color theme="1"/>
        <rFont val="FreeSans"/>
        <family val="2"/>
      </rPr>
      <t xml:space="preserve">חשמל</t>
    </r>
  </si>
  <si>
    <r>
      <rPr>
        <sz val="11"/>
        <color theme="1"/>
        <rFont val="FreeSans"/>
        <family val="2"/>
      </rPr>
      <t xml:space="preserve">פרק </t>
    </r>
    <r>
      <rPr>
        <sz val="11"/>
        <color theme="1"/>
        <rFont val="Calibri"/>
        <family val="2"/>
        <charset val="1"/>
      </rPr>
      <t xml:space="preserve">07 — </t>
    </r>
    <r>
      <rPr>
        <sz val="11"/>
        <color theme="1"/>
        <rFont val="FreeSans"/>
        <family val="2"/>
      </rPr>
      <t xml:space="preserve">תאורה ומפסקי תאורה</t>
    </r>
  </si>
  <si>
    <r>
      <rPr>
        <sz val="11"/>
        <color theme="1"/>
        <rFont val="FreeSans"/>
        <family val="2"/>
      </rPr>
      <t xml:space="preserve">פרק </t>
    </r>
    <r>
      <rPr>
        <sz val="11"/>
        <color theme="1"/>
        <rFont val="Calibri"/>
        <family val="2"/>
        <charset val="1"/>
      </rPr>
      <t xml:space="preserve">08 — </t>
    </r>
    <r>
      <rPr>
        <sz val="11"/>
        <color theme="1"/>
        <rFont val="FreeSans"/>
        <family val="2"/>
      </rPr>
      <t xml:space="preserve">מיזוג אוויר</t>
    </r>
  </si>
  <si>
    <r>
      <rPr>
        <sz val="11"/>
        <color theme="1"/>
        <rFont val="FreeSans"/>
        <family val="2"/>
      </rPr>
      <t xml:space="preserve">פרק </t>
    </r>
    <r>
      <rPr>
        <sz val="11"/>
        <color theme="1"/>
        <rFont val="Calibri"/>
        <family val="2"/>
        <charset val="1"/>
      </rPr>
      <t xml:space="preserve">09 — </t>
    </r>
    <r>
      <rPr>
        <sz val="11"/>
        <color theme="1"/>
        <rFont val="FreeSans"/>
        <family val="2"/>
      </rPr>
      <t xml:space="preserve">מחיצות ותקרות גבס</t>
    </r>
  </si>
  <si>
    <r>
      <rPr>
        <sz val="11"/>
        <color theme="1"/>
        <rFont val="FreeSans"/>
        <family val="2"/>
      </rPr>
      <t xml:space="preserve">פרק </t>
    </r>
    <r>
      <rPr>
        <sz val="11"/>
        <color theme="1"/>
        <rFont val="Calibri"/>
        <family val="2"/>
        <charset val="1"/>
      </rPr>
      <t xml:space="preserve">10 — </t>
    </r>
    <r>
      <rPr>
        <sz val="11"/>
        <color theme="1"/>
        <rFont val="FreeSans"/>
        <family val="2"/>
      </rPr>
      <t xml:space="preserve">איטום פנים</t>
    </r>
  </si>
  <si>
    <r>
      <rPr>
        <sz val="11"/>
        <color theme="1"/>
        <rFont val="FreeSans"/>
        <family val="2"/>
      </rPr>
      <t xml:space="preserve">פרק </t>
    </r>
    <r>
      <rPr>
        <sz val="11"/>
        <color theme="1"/>
        <rFont val="Calibri"/>
        <family val="2"/>
        <charset val="1"/>
      </rPr>
      <t xml:space="preserve">11 — </t>
    </r>
    <r>
      <rPr>
        <sz val="11"/>
        <color theme="1"/>
        <rFont val="FreeSans"/>
        <family val="2"/>
      </rPr>
      <t xml:space="preserve">איטום גג ופרפט</t>
    </r>
  </si>
  <si>
    <r>
      <rPr>
        <sz val="11"/>
        <color theme="1"/>
        <rFont val="FreeSans"/>
        <family val="2"/>
      </rPr>
      <t xml:space="preserve">פרק </t>
    </r>
    <r>
      <rPr>
        <sz val="11"/>
        <color theme="1"/>
        <rFont val="Calibri"/>
        <family val="2"/>
        <charset val="1"/>
      </rPr>
      <t xml:space="preserve">12 — </t>
    </r>
    <r>
      <rPr>
        <sz val="11"/>
        <color theme="1"/>
        <rFont val="FreeSans"/>
        <family val="2"/>
      </rPr>
      <t xml:space="preserve">אדני חלונות וספי פתחים</t>
    </r>
  </si>
  <si>
    <r>
      <rPr>
        <sz val="11"/>
        <color theme="1"/>
        <rFont val="FreeSans"/>
        <family val="2"/>
      </rPr>
      <t xml:space="preserve">פרק </t>
    </r>
    <r>
      <rPr>
        <sz val="11"/>
        <color theme="1"/>
        <rFont val="Calibri"/>
        <family val="2"/>
        <charset val="1"/>
      </rPr>
      <t xml:space="preserve">13 — </t>
    </r>
    <r>
      <rPr>
        <sz val="11"/>
        <color theme="1"/>
        <rFont val="FreeSans"/>
        <family val="2"/>
      </rPr>
      <t xml:space="preserve">ריצופים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חיפויים ופנלים</t>
    </r>
  </si>
  <si>
    <r>
      <rPr>
        <sz val="11"/>
        <color theme="1"/>
        <rFont val="FreeSans"/>
        <family val="2"/>
      </rPr>
      <t xml:space="preserve">פרק </t>
    </r>
    <r>
      <rPr>
        <sz val="11"/>
        <color theme="1"/>
        <rFont val="Calibri"/>
        <family val="2"/>
        <charset val="1"/>
      </rPr>
      <t xml:space="preserve">14 — </t>
    </r>
    <r>
      <rPr>
        <sz val="11"/>
        <color theme="1"/>
        <rFont val="FreeSans"/>
        <family val="2"/>
      </rPr>
      <t xml:space="preserve">טיח וגמר צבעוני חוץ</t>
    </r>
  </si>
  <si>
    <r>
      <rPr>
        <sz val="11"/>
        <color theme="1"/>
        <rFont val="FreeSans"/>
        <family val="2"/>
      </rPr>
      <t xml:space="preserve">פרק </t>
    </r>
    <r>
      <rPr>
        <sz val="11"/>
        <color theme="1"/>
        <rFont val="Calibri"/>
        <family val="2"/>
        <charset val="1"/>
      </rPr>
      <t xml:space="preserve">15 — </t>
    </r>
    <r>
      <rPr>
        <sz val="11"/>
        <color theme="1"/>
        <rFont val="FreeSans"/>
        <family val="2"/>
      </rPr>
      <t xml:space="preserve">תיקוני טיח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שפכטל וצבע פנים</t>
    </r>
  </si>
  <si>
    <r>
      <rPr>
        <sz val="11"/>
        <color theme="1"/>
        <rFont val="FreeSans"/>
        <family val="2"/>
      </rPr>
      <t xml:space="preserve">פרק </t>
    </r>
    <r>
      <rPr>
        <sz val="11"/>
        <color theme="1"/>
        <rFont val="Calibri"/>
        <family val="2"/>
        <charset val="1"/>
      </rPr>
      <t xml:space="preserve">16 — </t>
    </r>
    <r>
      <rPr>
        <sz val="11"/>
        <color theme="1"/>
        <rFont val="FreeSans"/>
        <family val="2"/>
      </rPr>
      <t xml:space="preserve">אלומיניום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דלתות ושערים</t>
    </r>
  </si>
  <si>
    <r>
      <rPr>
        <sz val="11"/>
        <color theme="1"/>
        <rFont val="FreeSans"/>
        <family val="2"/>
      </rPr>
      <t xml:space="preserve">פרק </t>
    </r>
    <r>
      <rPr>
        <sz val="11"/>
        <color theme="1"/>
        <rFont val="Calibri"/>
        <family val="2"/>
        <charset val="1"/>
      </rPr>
      <t xml:space="preserve">17 — </t>
    </r>
    <r>
      <rPr>
        <sz val="11"/>
        <color theme="1"/>
        <rFont val="FreeSans"/>
        <family val="2"/>
      </rPr>
      <t xml:space="preserve">פיתוח חוץ</t>
    </r>
  </si>
  <si>
    <r>
      <rPr>
        <sz val="11"/>
        <color theme="1"/>
        <rFont val="FreeSans"/>
        <family val="2"/>
      </rPr>
      <t xml:space="preserve">פרק </t>
    </r>
    <r>
      <rPr>
        <sz val="11"/>
        <color theme="1"/>
        <rFont val="Calibri"/>
        <family val="2"/>
        <charset val="1"/>
      </rPr>
      <t xml:space="preserve">18 — </t>
    </r>
    <r>
      <rPr>
        <sz val="11"/>
        <color theme="1"/>
        <rFont val="FreeSans"/>
        <family val="2"/>
      </rPr>
      <t xml:space="preserve">תשתיות תקשורת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מיגון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אינטרקום ושמע</t>
    </r>
  </si>
  <si>
    <t xml:space="preserve">סה״כ עלות ישירה</t>
  </si>
  <si>
    <r>
      <rPr>
        <b val="true"/>
        <sz val="11"/>
        <rFont val="FreeSans"/>
        <family val="2"/>
      </rPr>
      <t xml:space="preserve">הוצאות כלליות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FreeSans"/>
        <family val="2"/>
      </rPr>
      <t xml:space="preserve">ניהול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FreeSans"/>
        <family val="2"/>
      </rPr>
      <t xml:space="preserve">ביטוחים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FreeSans"/>
        <family val="2"/>
      </rPr>
      <t xml:space="preserve">ערבויות ורווח קבלן</t>
    </r>
  </si>
  <si>
    <t xml:space="preserve">סה״כ לפני מע״מ</t>
  </si>
  <si>
    <t xml:space="preserve">מע״מ</t>
  </si>
  <si>
    <t xml:space="preserve">סה״כ כולל מע״מ</t>
  </si>
  <si>
    <r>
      <rPr>
        <sz val="11"/>
        <color theme="1"/>
        <rFont val="FreeSans"/>
        <family val="2"/>
      </rPr>
      <t xml:space="preserve">מזה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סעיפים על בסיס כמויות זמניות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לפני תוספות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</si>
  <si>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מזה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סעיפי קומפלט קונסטרוקטיביים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פרק </t>
    </r>
    <r>
      <rPr>
        <sz val="11"/>
        <color theme="1"/>
        <rFont val="Calibri"/>
        <family val="2"/>
        <charset val="1"/>
      </rPr>
      <t xml:space="preserve">3, </t>
    </r>
    <r>
      <rPr>
        <sz val="11"/>
        <color theme="1"/>
        <rFont val="FreeSans"/>
        <family val="2"/>
      </rPr>
      <t xml:space="preserve">אומדן גס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</si>
  <si>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לא כלול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אספקת כלים סניטריים וברזים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גופי תאורה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יחידות מיזוג ודודים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אספקת אריחי ריצוף וחיפוי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בריכה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נגרות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אגרות והגדלת חיבור חשמל לחברת החשמל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יועצים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איטום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קונסטרוקטור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תאורה</t>
    </r>
    <r>
      <rPr>
        <sz val="11"/>
        <color theme="1"/>
        <rFont val="Calibri"/>
        <family val="2"/>
        <charset val="1"/>
      </rPr>
      <t xml:space="preserve">)</t>
    </r>
  </si>
  <si>
    <t xml:space="preserve">סעיף</t>
  </si>
  <si>
    <t xml:space="preserve">שם</t>
  </si>
  <si>
    <t xml:space="preserve">בסיס המחיר</t>
  </si>
  <si>
    <t xml:space="preserve">הערה</t>
  </si>
  <si>
    <r>
      <rPr>
        <sz val="11"/>
        <color theme="1"/>
        <rFont val="FreeSans"/>
        <family val="2"/>
      </rPr>
      <t xml:space="preserve">הערכת כמאי מעודכנת – רמת מחירי שיפוץ פרטי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הופחת </t>
    </r>
    <r>
      <rPr>
        <sz val="11"/>
        <color theme="1"/>
        <rFont val="Calibri"/>
        <family val="2"/>
        <charset val="1"/>
      </rPr>
      <t xml:space="preserve">~15–25% </t>
    </r>
    <r>
      <rPr>
        <sz val="11"/>
        <color theme="1"/>
        <rFont val="FreeSans"/>
        <family val="2"/>
      </rPr>
      <t xml:space="preserve">לעומת הגרסה הקודמת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</si>
  <si>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הערכת כמאי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הקמה ופירוק </t>
    </r>
    <r>
      <rPr>
        <sz val="11"/>
        <color theme="1"/>
        <rFont val="Calibri"/>
        <family val="2"/>
        <charset val="1"/>
      </rPr>
      <t xml:space="preserve">~40 + </t>
    </r>
    <r>
      <rPr>
        <sz val="11"/>
        <color theme="1"/>
        <rFont val="FreeSans"/>
        <family val="2"/>
      </rPr>
      <t xml:space="preserve">שכירות </t>
    </r>
    <r>
      <rPr>
        <sz val="11"/>
        <color theme="1"/>
        <rFont val="Calibri"/>
        <family val="2"/>
        <charset val="1"/>
      </rPr>
      <t xml:space="preserve">~4.5 </t>
    </r>
    <r>
      <rPr>
        <sz val="11"/>
        <color theme="1"/>
        <rFont val="FreeSans"/>
        <family val="2"/>
      </rPr>
      <t xml:space="preserve">חודשים </t>
    </r>
    <r>
      <rPr>
        <sz val="11"/>
        <color theme="1"/>
        <rFont val="Calibri"/>
        <family val="2"/>
        <charset val="1"/>
      </rPr>
      <t xml:space="preserve">×10 ₪/</t>
    </r>
    <r>
      <rPr>
        <sz val="11"/>
        <color theme="1"/>
        <rFont val="FreeSans"/>
        <family val="2"/>
      </rPr>
      <t xml:space="preserve">מ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ר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חודש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לפי לוח הזמנים</t>
    </r>
  </si>
  <si>
    <t xml:space="preserve">כמות זמנית</t>
  </si>
  <si>
    <r>
      <rPr>
        <sz val="11"/>
        <color theme="1"/>
        <rFont val="FreeSans"/>
        <family val="2"/>
      </rPr>
      <t xml:space="preserve">סקר</t>
    </r>
    <r>
      <rPr>
        <sz val="11"/>
        <color theme="1"/>
        <rFont val="Calibri"/>
        <family val="2"/>
        <charset val="1"/>
      </rPr>
      <t xml:space="preserve">: pro.co.il – </t>
    </r>
    <r>
      <rPr>
        <sz val="11"/>
        <color theme="1"/>
        <rFont val="FreeSans"/>
        <family val="2"/>
      </rPr>
      <t xml:space="preserve">פירוק ריצוף </t>
    </r>
    <r>
      <rPr>
        <sz val="11"/>
        <color theme="1"/>
        <rFont val="Calibri"/>
        <family val="2"/>
        <charset val="1"/>
      </rPr>
      <t xml:space="preserve">90–110 ₪/</t>
    </r>
    <r>
      <rPr>
        <sz val="11"/>
        <color theme="1"/>
        <rFont val="FreeSans"/>
        <family val="2"/>
      </rPr>
      <t xml:space="preserve">מ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ר כולל מע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מ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ללא תאריך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 xml:space="preserve">הותאם לשיפוץ</t>
    </r>
  </si>
  <si>
    <r>
      <rPr>
        <sz val="11"/>
        <color theme="1"/>
        <rFont val="FreeSans"/>
        <family val="2"/>
      </rPr>
      <t xml:space="preserve">אומדן גס – קומפלט לפי קונסטרוקטור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ללא תוכניות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מומלץ סכום זמני</t>
    </r>
  </si>
  <si>
    <r>
      <rPr>
        <sz val="11"/>
        <color theme="1"/>
        <rFont val="FreeSans"/>
        <family val="2"/>
      </rPr>
      <t xml:space="preserve">סקר</t>
    </r>
    <r>
      <rPr>
        <sz val="11"/>
        <color theme="1"/>
        <rFont val="Calibri"/>
        <family val="2"/>
        <charset val="1"/>
      </rPr>
      <t xml:space="preserve">: mrplumber.co.il / piper.co.il – </t>
    </r>
    <r>
      <rPr>
        <sz val="11"/>
        <color theme="1"/>
        <rFont val="FreeSans"/>
        <family val="2"/>
      </rPr>
      <t xml:space="preserve">נקודת מים </t>
    </r>
    <r>
      <rPr>
        <sz val="11"/>
        <color theme="1"/>
        <rFont val="Calibri"/>
        <family val="2"/>
        <charset val="1"/>
      </rPr>
      <t xml:space="preserve">700–1,500 ₪; </t>
    </r>
    <r>
      <rPr>
        <sz val="11"/>
        <color theme="1"/>
        <rFont val="FreeSans"/>
        <family val="2"/>
      </rPr>
      <t xml:space="preserve">חמים וקרים </t>
    </r>
    <r>
      <rPr>
        <sz val="11"/>
        <color theme="1"/>
        <rFont val="Calibri"/>
        <family val="2"/>
        <charset val="1"/>
      </rPr>
      <t xml:space="preserve">1,600–2,500 ₪ | </t>
    </r>
    <r>
      <rPr>
        <sz val="11"/>
        <color theme="1"/>
        <rFont val="FreeSans"/>
        <family val="2"/>
      </rPr>
      <t xml:space="preserve">הותאם לשיפוץ</t>
    </r>
  </si>
  <si>
    <r>
      <rPr>
        <sz val="11"/>
        <color theme="1"/>
        <rFont val="FreeSans"/>
        <family val="2"/>
      </rPr>
      <t xml:space="preserve">סקר</t>
    </r>
    <r>
      <rPr>
        <sz val="11"/>
        <color theme="1"/>
        <rFont val="Calibri"/>
        <family val="2"/>
        <charset val="1"/>
      </rPr>
      <t xml:space="preserve">: midrag.co.il / oz-shiputsim.co.il – </t>
    </r>
    <r>
      <rPr>
        <sz val="11"/>
        <color theme="1"/>
        <rFont val="FreeSans"/>
        <family val="2"/>
      </rPr>
      <t xml:space="preserve">נקודת חשמל </t>
    </r>
    <r>
      <rPr>
        <sz val="11"/>
        <color theme="1"/>
        <rFont val="Calibri"/>
        <family val="2"/>
        <charset val="1"/>
      </rPr>
      <t xml:space="preserve">350–700 ₪ (</t>
    </r>
    <r>
      <rPr>
        <sz val="11"/>
        <color theme="1"/>
        <rFont val="FreeSans"/>
        <family val="2"/>
      </rPr>
      <t xml:space="preserve">עד </t>
    </r>
    <r>
      <rPr>
        <sz val="11"/>
        <color theme="1"/>
        <rFont val="Calibri"/>
        <family val="2"/>
        <charset val="1"/>
      </rPr>
      <t xml:space="preserve">2,000 </t>
    </r>
    <r>
      <rPr>
        <sz val="11"/>
        <color theme="1"/>
        <rFont val="FreeSans"/>
        <family val="2"/>
      </rPr>
      <t xml:space="preserve">בנקודה מורכבת</t>
    </r>
    <r>
      <rPr>
        <sz val="11"/>
        <color theme="1"/>
        <rFont val="Calibri"/>
        <family val="2"/>
        <charset val="1"/>
      </rPr>
      <t xml:space="preserve">) | </t>
    </r>
    <r>
      <rPr>
        <sz val="11"/>
        <color theme="1"/>
        <rFont val="FreeSans"/>
        <family val="2"/>
      </rPr>
      <t xml:space="preserve">הותאם לשיפוץ</t>
    </r>
  </si>
  <si>
    <r>
      <rPr>
        <sz val="11"/>
        <color theme="1"/>
        <rFont val="FreeSans"/>
        <family val="2"/>
      </rPr>
      <t xml:space="preserve">סקר</t>
    </r>
    <r>
      <rPr>
        <sz val="11"/>
        <color theme="1"/>
        <rFont val="Calibri"/>
        <family val="2"/>
        <charset val="1"/>
      </rPr>
      <t xml:space="preserve">: bonimbayit.co.il – </t>
    </r>
    <r>
      <rPr>
        <sz val="11"/>
        <color theme="1"/>
        <rFont val="FreeSans"/>
        <family val="2"/>
      </rPr>
      <t xml:space="preserve">גבס </t>
    </r>
    <r>
      <rPr>
        <sz val="11"/>
        <color theme="1"/>
        <rFont val="Calibri"/>
        <family val="2"/>
        <charset val="1"/>
      </rPr>
      <t xml:space="preserve">350–400 ₪/</t>
    </r>
    <r>
      <rPr>
        <sz val="11"/>
        <color theme="1"/>
        <rFont val="FreeSans"/>
        <family val="2"/>
      </rPr>
      <t xml:space="preserve">מ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ר כולל חומר והתקנה </t>
    </r>
    <r>
      <rPr>
        <sz val="11"/>
        <color theme="1"/>
        <rFont val="Calibri"/>
        <family val="2"/>
        <charset val="1"/>
      </rPr>
      <t xml:space="preserve">(2026) | </t>
    </r>
    <r>
      <rPr>
        <sz val="11"/>
        <color theme="1"/>
        <rFont val="FreeSans"/>
        <family val="2"/>
      </rPr>
      <t xml:space="preserve">הותאם לשיפוץ</t>
    </r>
  </si>
  <si>
    <r>
      <rPr>
        <sz val="11"/>
        <color theme="1"/>
        <rFont val="FreeSans"/>
        <family val="2"/>
      </rPr>
      <t xml:space="preserve">סקר</t>
    </r>
    <r>
      <rPr>
        <sz val="11"/>
        <color theme="1"/>
        <rFont val="Calibri"/>
        <family val="2"/>
        <charset val="1"/>
      </rPr>
      <t xml:space="preserve">: midrag.co.il / itum1.co.il – </t>
    </r>
    <r>
      <rPr>
        <sz val="11"/>
        <color theme="1"/>
        <rFont val="FreeSans"/>
        <family val="2"/>
      </rPr>
      <t xml:space="preserve">איטום חדר רטוב </t>
    </r>
    <r>
      <rPr>
        <sz val="11"/>
        <color theme="1"/>
        <rFont val="Calibri"/>
        <family val="2"/>
        <charset val="1"/>
      </rPr>
      <t xml:space="preserve">100–250 ₪/</t>
    </r>
    <r>
      <rPr>
        <sz val="11"/>
        <color theme="1"/>
        <rFont val="FreeSans"/>
        <family val="2"/>
      </rPr>
      <t xml:space="preserve">מ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ר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 xml:space="preserve">הותאם לשיפוץ</t>
    </r>
  </si>
  <si>
    <r>
      <rPr>
        <sz val="11"/>
        <color theme="1"/>
        <rFont val="FreeSans"/>
        <family val="2"/>
      </rPr>
      <t xml:space="preserve">סקר</t>
    </r>
    <r>
      <rPr>
        <sz val="11"/>
        <color theme="1"/>
        <rFont val="Calibri"/>
        <family val="2"/>
        <charset val="1"/>
      </rPr>
      <t xml:space="preserve">: pro.co.il – </t>
    </r>
    <r>
      <rPr>
        <sz val="11"/>
        <color theme="1"/>
        <rFont val="FreeSans"/>
        <family val="2"/>
      </rPr>
      <t xml:space="preserve">הדבקת ריצוף </t>
    </r>
    <r>
      <rPr>
        <sz val="11"/>
        <color theme="1"/>
        <rFont val="Calibri"/>
        <family val="2"/>
        <charset val="1"/>
      </rPr>
      <t xml:space="preserve">200–250 ₪/</t>
    </r>
    <r>
      <rPr>
        <sz val="11"/>
        <color theme="1"/>
        <rFont val="FreeSans"/>
        <family val="2"/>
      </rPr>
      <t xml:space="preserve">מ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ר כולל מע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מ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ללא תאריך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הותאם לפורמט גדול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 xml:space="preserve">הותאם לשיפוץ</t>
    </r>
  </si>
  <si>
    <r>
      <rPr>
        <sz val="11"/>
        <color theme="1"/>
        <rFont val="FreeSans"/>
        <family val="2"/>
      </rPr>
      <t xml:space="preserve">סקר</t>
    </r>
    <r>
      <rPr>
        <sz val="11"/>
        <color theme="1"/>
        <rFont val="Calibri"/>
        <family val="2"/>
        <charset val="1"/>
      </rPr>
      <t xml:space="preserve">: pro.co.il – </t>
    </r>
    <r>
      <rPr>
        <sz val="11"/>
        <color theme="1"/>
        <rFont val="FreeSans"/>
        <family val="2"/>
      </rPr>
      <t xml:space="preserve">חיפוי קיר </t>
    </r>
    <r>
      <rPr>
        <sz val="11"/>
        <color theme="1"/>
        <rFont val="Calibri"/>
        <family val="2"/>
        <charset val="1"/>
      </rPr>
      <t xml:space="preserve">600–700 ₪/</t>
    </r>
    <r>
      <rPr>
        <sz val="11"/>
        <color theme="1"/>
        <rFont val="FreeSans"/>
        <family val="2"/>
      </rPr>
      <t xml:space="preserve">מ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ר כולל מע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מ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ללא תאריך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ללא מע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מ </t>
    </r>
    <r>
      <rPr>
        <sz val="11"/>
        <color theme="1"/>
        <rFont val="Calibri"/>
        <family val="2"/>
        <charset val="1"/>
      </rPr>
      <t xml:space="preserve">~510–600); </t>
    </r>
    <r>
      <rPr>
        <sz val="11"/>
        <color theme="1"/>
        <rFont val="FreeSans"/>
        <family val="2"/>
      </rPr>
      <t xml:space="preserve">הותאם </t>
    </r>
    <r>
      <rPr>
        <sz val="11"/>
        <color theme="1"/>
        <rFont val="Calibri"/>
        <family val="2"/>
        <charset val="1"/>
      </rPr>
      <t xml:space="preserve">| </t>
    </r>
    <r>
      <rPr>
        <sz val="11"/>
        <color theme="1"/>
        <rFont val="FreeSans"/>
        <family val="2"/>
      </rPr>
      <t xml:space="preserve">הותאם לשיפוץ</t>
    </r>
  </si>
  <si>
    <r>
      <rPr>
        <sz val="11"/>
        <color theme="1"/>
        <rFont val="FreeSans"/>
        <family val="2"/>
      </rPr>
      <t xml:space="preserve">מחיר לפי הקבלן – דלתות פנים בשיפוץ </t>
    </r>
    <r>
      <rPr>
        <sz val="11"/>
        <color theme="1"/>
        <rFont val="Calibri"/>
        <family val="2"/>
        <charset val="1"/>
      </rPr>
      <t xml:space="preserve">~1,200 ₪ </t>
    </r>
    <r>
      <rPr>
        <sz val="11"/>
        <color theme="1"/>
        <rFont val="FreeSans"/>
        <family val="2"/>
      </rPr>
      <t xml:space="preserve">ליחידה</t>
    </r>
  </si>
  <si>
    <t xml:space="preserve">נושא</t>
  </si>
  <si>
    <t xml:space="preserve">ממצא</t>
  </si>
  <si>
    <t xml:space="preserve">מקור</t>
  </si>
  <si>
    <t xml:space="preserve">הערת אמינות</t>
  </si>
  <si>
    <t xml:space="preserve">איטום חדר רטוב</t>
  </si>
  <si>
    <r>
      <rPr>
        <sz val="11"/>
        <color theme="1"/>
        <rFont val="Calibri"/>
        <family val="2"/>
        <charset val="1"/>
      </rPr>
      <t xml:space="preserve">100–250 ₪ </t>
    </r>
    <r>
      <rPr>
        <sz val="11"/>
        <color theme="1"/>
        <rFont val="FreeSans"/>
        <family val="2"/>
      </rPr>
      <t xml:space="preserve">למ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ר</t>
    </r>
  </si>
  <si>
    <t xml:space="preserve">https://www.midrag.co.il/Content/Tip/19385 ; https://www.itum1.co.il</t>
  </si>
  <si>
    <r>
      <rPr>
        <sz val="11"/>
        <color theme="1"/>
        <rFont val="FreeSans"/>
        <family val="2"/>
      </rPr>
      <t xml:space="preserve">אתרי פרסום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ללא תאריך ברור</t>
    </r>
  </si>
  <si>
    <t xml:space="preserve">גבס</t>
  </si>
  <si>
    <r>
      <rPr>
        <sz val="11"/>
        <color theme="1"/>
        <rFont val="Calibri"/>
        <family val="2"/>
        <charset val="1"/>
      </rPr>
      <t xml:space="preserve">350–400 ₪ </t>
    </r>
    <r>
      <rPr>
        <sz val="11"/>
        <color theme="1"/>
        <rFont val="FreeSans"/>
        <family val="2"/>
      </rPr>
      <t xml:space="preserve">למ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ר כולל חומר והתקנה</t>
    </r>
  </si>
  <si>
    <t xml:space="preserve">https://bonimbayit.co.il/private-home-construction-costs-2026/</t>
  </si>
  <si>
    <r>
      <rPr>
        <sz val="11"/>
        <color theme="1"/>
        <rFont val="FreeSans"/>
        <family val="2"/>
      </rPr>
      <t xml:space="preserve">מחירון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FreeSans"/>
        <family val="2"/>
      </rPr>
      <t xml:space="preserve">לבית פרטי</t>
    </r>
  </si>
  <si>
    <t xml:space="preserve">נקודת חשמל</t>
  </si>
  <si>
    <r>
      <rPr>
        <sz val="11"/>
        <color theme="1"/>
        <rFont val="Calibri"/>
        <family val="2"/>
        <charset val="1"/>
      </rPr>
      <t xml:space="preserve">350–2,000 ₪; </t>
    </r>
    <r>
      <rPr>
        <sz val="11"/>
        <color theme="1"/>
        <rFont val="FreeSans"/>
        <family val="2"/>
      </rPr>
      <t xml:space="preserve">חד־פאזית בבלוקים </t>
    </r>
    <r>
      <rPr>
        <sz val="11"/>
        <color theme="1"/>
        <rFont val="Calibri"/>
        <family val="2"/>
        <charset val="1"/>
      </rPr>
      <t xml:space="preserve">500–700; </t>
    </r>
    <r>
      <rPr>
        <sz val="11"/>
        <color theme="1"/>
        <rFont val="FreeSans"/>
        <family val="2"/>
      </rPr>
      <t xml:space="preserve">בגבס מ</t>
    </r>
    <r>
      <rPr>
        <sz val="11"/>
        <color theme="1"/>
        <rFont val="Calibri"/>
        <family val="2"/>
        <charset val="1"/>
      </rPr>
      <t xml:space="preserve">-220</t>
    </r>
  </si>
  <si>
    <t xml:space="preserve">https://www.midrag.co.il/Content/Price/5586 ; https://oz-shiputsim.co.il</t>
  </si>
  <si>
    <r>
      <rPr>
        <sz val="11"/>
        <color theme="1"/>
        <rFont val="FreeSans"/>
        <family val="2"/>
      </rPr>
      <t xml:space="preserve">אתרי חשמלאים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טווחים רחבים</t>
    </r>
  </si>
  <si>
    <t xml:space="preserve">נקודת מים</t>
  </si>
  <si>
    <r>
      <rPr>
        <sz val="11"/>
        <color theme="1"/>
        <rFont val="Calibri"/>
        <family val="2"/>
        <charset val="1"/>
      </rPr>
      <t xml:space="preserve">700–1,500 ₪; </t>
    </r>
    <r>
      <rPr>
        <sz val="11"/>
        <color theme="1"/>
        <rFont val="FreeSans"/>
        <family val="2"/>
      </rPr>
      <t xml:space="preserve">חמים וקרים </t>
    </r>
    <r>
      <rPr>
        <sz val="11"/>
        <color theme="1"/>
        <rFont val="Calibri"/>
        <family val="2"/>
        <charset val="1"/>
      </rPr>
      <t xml:space="preserve">1,600–2,500 ₪</t>
    </r>
  </si>
  <si>
    <t xml:space="preserve">https://mrplumber.co.il ; https://piper.co.il</t>
  </si>
  <si>
    <t xml:space="preserve">אתרי אינסטלטורים</t>
  </si>
  <si>
    <r>
      <rPr>
        <sz val="11"/>
        <color theme="1"/>
        <rFont val="FreeSans"/>
        <family val="2"/>
      </rPr>
      <t xml:space="preserve">ריצוף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פירוק וחיפוי</t>
    </r>
  </si>
  <si>
    <r>
      <rPr>
        <sz val="11"/>
        <color theme="1"/>
        <rFont val="FreeSans"/>
        <family val="2"/>
      </rPr>
      <t xml:space="preserve">פירוק ריצוף </t>
    </r>
    <r>
      <rPr>
        <sz val="11"/>
        <color theme="1"/>
        <rFont val="Calibri"/>
        <family val="2"/>
        <charset val="1"/>
      </rPr>
      <t xml:space="preserve">90–110; </t>
    </r>
    <r>
      <rPr>
        <sz val="11"/>
        <color theme="1"/>
        <rFont val="FreeSans"/>
        <family val="2"/>
      </rPr>
      <t xml:space="preserve">הדבקת ריצוף </t>
    </r>
    <r>
      <rPr>
        <sz val="11"/>
        <color theme="1"/>
        <rFont val="Calibri"/>
        <family val="2"/>
        <charset val="1"/>
      </rPr>
      <t xml:space="preserve">200–250; </t>
    </r>
    <r>
      <rPr>
        <sz val="11"/>
        <color theme="1"/>
        <rFont val="FreeSans"/>
        <family val="2"/>
      </rPr>
      <t xml:space="preserve">חיפוי קיר </t>
    </r>
    <r>
      <rPr>
        <sz val="11"/>
        <color theme="1"/>
        <rFont val="Calibri"/>
        <family val="2"/>
        <charset val="1"/>
      </rPr>
      <t xml:space="preserve">600–700 ₪ </t>
    </r>
    <r>
      <rPr>
        <sz val="11"/>
        <color theme="1"/>
        <rFont val="FreeSans"/>
        <family val="2"/>
      </rPr>
      <t xml:space="preserve">למ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מע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מ</t>
    </r>
  </si>
  <si>
    <t xml:space="preserve">https://www.pro.co.il/general-contractors</t>
  </si>
  <si>
    <r>
      <rPr>
        <sz val="11"/>
        <color theme="1"/>
        <rFont val="FreeSans"/>
        <family val="2"/>
      </rPr>
      <t xml:space="preserve">מחירון ללא תאריך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כולל מע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מ</t>
    </r>
  </si>
  <si>
    <t xml:space="preserve">מדד תשומות הבנייה</t>
  </si>
  <si>
    <r>
      <rPr>
        <sz val="11"/>
        <color theme="1"/>
        <rFont val="FreeSans"/>
        <family val="2"/>
      </rPr>
      <t xml:space="preserve">עלייה של </t>
    </r>
    <r>
      <rPr>
        <sz val="11"/>
        <color theme="1"/>
        <rFont val="Calibri"/>
        <family val="2"/>
        <charset val="1"/>
      </rPr>
      <t xml:space="preserve">3.7% </t>
    </r>
    <r>
      <rPr>
        <sz val="11"/>
        <color theme="1"/>
        <rFont val="FreeSans"/>
        <family val="2"/>
      </rPr>
      <t xml:space="preserve">בשנה עד יוני </t>
    </r>
    <r>
      <rPr>
        <sz val="11"/>
        <color theme="1"/>
        <rFont val="Calibri"/>
        <family val="2"/>
        <charset val="1"/>
      </rPr>
      <t xml:space="preserve">2026; </t>
    </r>
    <r>
      <rPr>
        <sz val="11"/>
        <color theme="1"/>
        <rFont val="FreeSans"/>
        <family val="2"/>
      </rPr>
      <t xml:space="preserve">רוב העלייה משכר עבודה</t>
    </r>
  </si>
  <si>
    <r>
      <rPr>
        <sz val="11"/>
        <color theme="1"/>
        <rFont val="Calibri"/>
        <family val="2"/>
        <charset val="1"/>
      </rPr>
      <t xml:space="preserve">https://klikatnadlan.co.il/tashumotjune2026/ (</t>
    </r>
    <r>
      <rPr>
        <sz val="11"/>
        <color theme="1"/>
        <rFont val="FreeSans"/>
        <family val="2"/>
      </rPr>
      <t xml:space="preserve">מצטט את הלמ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ס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הודעה </t>
    </r>
    <r>
      <rPr>
        <sz val="11"/>
        <color theme="1"/>
        <rFont val="Calibri"/>
        <family val="2"/>
        <charset val="1"/>
      </rPr>
      <t xml:space="preserve">221/2026)</t>
    </r>
  </si>
  <si>
    <t xml:space="preserve">נתוני יולי–ספטמבר לא נמצאו</t>
  </si>
  <si>
    <t xml:space="preserve">מגבלות הסקר</t>
  </si>
  <si>
    <r>
      <rPr>
        <sz val="11"/>
        <color theme="1"/>
        <rFont val="FreeSans"/>
        <family val="2"/>
      </rPr>
      <t xml:space="preserve">לא נמצאו מחירים למ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ר לצבע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שפכטל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אלומיניום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שערים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מיזוג ופיתוח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שאר מחירי היחידה הם הערכת כמאי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לא נעשה שימוש במחירון דקל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אין גישה מורשית</t>
    </r>
    <r>
      <rPr>
        <sz val="11"/>
        <color theme="1"/>
        <rFont val="Calibri"/>
        <family val="2"/>
        <charset val="1"/>
      </rPr>
      <t xml:space="preserve">)</t>
    </r>
  </si>
  <si>
    <t xml:space="preserve">—</t>
  </si>
  <si>
    <r>
      <rPr>
        <sz val="11"/>
        <color theme="1"/>
        <rFont val="FreeSans"/>
        <family val="2"/>
      </rPr>
      <t xml:space="preserve">מומלץ לאמת מול הצעות ספקים 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או דקל לפני הגשה</t>
    </r>
  </si>
  <si>
    <t xml:space="preserve">תאריך הסקר</t>
  </si>
  <si>
    <t xml:space="preserve">08/10/2026</t>
  </si>
  <si>
    <t xml:space="preserve">#</t>
  </si>
  <si>
    <t xml:space="preserve">סוג</t>
  </si>
  <si>
    <t xml:space="preserve">תיאור</t>
  </si>
  <si>
    <t xml:space="preserve">הנחה</t>
  </si>
  <si>
    <r>
      <rPr>
        <sz val="11"/>
        <color theme="1"/>
        <rFont val="FreeSans"/>
        <family val="2"/>
      </rPr>
      <t xml:space="preserve">מחירי היחידה הם לפני מע״מ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בסיס אוקטובר </t>
    </r>
    <r>
      <rPr>
        <sz val="11"/>
        <color theme="1"/>
        <rFont val="Calibri"/>
        <family val="2"/>
        <charset val="1"/>
      </rPr>
      <t xml:space="preserve">2026, </t>
    </r>
    <r>
      <rPr>
        <sz val="11"/>
        <color theme="1"/>
        <rFont val="FreeSans"/>
        <family val="2"/>
      </rPr>
      <t xml:space="preserve">לפרויקט שיפוץ פרטי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לא מכרז גדול</t>
    </r>
    <r>
      <rPr>
        <sz val="11"/>
        <color theme="1"/>
        <rFont val="Calibri"/>
        <family val="2"/>
        <charset val="1"/>
      </rPr>
      <t xml:space="preserve">), </t>
    </r>
    <r>
      <rPr>
        <sz val="11"/>
        <color theme="1"/>
        <rFont val="FreeSans"/>
        <family val="2"/>
      </rPr>
      <t xml:space="preserve">ללא הצמדה</t>
    </r>
  </si>
  <si>
    <r>
      <rPr>
        <sz val="11"/>
        <color theme="1"/>
        <rFont val="FreeSans"/>
        <family val="2"/>
      </rPr>
      <t xml:space="preserve">אספקה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כלים סניטריים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ברזים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גופי תאורה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יחידות מיזוג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דודים ואריחי ריצוף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חיפוי – אספקה על המזמין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התמחור להתקנה בלבד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עד שיתקבלו דגמים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פרק 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FreeSans"/>
        <family val="2"/>
      </rPr>
      <t xml:space="preserve">במפרט טרם הושלם</t>
    </r>
    <r>
      <rPr>
        <sz val="11"/>
        <color theme="1"/>
        <rFont val="Calibri"/>
        <family val="2"/>
        <charset val="1"/>
      </rPr>
      <t xml:space="preserve">). </t>
    </r>
    <r>
      <rPr>
        <sz val="11"/>
        <color theme="1"/>
        <rFont val="FreeSans"/>
        <family val="2"/>
      </rPr>
      <t xml:space="preserve">אלומיניום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דלתות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שערים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תריסים ואדני אבן – אספקה והתקנה</t>
    </r>
  </si>
  <si>
    <r>
      <rPr>
        <sz val="11"/>
        <color theme="1"/>
        <rFont val="FreeSans"/>
        <family val="2"/>
      </rPr>
      <t xml:space="preserve">סעיפים ללא כמות בתוכניות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כמות זמנית לתמחור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עמודה </t>
    </r>
    <r>
      <rPr>
        <sz val="11"/>
        <color theme="1"/>
        <rFont val="Calibri"/>
        <family val="2"/>
        <charset val="1"/>
      </rPr>
      <t xml:space="preserve">F). </t>
    </r>
    <r>
      <rPr>
        <sz val="11"/>
        <color theme="1"/>
        <rFont val="FreeSans"/>
        <family val="2"/>
      </rPr>
      <t xml:space="preserve">החשבון הסופי לפי מדידה בפועל</t>
    </r>
  </si>
  <si>
    <r>
      <rPr>
        <sz val="11"/>
        <color theme="1"/>
        <rFont val="FreeSans"/>
        <family val="2"/>
      </rPr>
      <t xml:space="preserve">פרק </t>
    </r>
    <r>
      <rPr>
        <sz val="11"/>
        <color theme="1"/>
        <rFont val="Calibri"/>
        <family val="2"/>
        <charset val="1"/>
      </rPr>
      <t xml:space="preserve">3 (</t>
    </r>
    <r>
      <rPr>
        <sz val="11"/>
        <color theme="1"/>
        <rFont val="FreeSans"/>
        <family val="2"/>
      </rPr>
      <t xml:space="preserve">שלד</t>
    </r>
    <r>
      <rPr>
        <sz val="11"/>
        <color theme="1"/>
        <rFont val="Calibri"/>
        <family val="2"/>
        <charset val="1"/>
      </rPr>
      <t xml:space="preserve">): </t>
    </r>
    <r>
      <rPr>
        <sz val="11"/>
        <color theme="1"/>
        <rFont val="FreeSans"/>
        <family val="2"/>
      </rPr>
      <t xml:space="preserve">אומדן גס ללא תוכניות קונסטרוקציה – מומלץ סכום זמני עד לקבלת תוכניות</t>
    </r>
  </si>
  <si>
    <r>
      <rPr>
        <sz val="11"/>
        <color theme="1"/>
        <rFont val="FreeSans"/>
        <family val="2"/>
      </rPr>
      <t xml:space="preserve">תוספת </t>
    </r>
    <r>
      <rPr>
        <sz val="11"/>
        <color theme="1"/>
        <rFont val="Calibri"/>
        <family val="2"/>
        <charset val="1"/>
      </rPr>
      <t xml:space="preserve">15% </t>
    </r>
    <r>
      <rPr>
        <sz val="11"/>
        <color theme="1"/>
        <rFont val="FreeSans"/>
        <family val="2"/>
      </rPr>
      <t xml:space="preserve">להוצאות כלליות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ביטוחים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ערבויות ורווח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ניתנת לשינוי בגיליון הסיכום</t>
    </r>
    <r>
      <rPr>
        <sz val="11"/>
        <color theme="1"/>
        <rFont val="Calibri"/>
        <family val="2"/>
        <charset val="1"/>
      </rPr>
      <t xml:space="preserve">). </t>
    </r>
    <r>
      <rPr>
        <sz val="11"/>
        <color theme="1"/>
        <rFont val="FreeSans"/>
        <family val="2"/>
      </rPr>
      <t xml:space="preserve">אין תוספת בלתי צפויים</t>
    </r>
  </si>
  <si>
    <t xml:space="preserve">החרגה</t>
  </si>
  <si>
    <r>
      <rPr>
        <sz val="11"/>
        <color theme="1"/>
        <rFont val="FreeSans"/>
        <family val="2"/>
      </rPr>
      <t xml:space="preserve">בריכה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נגרות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מטבחים וארונות</t>
    </r>
    <r>
      <rPr>
        <sz val="11"/>
        <color theme="1"/>
        <rFont val="Calibri"/>
        <family val="2"/>
        <charset val="1"/>
      </rPr>
      <t xml:space="preserve">), </t>
    </r>
    <r>
      <rPr>
        <sz val="11"/>
        <color theme="1"/>
        <rFont val="FreeSans"/>
        <family val="2"/>
      </rPr>
      <t xml:space="preserve">גינון מעבר לסכום הקומפלט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אגרות והיתרים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יועצים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הגדלת חיבור חשמל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התשלום לחברת החשמל</t>
    </r>
    <r>
      <rPr>
        <sz val="11"/>
        <color theme="1"/>
        <rFont val="Calibri"/>
        <family val="2"/>
        <charset val="1"/>
      </rPr>
      <t xml:space="preserve">), </t>
    </r>
    <r>
      <rPr>
        <sz val="11"/>
        <color theme="1"/>
        <rFont val="FreeSans"/>
        <family val="2"/>
      </rPr>
      <t xml:space="preserve">ריהוט</t>
    </r>
  </si>
  <si>
    <r>
      <rPr>
        <sz val="11"/>
        <color theme="1"/>
        <rFont val="FreeSans"/>
        <family val="2"/>
      </rPr>
      <t xml:space="preserve">סתירות בכמויות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ראו 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יומן חריגים</t>
    </r>
    <r>
      <rPr>
        <sz val="11"/>
        <color theme="1"/>
        <rFont val="Calibri"/>
        <family val="2"/>
        <charset val="1"/>
      </rPr>
      <t xml:space="preserve">"): </t>
    </r>
    <r>
      <rPr>
        <sz val="11"/>
        <color theme="1"/>
        <rFont val="FreeSans"/>
        <family val="2"/>
      </rPr>
      <t xml:space="preserve">הריסה קרקע </t>
    </r>
    <r>
      <rPr>
        <sz val="11"/>
        <color theme="1"/>
        <rFont val="Calibri"/>
        <family val="2"/>
        <charset val="1"/>
      </rPr>
      <t xml:space="preserve">51/86, </t>
    </r>
    <r>
      <rPr>
        <sz val="11"/>
        <color theme="1"/>
        <rFont val="FreeSans"/>
        <family val="2"/>
      </rPr>
      <t xml:space="preserve">גבס קומה א׳ </t>
    </r>
    <r>
      <rPr>
        <sz val="11"/>
        <color theme="1"/>
        <rFont val="Calibri"/>
        <family val="2"/>
        <charset val="1"/>
      </rPr>
      <t xml:space="preserve">52/57, </t>
    </r>
    <r>
      <rPr>
        <sz val="11"/>
        <color theme="1"/>
        <rFont val="FreeSans"/>
        <family val="2"/>
      </rPr>
      <t xml:space="preserve">ספוטים </t>
    </r>
    <r>
      <rPr>
        <sz val="11"/>
        <color theme="1"/>
        <rFont val="Calibri"/>
        <family val="2"/>
        <charset val="1"/>
      </rPr>
      <t xml:space="preserve">111/115, </t>
    </r>
    <r>
      <rPr>
        <sz val="11"/>
        <color theme="1"/>
        <rFont val="FreeSans"/>
        <family val="2"/>
      </rPr>
      <t xml:space="preserve">מאווררים </t>
    </r>
    <r>
      <rPr>
        <sz val="11"/>
        <color theme="1"/>
        <rFont val="Calibri"/>
        <family val="2"/>
        <charset val="1"/>
      </rPr>
      <t xml:space="preserve">6/12, </t>
    </r>
    <r>
      <rPr>
        <sz val="11"/>
        <color theme="1"/>
        <rFont val="FreeSans"/>
        <family val="2"/>
      </rPr>
      <t xml:space="preserve">כפל אפשרי </t>
    </r>
    <r>
      <rPr>
        <sz val="11"/>
        <color theme="1"/>
        <rFont val="Calibri"/>
        <family val="2"/>
        <charset val="1"/>
      </rPr>
      <t xml:space="preserve">06.04/06.10</t>
    </r>
  </si>
  <si>
    <r>
      <rPr>
        <sz val="11"/>
        <color theme="1"/>
        <rFont val="FreeSans"/>
        <family val="2"/>
      </rPr>
      <t xml:space="preserve">לוח זמנים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ראו קובץ לוח הזמנים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כ</t>
    </r>
    <r>
      <rPr>
        <sz val="11"/>
        <color theme="1"/>
        <rFont val="Calibri"/>
        <family val="2"/>
        <charset val="1"/>
      </rPr>
      <t xml:space="preserve">-31 </t>
    </r>
    <r>
      <rPr>
        <sz val="11"/>
        <color theme="1"/>
        <rFont val="FreeSans"/>
        <family val="2"/>
      </rPr>
      <t xml:space="preserve">שבועות</t>
    </r>
    <r>
      <rPr>
        <sz val="11"/>
        <color theme="1"/>
        <rFont val="Calibri"/>
        <family val="2"/>
        <charset val="1"/>
      </rPr>
      <t xml:space="preserve">). </t>
    </r>
    <r>
      <rPr>
        <sz val="11"/>
        <color theme="1"/>
        <rFont val="FreeSans"/>
        <family val="2"/>
      </rPr>
      <t xml:space="preserve">אין התחשבות במחירי הארכת זמן</t>
    </r>
  </si>
  <si>
    <t xml:space="preserve">אזהרה</t>
  </si>
  <si>
    <r>
      <rPr>
        <sz val="11"/>
        <color theme="1"/>
        <rFont val="FreeSans"/>
        <family val="2"/>
      </rPr>
      <t xml:space="preserve">ההצעה היא טיוטה פנימית של כמאי הקבלן ולא הצעה חתומה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יש לאמת מחירים מול ספקים וקבלני משנה לפני שליחה</t>
    </r>
  </si>
  <si>
    <t xml:space="preserve">שינוי</t>
  </si>
  <si>
    <t xml:space="preserve">פיגום חיצוני</t>
  </si>
  <si>
    <r>
      <rPr>
        <sz val="11"/>
        <color theme="1"/>
        <rFont val="FreeSans"/>
        <family val="2"/>
      </rPr>
      <t xml:space="preserve">נוסף סעיף </t>
    </r>
    <r>
      <rPr>
        <sz val="11"/>
        <color theme="1"/>
        <rFont val="Calibri"/>
        <family val="2"/>
        <charset val="1"/>
      </rPr>
      <t xml:space="preserve">01.09 (</t>
    </r>
    <r>
      <rPr>
        <sz val="11"/>
        <color theme="1"/>
        <rFont val="FreeSans"/>
        <family val="2"/>
      </rPr>
      <t xml:space="preserve">מ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ר</t>
    </r>
    <r>
      <rPr>
        <sz val="11"/>
        <color theme="1"/>
        <rFont val="Calibri"/>
        <family val="2"/>
        <charset val="1"/>
      </rPr>
      <t xml:space="preserve">, 225 </t>
    </r>
    <r>
      <rPr>
        <sz val="11"/>
        <color theme="1"/>
        <rFont val="FreeSans"/>
        <family val="2"/>
      </rPr>
      <t xml:space="preserve">זמני</t>
    </r>
    <r>
      <rPr>
        <sz val="11"/>
        <color theme="1"/>
        <rFont val="Calibri"/>
        <family val="2"/>
        <charset val="1"/>
      </rPr>
      <t xml:space="preserve">) – </t>
    </r>
    <r>
      <rPr>
        <sz val="11"/>
        <color theme="1"/>
        <rFont val="FreeSans"/>
        <family val="2"/>
      </rPr>
      <t xml:space="preserve">נדרש לניסור המסגרות הדקורטיביות </t>
    </r>
    <r>
      <rPr>
        <sz val="11"/>
        <color theme="1"/>
        <rFont val="Calibri"/>
        <family val="2"/>
        <charset val="1"/>
      </rPr>
      <t xml:space="preserve">(02.15), </t>
    </r>
    <r>
      <rPr>
        <sz val="11"/>
        <color theme="1"/>
        <rFont val="FreeSans"/>
        <family val="2"/>
      </rPr>
      <t xml:space="preserve">לפרפט ולטיח החזיתות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בלוח הזמנים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הקמה </t>
    </r>
    <r>
      <rPr>
        <sz val="11"/>
        <color theme="1"/>
        <rFont val="Calibri"/>
        <family val="2"/>
        <charset val="1"/>
      </rPr>
      <t xml:space="preserve">16/11/2026, </t>
    </r>
    <r>
      <rPr>
        <sz val="11"/>
        <color theme="1"/>
        <rFont val="FreeSans"/>
        <family val="2"/>
      </rPr>
      <t xml:space="preserve">פירוק </t>
    </r>
    <r>
      <rPr>
        <sz val="11"/>
        <color theme="1"/>
        <rFont val="Calibri"/>
        <family val="2"/>
        <charset val="1"/>
      </rPr>
      <t xml:space="preserve">29/03/2027</t>
    </r>
  </si>
  <si>
    <t xml:space="preserve">דלתות פנים</t>
  </si>
  <si>
    <r>
      <rPr>
        <sz val="11"/>
        <color theme="1"/>
        <rFont val="Calibri"/>
        <family val="2"/>
        <charset val="1"/>
      </rPr>
      <t xml:space="preserve">16.02: 4,200 → 1,200 ₪ </t>
    </r>
    <r>
      <rPr>
        <sz val="11"/>
        <color theme="1"/>
        <rFont val="FreeSans"/>
        <family val="2"/>
      </rPr>
      <t xml:space="preserve">ליחידה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לפי הקבלן</t>
    </r>
    <r>
      <rPr>
        <sz val="11"/>
        <color theme="1"/>
        <rFont val="Calibri"/>
        <family val="2"/>
        <charset val="1"/>
      </rPr>
      <t xml:space="preserve">)</t>
    </r>
  </si>
  <si>
    <t xml:space="preserve">מחירים בכלל</t>
  </si>
  <si>
    <r>
      <rPr>
        <sz val="11"/>
        <color theme="1"/>
        <rFont val="FreeSans"/>
        <family val="2"/>
      </rPr>
      <t xml:space="preserve">הופחתו מרמה גבוהה לרמת שיפוץ פרטי בכ</t>
    </r>
    <r>
      <rPr>
        <sz val="11"/>
        <color theme="1"/>
        <rFont val="Calibri"/>
        <family val="2"/>
        <charset val="1"/>
      </rPr>
      <t xml:space="preserve">-15–25% </t>
    </r>
    <r>
      <rPr>
        <sz val="11"/>
        <color theme="1"/>
        <rFont val="FreeSans"/>
        <family val="2"/>
      </rPr>
      <t xml:space="preserve">ברוב הסעיפים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פרטים בגיליון 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בסיס תמחור</t>
    </r>
    <r>
      <rPr>
        <sz val="11"/>
        <color theme="1"/>
        <rFont val="Calibri"/>
        <family val="2"/>
        <charset val="1"/>
      </rPr>
      <t xml:space="preserve">"). </t>
    </r>
    <r>
      <rPr>
        <sz val="11"/>
        <color theme="1"/>
        <rFont val="FreeSans"/>
        <family val="2"/>
      </rPr>
      <t xml:space="preserve">נשמרו עוגני הסקר</t>
    </r>
  </si>
  <si>
    <t xml:space="preserve">לוח זמנים</t>
  </si>
  <si>
    <r>
      <rPr>
        <sz val="11"/>
        <color theme="1"/>
        <rFont val="FreeSans"/>
        <family val="2"/>
      </rPr>
      <t xml:space="preserve">ניסור המסגרות </t>
    </r>
    <r>
      <rPr>
        <sz val="11"/>
        <color theme="1"/>
        <rFont val="Calibri"/>
        <family val="2"/>
        <charset val="1"/>
      </rPr>
      <t xml:space="preserve">(D055) </t>
    </r>
    <r>
      <rPr>
        <sz val="11"/>
        <color theme="1"/>
        <rFont val="FreeSans"/>
        <family val="2"/>
      </rPr>
      <t xml:space="preserve">הופרד מהפירוקים ומבוצע מהפיגום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נוסף פירוק פיגום </t>
    </r>
    <r>
      <rPr>
        <sz val="11"/>
        <color theme="1"/>
        <rFont val="Calibri"/>
        <family val="2"/>
        <charset val="1"/>
      </rPr>
      <t xml:space="preserve">(X030)</t>
    </r>
  </si>
  <si>
    <t xml:space="preserve">כמות</t>
  </si>
  <si>
    <t xml:space="preserve">סטטוס</t>
  </si>
  <si>
    <r>
      <rPr>
        <b val="true"/>
        <sz val="11"/>
        <color rgb="FFFFFFFF"/>
        <rFont val="FreeSans"/>
        <family val="2"/>
      </rPr>
      <t xml:space="preserve">מקור </t>
    </r>
    <r>
      <rPr>
        <b val="true"/>
        <sz val="11"/>
        <color rgb="FFFFFFFF"/>
        <rFont val="Cambria"/>
        <family val="0"/>
        <charset val="1"/>
      </rPr>
      <t xml:space="preserve">/ </t>
    </r>
    <r>
      <rPr>
        <b val="true"/>
        <sz val="11"/>
        <color rgb="FFFFFFFF"/>
        <rFont val="FreeSans"/>
        <family val="2"/>
      </rPr>
      <t xml:space="preserve">בסיס</t>
    </r>
  </si>
  <si>
    <t xml:space="preserve">ORIGINAL</t>
  </si>
  <si>
    <r>
      <rPr>
        <sz val="11"/>
        <color theme="1"/>
        <rFont val="FreeSans"/>
        <family val="2"/>
      </rPr>
      <t xml:space="preserve">כמות מהכתב המקורי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סכום חד־פעמי או לא ניתן לאימות מול המסמכים שהתקבלו</t>
    </r>
  </si>
  <si>
    <t xml:space="preserve">ASSUMED</t>
  </si>
  <si>
    <r>
      <rPr>
        <sz val="11"/>
        <color theme="1"/>
        <rFont val="FreeSans"/>
        <family val="2"/>
      </rPr>
      <t xml:space="preserve">כמות זמנית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FreeSans"/>
        <family val="2"/>
      </rPr>
      <t xml:space="preserve">שטח החזיתות המטויחות </t>
    </r>
    <r>
      <rPr>
        <sz val="11"/>
        <color theme="1"/>
        <rFont val="Calibri"/>
        <family val="2"/>
        <charset val="1"/>
      </rPr>
      <t xml:space="preserve">(225 </t>
    </r>
    <r>
      <rPr>
        <sz val="11"/>
        <color theme="1"/>
        <rFont val="FreeSans"/>
        <family val="2"/>
      </rPr>
      <t xml:space="preserve">מ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סעיף </t>
    </r>
    <r>
      <rPr>
        <sz val="11"/>
        <color theme="1"/>
        <rFont val="Calibri"/>
        <family val="2"/>
        <charset val="1"/>
      </rPr>
      <t xml:space="preserve">14.01); </t>
    </r>
    <r>
      <rPr>
        <sz val="11"/>
        <color theme="1"/>
        <rFont val="FreeSans"/>
        <family val="2"/>
      </rPr>
      <t xml:space="preserve">שטח הפיגום בפועל ייקבע במדידה</t>
    </r>
  </si>
  <si>
    <t xml:space="preserve">VERIFIED</t>
  </si>
  <si>
    <r>
      <rPr>
        <sz val="11"/>
        <color theme="1"/>
        <rFont val="FreeSans"/>
        <family val="2"/>
      </rPr>
      <t xml:space="preserve">כתב כמויות קירות להריסה – כמויות לקבלן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סריקה </t>
    </r>
    <r>
      <rPr>
        <sz val="11"/>
        <color theme="1"/>
        <rFont val="Calibri"/>
        <family val="2"/>
        <charset val="1"/>
      </rPr>
      <t xml:space="preserve">24/09/2026); </t>
    </r>
    <r>
      <rPr>
        <sz val="11"/>
        <color theme="1"/>
        <rFont val="FreeSans"/>
        <family val="2"/>
      </rPr>
      <t xml:space="preserve">ומפרט פרק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FreeSans"/>
        <family val="2"/>
      </rPr>
      <t xml:space="preserve">סעיפים </t>
    </r>
    <r>
      <rPr>
        <sz val="11"/>
        <color theme="1"/>
        <rFont val="Calibri"/>
        <family val="2"/>
        <charset val="1"/>
      </rPr>
      <t xml:space="preserve">1,3</t>
    </r>
  </si>
  <si>
    <t xml:space="preserve">CONFLICT</t>
  </si>
  <si>
    <r>
      <rPr>
        <sz val="11"/>
        <color theme="1"/>
        <rFont val="FreeSans"/>
        <family val="2"/>
      </rPr>
      <t xml:space="preserve">סריקה ומפרט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טבלה</t>
    </r>
    <r>
      <rPr>
        <sz val="11"/>
        <color theme="1"/>
        <rFont val="Calibri"/>
        <family val="2"/>
        <charset val="1"/>
      </rPr>
      <t xml:space="preserve">): 51 </t>
    </r>
    <r>
      <rPr>
        <sz val="11"/>
        <color theme="1"/>
        <rFont val="FreeSans"/>
        <family val="2"/>
      </rPr>
      <t xml:space="preserve">מ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בפתיח המפרט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קרקע </t>
    </r>
    <r>
      <rPr>
        <sz val="11"/>
        <color theme="1"/>
        <rFont val="Calibri"/>
        <family val="2"/>
        <charset val="1"/>
      </rPr>
      <t xml:space="preserve">86 </t>
    </r>
    <r>
      <rPr>
        <sz val="11"/>
        <color theme="1"/>
        <rFont val="FreeSans"/>
        <family val="2"/>
      </rPr>
      <t xml:space="preserve">מ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ר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סה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כ </t>
    </r>
    <r>
      <rPr>
        <sz val="11"/>
        <color theme="1"/>
        <rFont val="Calibri"/>
        <family val="2"/>
        <charset val="1"/>
      </rPr>
      <t xml:space="preserve">233 </t>
    </r>
    <r>
      <rPr>
        <sz val="11"/>
        <color theme="1"/>
        <rFont val="FreeSans"/>
        <family val="2"/>
      </rPr>
      <t xml:space="preserve">במקום </t>
    </r>
    <r>
      <rPr>
        <sz val="11"/>
        <color theme="1"/>
        <rFont val="Calibri"/>
        <family val="2"/>
        <charset val="1"/>
      </rPr>
      <t xml:space="preserve">198). </t>
    </r>
    <r>
      <rPr>
        <sz val="11"/>
        <color theme="1"/>
        <rFont val="FreeSans"/>
        <family val="2"/>
      </rPr>
      <t xml:space="preserve">נבחר </t>
    </r>
    <r>
      <rPr>
        <sz val="11"/>
        <color theme="1"/>
        <rFont val="Calibri"/>
        <family val="2"/>
        <charset val="1"/>
      </rPr>
      <t xml:space="preserve">51 – </t>
    </r>
    <r>
      <rPr>
        <sz val="11"/>
        <color theme="1"/>
        <rFont val="FreeSans"/>
        <family val="2"/>
      </rPr>
      <t xml:space="preserve">לפי הסריקה העדכנית</t>
    </r>
  </si>
  <si>
    <t xml:space="preserve">UNVERIFIED</t>
  </si>
  <si>
    <t xml:space="preserve">אין תוכנית הריסה בין המסמכים שהתקבלו</t>
  </si>
  <si>
    <r>
      <rPr>
        <sz val="11"/>
        <color theme="1"/>
        <rFont val="FreeSans"/>
        <family val="2"/>
      </rPr>
      <t xml:space="preserve">אין בסיס כמותי בין המסמכים שהתקבלו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רשימת פתחים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 xml:space="preserve">פיתוח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FreeSans"/>
        <family val="2"/>
      </rPr>
      <t xml:space="preserve">קונסטרוקציה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</si>
  <si>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קירות פנים לבנייה – בלוק </t>
    </r>
    <r>
      <rPr>
        <sz val="11"/>
        <color theme="1"/>
        <rFont val="Calibri"/>
        <family val="2"/>
        <charset val="1"/>
      </rPr>
      <t xml:space="preserve">20: 6.3/17.7/2.08 (</t>
    </r>
    <r>
      <rPr>
        <sz val="11"/>
        <color theme="1"/>
        <rFont val="FreeSans"/>
        <family val="2"/>
      </rPr>
      <t xml:space="preserve">כמויות לקבלן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סריקה </t>
    </r>
    <r>
      <rPr>
        <sz val="11"/>
        <color theme="1"/>
        <rFont val="Calibri"/>
        <family val="2"/>
        <charset val="1"/>
      </rPr>
      <t xml:space="preserve">24/09/2026); </t>
    </r>
    <r>
      <rPr>
        <sz val="11"/>
        <color theme="1"/>
        <rFont val="FreeSans"/>
        <family val="2"/>
      </rPr>
      <t xml:space="preserve">מפרט פרק </t>
    </r>
    <r>
      <rPr>
        <sz val="11"/>
        <color theme="1"/>
        <rFont val="Calibri"/>
        <family val="2"/>
        <charset val="1"/>
      </rPr>
      <t xml:space="preserve">4 – </t>
    </r>
    <r>
      <rPr>
        <sz val="11"/>
        <color theme="1"/>
        <rFont val="FreeSans"/>
        <family val="2"/>
      </rPr>
      <t xml:space="preserve">סה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כ </t>
    </r>
    <r>
      <rPr>
        <sz val="11"/>
        <color theme="1"/>
        <rFont val="Calibri"/>
        <family val="2"/>
        <charset val="1"/>
      </rPr>
      <t xml:space="preserve">26.08)</t>
    </r>
  </si>
  <si>
    <r>
      <rPr>
        <sz val="11"/>
        <color theme="1"/>
        <rFont val="FreeSans"/>
        <family val="2"/>
      </rPr>
      <t xml:space="preserve">כתב כמויות אינסטלציה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כמויות לקבלן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סריקה </t>
    </r>
    <r>
      <rPr>
        <sz val="11"/>
        <color theme="1"/>
        <rFont val="Calibri"/>
        <family val="2"/>
        <charset val="1"/>
      </rPr>
      <t xml:space="preserve">24/09/2026)) </t>
    </r>
    <r>
      <rPr>
        <sz val="11"/>
        <color theme="1"/>
        <rFont val="FreeSans"/>
        <family val="2"/>
      </rPr>
      <t xml:space="preserve">ומפרט פרק </t>
    </r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FreeSans"/>
        <family val="2"/>
      </rPr>
      <t xml:space="preserve">חלק מהסעיפים נשאבו בכתב המקורי מקובץ חיצוני – הוחלפו בערכים שנבדקו</t>
    </r>
  </si>
  <si>
    <r>
      <rPr>
        <sz val="11"/>
        <color theme="1"/>
        <rFont val="FreeSans"/>
        <family val="2"/>
      </rPr>
      <t xml:space="preserve">הפריט אינו מופיע בטבלאות שהתקבלו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נדרשת תוכנית אינסטלציה</t>
    </r>
  </si>
  <si>
    <r>
      <rPr>
        <sz val="11"/>
        <color theme="1"/>
        <rFont val="Calibri"/>
        <family val="2"/>
        <charset val="1"/>
      </rPr>
      <t xml:space="preserve">15 – </t>
    </r>
    <r>
      <rPr>
        <sz val="11"/>
        <color theme="1"/>
        <rFont val="FreeSans"/>
        <family val="2"/>
      </rPr>
      <t xml:space="preserve">ערך מקובץ חיצוני שלא התקבל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סכום כלי הניקוז בסריקה</t>
    </r>
    <r>
      <rPr>
        <sz val="11"/>
        <color theme="1"/>
        <rFont val="Calibri"/>
        <family val="2"/>
        <charset val="1"/>
      </rPr>
      <t xml:space="preserve">: 10</t>
    </r>
  </si>
  <si>
    <r>
      <rPr>
        <sz val="11"/>
        <color theme="1"/>
        <rFont val="FreeSans"/>
        <family val="2"/>
      </rPr>
      <t xml:space="preserve">הכמות נקבעת מספירה בתוכניות חשמל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מיזוג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אינסטלציה שלא התקבלו</t>
    </r>
  </si>
  <si>
    <r>
      <rPr>
        <sz val="11"/>
        <color theme="1"/>
        <rFont val="FreeSans"/>
        <family val="2"/>
      </rPr>
      <t xml:space="preserve">כתב כמויות חשמל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כמויות לקבלן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סריקה </t>
    </r>
    <r>
      <rPr>
        <sz val="11"/>
        <color theme="1"/>
        <rFont val="Calibri"/>
        <family val="2"/>
        <charset val="1"/>
      </rPr>
      <t xml:space="preserve">24/09/2026)) </t>
    </r>
    <r>
      <rPr>
        <sz val="11"/>
        <color theme="1"/>
        <rFont val="FreeSans"/>
        <family val="2"/>
      </rPr>
      <t xml:space="preserve">ומפרט פרק </t>
    </r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FreeSans"/>
        <family val="2"/>
      </rPr>
      <t xml:space="preserve">הערה בסריקה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שקע כפול נספר כ</t>
    </r>
    <r>
      <rPr>
        <sz val="11"/>
        <color theme="1"/>
        <rFont val="Calibri"/>
        <family val="2"/>
        <charset val="1"/>
      </rPr>
      <t xml:space="preserve">-1.5 – </t>
    </r>
    <r>
      <rPr>
        <sz val="11"/>
        <color theme="1"/>
        <rFont val="FreeSans"/>
        <family val="2"/>
      </rPr>
      <t xml:space="preserve">לאמת אם הכמות משוקללת</t>
    </r>
  </si>
  <si>
    <r>
      <rPr>
        <sz val="11"/>
        <color theme="1"/>
        <rFont val="FreeSans"/>
        <family val="2"/>
      </rPr>
      <t xml:space="preserve">שניהם </t>
    </r>
    <r>
      <rPr>
        <sz val="11"/>
        <color theme="1"/>
        <rFont val="Calibri"/>
        <family val="2"/>
        <charset val="1"/>
      </rPr>
      <t xml:space="preserve">9 – </t>
    </r>
    <r>
      <rPr>
        <sz val="11"/>
        <color theme="1"/>
        <rFont val="FreeSans"/>
        <family val="2"/>
      </rPr>
      <t xml:space="preserve">בסריקה רק 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שקע כח </t>
    </r>
    <r>
      <rPr>
        <sz val="11"/>
        <color theme="1"/>
        <rFont val="Calibri"/>
        <family val="2"/>
        <charset val="1"/>
      </rPr>
      <t xml:space="preserve">9"; </t>
    </r>
    <r>
      <rPr>
        <sz val="11"/>
        <color theme="1"/>
        <rFont val="FreeSans"/>
        <family val="2"/>
      </rPr>
      <t xml:space="preserve">במפרט שני סעיפים נפרדים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ייתכן כפל</t>
    </r>
  </si>
  <si>
    <r>
      <rPr>
        <sz val="11"/>
        <color theme="1"/>
        <rFont val="FreeSans"/>
        <family val="2"/>
      </rPr>
      <t xml:space="preserve">טבלת תאורה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כמויות לקבלן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סריקה </t>
    </r>
    <r>
      <rPr>
        <sz val="11"/>
        <color theme="1"/>
        <rFont val="Calibri"/>
        <family val="2"/>
        <charset val="1"/>
      </rPr>
      <t xml:space="preserve">24/09/2026)) </t>
    </r>
    <r>
      <rPr>
        <sz val="11"/>
        <color theme="1"/>
        <rFont val="FreeSans"/>
        <family val="2"/>
      </rPr>
      <t xml:space="preserve">ומפרט פרק </t>
    </r>
    <r>
      <rPr>
        <sz val="11"/>
        <color theme="1"/>
        <rFont val="Calibri"/>
        <family val="2"/>
        <charset val="1"/>
      </rPr>
      <t xml:space="preserve">7</t>
    </r>
  </si>
  <si>
    <r>
      <rPr>
        <sz val="11"/>
        <color theme="1"/>
        <rFont val="FreeSans"/>
        <family val="2"/>
      </rPr>
      <t xml:space="preserve">סריקה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</rPr>
      <t xml:space="preserve">מאוורר תקרה כולל תאורה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FreeSans"/>
        <family val="2"/>
      </rPr>
      <t xml:space="preserve">בלבד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בכתב המקורי </t>
    </r>
    <r>
      <rPr>
        <sz val="11"/>
        <color theme="1"/>
        <rFont val="Calibri"/>
        <family val="2"/>
        <charset val="1"/>
      </rPr>
      <t xml:space="preserve">6+6. </t>
    </r>
    <r>
      <rPr>
        <sz val="11"/>
        <color theme="1"/>
        <rFont val="FreeSans"/>
        <family val="2"/>
      </rPr>
      <t xml:space="preserve">נשאר כפי שהיה עד לאישור המתכננת</t>
    </r>
  </si>
  <si>
    <r>
      <rPr>
        <sz val="11"/>
        <color theme="1"/>
        <rFont val="FreeSans"/>
        <family val="2"/>
      </rPr>
      <t xml:space="preserve">הכתב המקורי ומפרט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עמ׳ </t>
    </r>
    <r>
      <rPr>
        <sz val="11"/>
        <color theme="1"/>
        <rFont val="Calibri"/>
        <family val="2"/>
        <charset val="1"/>
      </rPr>
      <t xml:space="preserve">25): 115; </t>
    </r>
    <r>
      <rPr>
        <sz val="11"/>
        <color theme="1"/>
        <rFont val="FreeSans"/>
        <family val="2"/>
      </rPr>
      <t xml:space="preserve">סריקה ומפרט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עמ׳ </t>
    </r>
    <r>
      <rPr>
        <sz val="11"/>
        <color theme="1"/>
        <rFont val="Calibri"/>
        <family val="2"/>
        <charset val="1"/>
      </rPr>
      <t xml:space="preserve">24): 111. </t>
    </r>
    <r>
      <rPr>
        <sz val="11"/>
        <color theme="1"/>
        <rFont val="FreeSans"/>
        <family val="2"/>
      </rPr>
      <t xml:space="preserve">תוקן ל</t>
    </r>
    <r>
      <rPr>
        <sz val="11"/>
        <color theme="1"/>
        <rFont val="Calibri"/>
        <family val="2"/>
        <charset val="1"/>
      </rPr>
      <t xml:space="preserve">-111 </t>
    </r>
    <r>
      <rPr>
        <sz val="11"/>
        <color theme="1"/>
        <rFont val="FreeSans"/>
        <family val="2"/>
      </rPr>
      <t xml:space="preserve">לפי המסמך המאוחר</t>
    </r>
  </si>
  <si>
    <r>
      <rPr>
        <sz val="11"/>
        <color theme="1"/>
        <rFont val="FreeSans"/>
        <family val="2"/>
      </rPr>
      <t xml:space="preserve">קירות פנים לבנייה – גבס</t>
    </r>
    <r>
      <rPr>
        <sz val="11"/>
        <color theme="1"/>
        <rFont val="Calibri"/>
        <family val="2"/>
        <charset val="1"/>
      </rPr>
      <t xml:space="preserve">: 64/17 (</t>
    </r>
    <r>
      <rPr>
        <sz val="11"/>
        <color theme="1"/>
        <rFont val="FreeSans"/>
        <family val="2"/>
      </rPr>
      <t xml:space="preserve">כמויות לקבלן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סריקה </t>
    </r>
    <r>
      <rPr>
        <sz val="11"/>
        <color theme="1"/>
        <rFont val="Calibri"/>
        <family val="2"/>
        <charset val="1"/>
      </rPr>
      <t xml:space="preserve">24/09/2026))</t>
    </r>
  </si>
  <si>
    <r>
      <rPr>
        <sz val="11"/>
        <color theme="1"/>
        <rFont val="FreeSans"/>
        <family val="2"/>
      </rPr>
      <t xml:space="preserve">סריקה</t>
    </r>
    <r>
      <rPr>
        <sz val="11"/>
        <color theme="1"/>
        <rFont val="Calibri"/>
        <family val="2"/>
        <charset val="1"/>
      </rPr>
      <t xml:space="preserve">: 52 </t>
    </r>
    <r>
      <rPr>
        <sz val="11"/>
        <color theme="1"/>
        <rFont val="FreeSans"/>
        <family val="2"/>
      </rPr>
      <t xml:space="preserve">מ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ר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טבלת מפרט פרק </t>
    </r>
    <r>
      <rPr>
        <sz val="11"/>
        <color theme="1"/>
        <rFont val="Calibri"/>
        <family val="2"/>
        <charset val="1"/>
      </rPr>
      <t xml:space="preserve">9: 57 </t>
    </r>
    <r>
      <rPr>
        <sz val="11"/>
        <color theme="1"/>
        <rFont val="FreeSans"/>
        <family val="2"/>
      </rPr>
      <t xml:space="preserve">מ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ר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וסה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כ </t>
    </r>
    <r>
      <rPr>
        <sz val="11"/>
        <color theme="1"/>
        <rFont val="Calibri"/>
        <family val="2"/>
        <charset val="1"/>
      </rPr>
      <t xml:space="preserve">104.5 </t>
    </r>
    <r>
      <rPr>
        <sz val="11"/>
        <color theme="1"/>
        <rFont val="FreeSans"/>
        <family val="2"/>
      </rPr>
      <t xml:space="preserve">במקום אחר</t>
    </r>
    <r>
      <rPr>
        <sz val="11"/>
        <color theme="1"/>
        <rFont val="Calibri"/>
        <family val="2"/>
        <charset val="1"/>
      </rPr>
      <t xml:space="preserve">). </t>
    </r>
    <r>
      <rPr>
        <sz val="11"/>
        <color theme="1"/>
        <rFont val="FreeSans"/>
        <family val="2"/>
      </rPr>
      <t xml:space="preserve">נבחר </t>
    </r>
    <r>
      <rPr>
        <sz val="11"/>
        <color theme="1"/>
        <rFont val="Calibri"/>
        <family val="2"/>
        <charset val="1"/>
      </rPr>
      <t xml:space="preserve">52 – </t>
    </r>
    <r>
      <rPr>
        <sz val="11"/>
        <color theme="1"/>
        <rFont val="FreeSans"/>
        <family val="2"/>
      </rPr>
      <t xml:space="preserve">לפי הסריקה העדכנית</t>
    </r>
  </si>
  <si>
    <r>
      <rPr>
        <sz val="11"/>
        <color theme="1"/>
        <rFont val="Calibri"/>
        <family val="2"/>
        <charset val="1"/>
      </rPr>
      <t xml:space="preserve">33.3 – </t>
    </r>
    <r>
      <rPr>
        <sz val="11"/>
        <color theme="1"/>
        <rFont val="FreeSans"/>
        <family val="2"/>
      </rPr>
      <t xml:space="preserve">ערך מקובץ חיצוני שלא התקבל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מפרט פרק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FreeSans"/>
        <family val="2"/>
      </rPr>
      <t xml:space="preserve">מציין 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תקרות גבס אם נדרש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</si>
  <si>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FreeSans"/>
        <family val="2"/>
      </rPr>
      <t xml:space="preserve">מפרט פרק </t>
    </r>
    <r>
      <rPr>
        <sz val="11"/>
        <color theme="1"/>
        <rFont val="Calibri"/>
        <family val="2"/>
        <charset val="1"/>
      </rPr>
      <t xml:space="preserve">10: 40 </t>
    </r>
    <r>
      <rPr>
        <sz val="11"/>
        <color theme="1"/>
        <rFont val="FreeSans"/>
        <family val="2"/>
      </rPr>
      <t xml:space="preserve">מ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ר רצפות ו</t>
    </r>
    <r>
      <rPr>
        <sz val="11"/>
        <color theme="1"/>
        <rFont val="Calibri"/>
        <family val="2"/>
        <charset val="1"/>
      </rPr>
      <t xml:space="preserve">-186 </t>
    </r>
    <r>
      <rPr>
        <sz val="11"/>
        <color theme="1"/>
        <rFont val="FreeSans"/>
        <family val="2"/>
      </rPr>
      <t xml:space="preserve">מ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ר קירות – נמסרו על ידי המזמין</t>
    </r>
  </si>
  <si>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FreeSans"/>
        <family val="2"/>
      </rPr>
      <t xml:space="preserve">בדיקות הצפה – לא נבדק מול חדרים רטובים בתוכנית</t>
    </r>
  </si>
  <si>
    <t xml:space="preserve">CALCULATED</t>
  </si>
  <si>
    <r>
      <rPr>
        <sz val="11"/>
        <color theme="1"/>
        <rFont val="Calibri"/>
        <family val="2"/>
        <charset val="1"/>
      </rPr>
      <t xml:space="preserve">52.7 = 37+6.7+9 (</t>
    </r>
    <r>
      <rPr>
        <sz val="11"/>
        <color theme="1"/>
        <rFont val="FreeSans"/>
        <family val="2"/>
      </rPr>
      <t xml:space="preserve">מרפסות לפי סריקה</t>
    </r>
    <r>
      <rPr>
        <sz val="11"/>
        <color theme="1"/>
        <rFont val="Calibri"/>
        <family val="2"/>
        <charset val="1"/>
      </rPr>
      <t xml:space="preserve">); </t>
    </r>
    <r>
      <rPr>
        <sz val="11"/>
        <color theme="1"/>
        <rFont val="FreeSans"/>
        <family val="2"/>
      </rPr>
      <t xml:space="preserve">ערך נשאב בכתב המקורי מקובץ חיצוני</t>
    </r>
  </si>
  <si>
    <r>
      <rPr>
        <sz val="11"/>
        <color theme="1"/>
        <rFont val="FreeSans"/>
        <family val="2"/>
      </rPr>
      <t xml:space="preserve">מפרט פרק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FreeSans"/>
        <family val="2"/>
      </rPr>
      <t xml:space="preserve">סעיפים </t>
    </r>
    <r>
      <rPr>
        <sz val="11"/>
        <color theme="1"/>
        <rFont val="Calibri"/>
        <family val="2"/>
        <charset val="1"/>
      </rPr>
      <t xml:space="preserve">1,5 (</t>
    </r>
    <r>
      <rPr>
        <sz val="11"/>
        <color theme="1"/>
        <rFont val="FreeSans"/>
        <family val="2"/>
      </rPr>
      <t xml:space="preserve">קומפלט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</si>
  <si>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לפי מדידה – אין תוכנית גג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חזית בין המסמכים</t>
    </r>
  </si>
  <si>
    <r>
      <rPr>
        <sz val="11"/>
        <color theme="1"/>
        <rFont val="Calibri"/>
        <family val="2"/>
        <charset val="1"/>
      </rPr>
      <t xml:space="preserve">219.9 = 191 (84+42+41+24) + 28.9 (4.5+3.1+5.7+5.1+2.5+3+5) – </t>
    </r>
    <r>
      <rPr>
        <sz val="11"/>
        <color theme="1"/>
        <rFont val="FreeSans"/>
        <family val="2"/>
      </rPr>
      <t xml:space="preserve">לפי פירוט במפרט פרק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FreeSans"/>
        <family val="2"/>
      </rPr>
      <t xml:space="preserve">ובסריקה</t>
    </r>
  </si>
  <si>
    <r>
      <rPr>
        <sz val="11"/>
        <color theme="1"/>
        <rFont val="Calibri"/>
        <family val="2"/>
        <charset val="1"/>
      </rPr>
      <t xml:space="preserve">105 – </t>
    </r>
    <r>
      <rPr>
        <sz val="11"/>
        <color theme="1"/>
        <rFont val="FreeSans"/>
        <family val="2"/>
      </rPr>
      <t xml:space="preserve">ריצוף כללי מרתף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סריקה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FreeSans"/>
        <family val="2"/>
      </rPr>
      <t xml:space="preserve">מפרט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</si>
  <si>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121.2 = 21.9+11.9+22+15.5+13.3+13.7+22.9 – </t>
    </r>
    <r>
      <rPr>
        <sz val="11"/>
        <color theme="1"/>
        <rFont val="FreeSans"/>
        <family val="2"/>
      </rPr>
      <t xml:space="preserve">לפי פירוט במפרט פרק </t>
    </r>
    <r>
      <rPr>
        <sz val="11"/>
        <color theme="1"/>
        <rFont val="Calibri"/>
        <family val="2"/>
        <charset val="1"/>
      </rPr>
      <t xml:space="preserve">13</t>
    </r>
  </si>
  <si>
    <r>
      <rPr>
        <sz val="11"/>
        <color theme="1"/>
        <rFont val="Calibri"/>
        <family val="2"/>
        <charset val="1"/>
      </rPr>
      <t xml:space="preserve">285 </t>
    </r>
    <r>
      <rPr>
        <sz val="11"/>
        <color theme="1"/>
        <rFont val="FreeSans"/>
        <family val="2"/>
      </rPr>
      <t xml:space="preserve">מ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א – מפרט פרק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FreeSans"/>
        <family val="2"/>
      </rPr>
      <t xml:space="preserve">סעיף </t>
    </r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FreeSans"/>
        <family val="2"/>
      </rPr>
      <t xml:space="preserve">יחידה אוחדה ל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FreeSans"/>
        <family val="2"/>
      </rPr>
      <t xml:space="preserve">מ״א</t>
    </r>
  </si>
  <si>
    <r>
      <rPr>
        <sz val="11"/>
        <color theme="1"/>
        <rFont val="Calibri"/>
        <family val="2"/>
        <charset val="1"/>
      </rPr>
      <t xml:space="preserve">263.7 = 9+6.7+48+46+37+92+25 – </t>
    </r>
    <r>
      <rPr>
        <sz val="11"/>
        <color theme="1"/>
        <rFont val="FreeSans"/>
        <family val="2"/>
      </rPr>
      <t xml:space="preserve">לפי פירוט במפרט פרק </t>
    </r>
    <r>
      <rPr>
        <sz val="11"/>
        <color theme="1"/>
        <rFont val="Calibri"/>
        <family val="2"/>
        <charset val="1"/>
      </rPr>
      <t xml:space="preserve">13; </t>
    </r>
    <r>
      <rPr>
        <sz val="11"/>
        <color theme="1"/>
        <rFont val="FreeSans"/>
        <family val="2"/>
      </rPr>
      <t xml:space="preserve">בריכה בנפרד </t>
    </r>
    <r>
      <rPr>
        <sz val="11"/>
        <color theme="1"/>
        <rFont val="Calibri"/>
        <family val="2"/>
        <charset val="1"/>
      </rPr>
      <t xml:space="preserve">(43 </t>
    </r>
    <r>
      <rPr>
        <sz val="11"/>
        <color theme="1"/>
        <rFont val="FreeSans"/>
        <family val="2"/>
      </rPr>
      <t xml:space="preserve">מ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ר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</si>
  <si>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לא נמצא חישוב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FreeSans"/>
        <family val="2"/>
      </rPr>
      <t xml:space="preserve">במפרט</t>
    </r>
    <r>
      <rPr>
        <sz val="11"/>
        <color theme="1"/>
        <rFont val="Calibri"/>
        <family val="2"/>
        <charset val="1"/>
      </rPr>
      <t xml:space="preserve">: 54.975 </t>
    </r>
    <r>
      <rPr>
        <sz val="11"/>
        <color theme="1"/>
        <rFont val="FreeSans"/>
        <family val="2"/>
      </rPr>
      <t xml:space="preserve">מ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ר הוא תוספת פחת של 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FreeSans"/>
        <family val="2"/>
      </rPr>
      <t xml:space="preserve">על ריצוף – לא קשור למדרגות</t>
    </r>
  </si>
  <si>
    <r>
      <rPr>
        <sz val="11"/>
        <color theme="1"/>
        <rFont val="Calibri"/>
        <family val="2"/>
        <charset val="1"/>
      </rPr>
      <t xml:space="preserve">225 </t>
    </r>
    <r>
      <rPr>
        <sz val="11"/>
        <color theme="1"/>
        <rFont val="FreeSans"/>
        <family val="2"/>
      </rPr>
      <t xml:space="preserve">מ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ר – שליכט חיצוני כל הבית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סריקה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FreeSans"/>
        <family val="2"/>
      </rPr>
      <t xml:space="preserve">ומפרט פרק </t>
    </r>
    <r>
      <rPr>
        <sz val="11"/>
        <color theme="1"/>
        <rFont val="Calibri"/>
        <family val="2"/>
        <charset val="1"/>
      </rPr>
      <t xml:space="preserve">14</t>
    </r>
  </si>
  <si>
    <r>
      <rPr>
        <sz val="11"/>
        <color theme="1"/>
        <rFont val="Calibri"/>
        <family val="2"/>
        <charset val="1"/>
      </rPr>
      <t xml:space="preserve">254/118/204 </t>
    </r>
    <r>
      <rPr>
        <sz val="11"/>
        <color theme="1"/>
        <rFont val="FreeSans"/>
        <family val="2"/>
      </rPr>
      <t xml:space="preserve">מ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</rPr>
      <t xml:space="preserve">ר – שפכטל וצבע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סריקה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מפרט פרק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FreeSans"/>
        <family val="2"/>
      </rPr>
      <t xml:space="preserve">סעיפים </t>
    </r>
    <r>
      <rPr>
        <sz val="11"/>
        <color theme="1"/>
        <rFont val="Calibri"/>
        <family val="2"/>
        <charset val="1"/>
      </rPr>
      <t xml:space="preserve">1–3). </t>
    </r>
    <r>
      <rPr>
        <sz val="11"/>
        <color theme="1"/>
        <rFont val="FreeSans"/>
        <family val="2"/>
      </rPr>
      <t xml:space="preserve">בפתיח המפרט נכתב </t>
    </r>
    <r>
      <rPr>
        <sz val="11"/>
        <color theme="1"/>
        <rFont val="Calibri"/>
        <family val="2"/>
        <charset val="1"/>
      </rPr>
      <t xml:space="preserve">579/228/175/176 – </t>
    </r>
    <r>
      <rPr>
        <sz val="11"/>
        <color theme="1"/>
        <rFont val="FreeSans"/>
        <family val="2"/>
      </rPr>
      <t xml:space="preserve">לא תואם</t>
    </r>
  </si>
  <si>
    <r>
      <rPr>
        <sz val="11"/>
        <color theme="1"/>
        <rFont val="FreeSans"/>
        <family val="2"/>
      </rPr>
      <t xml:space="preserve">מפרט פרק </t>
    </r>
    <r>
      <rPr>
        <sz val="11"/>
        <color theme="1"/>
        <rFont val="Calibri"/>
        <family val="2"/>
        <charset val="1"/>
      </rPr>
      <t xml:space="preserve">16: 26/10/3/1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</si>
</sst>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##"/>
    <numFmt numFmtId="166" formatCode="#,##0.00"/>
    <numFmt numFmtId="167" formatCode="#,##0"/>
    <numFmt numFmtId="168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FreeSans"/>
      <family val="2"/>
    </font>
    <font>
      <b val="true"/>
      <sz val="14"/>
      <name val="Cambria"/>
      <family val="0"/>
      <charset val="1"/>
    </font>
    <font>
      <sz val="11"/>
      <color theme="1"/>
      <name val="FreeSans"/>
      <family val="2"/>
    </font>
    <font>
      <b val="true"/>
      <sz val="11"/>
      <color rgb="FFFFFFFF"/>
      <name val="FreeSans"/>
      <family val="2"/>
    </font>
    <font>
      <b val="true"/>
      <sz val="11"/>
      <color rgb="FFFFFFFF"/>
      <name val="Cambria"/>
      <family val="0"/>
      <charset val="1"/>
    </font>
    <font>
      <b val="true"/>
      <sz val="11"/>
      <name val="FreeSans"/>
      <family val="2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DEDED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6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11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55"/>
    <col collapsed="false" customWidth="true" hidden="false" outlineLevel="0" max="4" min="4" style="0" width="9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4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5.0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4"/>
      <c r="C5" s="4"/>
      <c r="D5" s="4"/>
      <c r="E5" s="4"/>
      <c r="F5" s="4"/>
      <c r="G5" s="4"/>
      <c r="H5" s="4"/>
      <c r="I5" s="4"/>
    </row>
    <row r="6" customFormat="false" ht="59.7" hidden="false" customHeight="false" outlineLevel="0" collapsed="false">
      <c r="A6" s="5" t="s">
        <v>12</v>
      </c>
      <c r="B6" s="6" t="s">
        <v>13</v>
      </c>
      <c r="C6" s="6" t="s">
        <v>14</v>
      </c>
      <c r="D6" s="7" t="s">
        <v>15</v>
      </c>
      <c r="E6" s="8" t="n">
        <v>1</v>
      </c>
      <c r="F6" s="8"/>
      <c r="G6" s="9" t="n">
        <v>8000</v>
      </c>
      <c r="H6" s="10" t="n">
        <f aca="false">ROUND(IF(ISNUMBER(E6),E6,N(F6))*G6,2)</f>
        <v>8000</v>
      </c>
      <c r="I6" s="6"/>
    </row>
    <row r="7" customFormat="false" ht="37.3" hidden="false" customHeight="false" outlineLevel="0" collapsed="false">
      <c r="A7" s="5" t="s">
        <v>16</v>
      </c>
      <c r="B7" s="6" t="s">
        <v>17</v>
      </c>
      <c r="C7" s="6" t="s">
        <v>18</v>
      </c>
      <c r="D7" s="7" t="s">
        <v>15</v>
      </c>
      <c r="E7" s="8" t="n">
        <v>1</v>
      </c>
      <c r="F7" s="8"/>
      <c r="G7" s="9" t="n">
        <v>4000</v>
      </c>
      <c r="H7" s="10" t="n">
        <f aca="false">ROUND(IF(ISNUMBER(E7),E7,N(F7))*G7,2)</f>
        <v>4000</v>
      </c>
      <c r="I7" s="6"/>
    </row>
    <row r="8" customFormat="false" ht="26.1" hidden="false" customHeight="false" outlineLevel="0" collapsed="false">
      <c r="A8" s="5" t="s">
        <v>19</v>
      </c>
      <c r="B8" s="6" t="s">
        <v>20</v>
      </c>
      <c r="C8" s="6" t="s">
        <v>21</v>
      </c>
      <c r="D8" s="7" t="s">
        <v>15</v>
      </c>
      <c r="E8" s="8" t="n">
        <v>1</v>
      </c>
      <c r="F8" s="8"/>
      <c r="G8" s="9" t="n">
        <v>1500</v>
      </c>
      <c r="H8" s="10" t="n">
        <f aca="false">ROUND(IF(ISNUMBER(E8),E8,N(F8))*G8,2)</f>
        <v>1500</v>
      </c>
      <c r="I8" s="6"/>
    </row>
    <row r="9" customFormat="false" ht="37.3" hidden="false" customHeight="false" outlineLevel="0" collapsed="false">
      <c r="A9" s="5" t="s">
        <v>22</v>
      </c>
      <c r="B9" s="6" t="s">
        <v>23</v>
      </c>
      <c r="C9" s="6" t="s">
        <v>24</v>
      </c>
      <c r="D9" s="7" t="s">
        <v>15</v>
      </c>
      <c r="E9" s="8" t="n">
        <v>1</v>
      </c>
      <c r="F9" s="8"/>
      <c r="G9" s="9" t="n">
        <v>3000</v>
      </c>
      <c r="H9" s="10" t="n">
        <f aca="false">ROUND(IF(ISNUMBER(E9),E9,N(F9))*G9,2)</f>
        <v>3000</v>
      </c>
      <c r="I9" s="6"/>
    </row>
    <row r="10" customFormat="false" ht="37.3" hidden="false" customHeight="false" outlineLevel="0" collapsed="false">
      <c r="A10" s="5" t="s">
        <v>25</v>
      </c>
      <c r="B10" s="6" t="s">
        <v>26</v>
      </c>
      <c r="C10" s="6" t="s">
        <v>27</v>
      </c>
      <c r="D10" s="7" t="s">
        <v>15</v>
      </c>
      <c r="E10" s="8" t="n">
        <v>1</v>
      </c>
      <c r="F10" s="8"/>
      <c r="G10" s="9" t="n">
        <v>5000</v>
      </c>
      <c r="H10" s="10" t="n">
        <f aca="false">ROUND(IF(ISNUMBER(E10),E10,N(F10))*G10,2)</f>
        <v>5000</v>
      </c>
      <c r="I10" s="6"/>
    </row>
    <row r="11" customFormat="false" ht="48.5" hidden="false" customHeight="false" outlineLevel="0" collapsed="false">
      <c r="A11" s="5" t="s">
        <v>28</v>
      </c>
      <c r="B11" s="6" t="s">
        <v>29</v>
      </c>
      <c r="C11" s="6" t="s">
        <v>30</v>
      </c>
      <c r="D11" s="7" t="s">
        <v>15</v>
      </c>
      <c r="E11" s="8" t="n">
        <v>1</v>
      </c>
      <c r="F11" s="8"/>
      <c r="G11" s="9" t="n">
        <v>3000</v>
      </c>
      <c r="H11" s="10" t="n">
        <f aca="false">ROUND(IF(ISNUMBER(E11),E11,N(F11))*G11,2)</f>
        <v>3000</v>
      </c>
      <c r="I11" s="6"/>
    </row>
    <row r="12" customFormat="false" ht="37.3" hidden="false" customHeight="false" outlineLevel="0" collapsed="false">
      <c r="A12" s="5" t="s">
        <v>31</v>
      </c>
      <c r="B12" s="6" t="s">
        <v>32</v>
      </c>
      <c r="C12" s="6" t="s">
        <v>33</v>
      </c>
      <c r="D12" s="7" t="s">
        <v>15</v>
      </c>
      <c r="E12" s="8" t="n">
        <v>1</v>
      </c>
      <c r="F12" s="8"/>
      <c r="G12" s="9" t="n">
        <v>9000</v>
      </c>
      <c r="H12" s="10" t="n">
        <f aca="false">ROUND(IF(ISNUMBER(E12),E12,N(F12))*G12,2)</f>
        <v>9000</v>
      </c>
      <c r="I12" s="6"/>
    </row>
    <row r="13" customFormat="false" ht="37.3" hidden="false" customHeight="false" outlineLevel="0" collapsed="false">
      <c r="A13" s="5" t="s">
        <v>34</v>
      </c>
      <c r="B13" s="6" t="s">
        <v>35</v>
      </c>
      <c r="C13" s="6" t="s">
        <v>36</v>
      </c>
      <c r="D13" s="7" t="s">
        <v>15</v>
      </c>
      <c r="E13" s="8" t="n">
        <v>1</v>
      </c>
      <c r="F13" s="8"/>
      <c r="G13" s="9" t="n">
        <v>9000</v>
      </c>
      <c r="H13" s="10" t="n">
        <f aca="false">ROUND(IF(ISNUMBER(E13),E13,N(F13))*G13,2)</f>
        <v>9000</v>
      </c>
      <c r="I13" s="6"/>
    </row>
    <row r="14" customFormat="false" ht="48.5" hidden="false" customHeight="false" outlineLevel="0" collapsed="false">
      <c r="A14" s="5" t="s">
        <v>37</v>
      </c>
      <c r="B14" s="6" t="s">
        <v>38</v>
      </c>
      <c r="C14" s="6" t="s">
        <v>39</v>
      </c>
      <c r="D14" s="7" t="s">
        <v>40</v>
      </c>
      <c r="E14" s="8"/>
      <c r="F14" s="11" t="n">
        <v>225</v>
      </c>
      <c r="G14" s="9" t="n">
        <v>85</v>
      </c>
      <c r="H14" s="10" t="n">
        <f aca="false">ROUND(IF(ISNUMBER(E14),E14,N(F14))*G14,2)</f>
        <v>19125</v>
      </c>
      <c r="I14" s="6" t="s">
        <v>41</v>
      </c>
    </row>
    <row r="15" customFormat="false" ht="15" hidden="false" customHeight="false" outlineLevel="0" collapsed="false">
      <c r="A15" s="12" t="s">
        <v>42</v>
      </c>
      <c r="B15" s="12"/>
      <c r="C15" s="12"/>
      <c r="D15" s="12"/>
      <c r="E15" s="12"/>
      <c r="F15" s="12"/>
      <c r="G15" s="12"/>
      <c r="H15" s="13" t="n">
        <f aca="false">SUM(H6:H14)</f>
        <v>61625</v>
      </c>
      <c r="I15" s="14"/>
    </row>
    <row r="17" customFormat="false" ht="15" hidden="false" customHeight="false" outlineLevel="0" collapsed="false">
      <c r="A17" s="4" t="s">
        <v>43</v>
      </c>
      <c r="B17" s="4"/>
      <c r="C17" s="4"/>
      <c r="D17" s="4"/>
      <c r="E17" s="4"/>
      <c r="F17" s="4"/>
      <c r="G17" s="4"/>
      <c r="H17" s="4"/>
      <c r="I17" s="4"/>
    </row>
    <row r="18" customFormat="false" ht="48.5" hidden="false" customHeight="false" outlineLevel="0" collapsed="false">
      <c r="A18" s="5" t="s">
        <v>44</v>
      </c>
      <c r="B18" s="6" t="s">
        <v>45</v>
      </c>
      <c r="C18" s="6" t="s">
        <v>46</v>
      </c>
      <c r="D18" s="7" t="s">
        <v>40</v>
      </c>
      <c r="E18" s="8" t="n">
        <v>62</v>
      </c>
      <c r="F18" s="8"/>
      <c r="G18" s="9" t="n">
        <v>120</v>
      </c>
      <c r="H18" s="10" t="n">
        <f aca="false">ROUND(IF(ISNUMBER(E18),E18,N(F18))*G18,2)</f>
        <v>7440</v>
      </c>
      <c r="I18" s="6"/>
    </row>
    <row r="19" customFormat="false" ht="48.5" hidden="false" customHeight="false" outlineLevel="0" collapsed="false">
      <c r="A19" s="5" t="s">
        <v>47</v>
      </c>
      <c r="B19" s="6" t="s">
        <v>48</v>
      </c>
      <c r="C19" s="6" t="s">
        <v>49</v>
      </c>
      <c r="D19" s="7" t="s">
        <v>40</v>
      </c>
      <c r="E19" s="8" t="n">
        <v>51</v>
      </c>
      <c r="F19" s="8"/>
      <c r="G19" s="9" t="n">
        <v>120</v>
      </c>
      <c r="H19" s="10" t="n">
        <f aca="false">ROUND(IF(ISNUMBER(E19),E19,N(F19))*G19,2)</f>
        <v>6120</v>
      </c>
      <c r="I19" s="6"/>
    </row>
    <row r="20" customFormat="false" ht="48.5" hidden="false" customHeight="false" outlineLevel="0" collapsed="false">
      <c r="A20" s="5" t="s">
        <v>50</v>
      </c>
      <c r="B20" s="6" t="s">
        <v>51</v>
      </c>
      <c r="C20" s="6" t="s">
        <v>52</v>
      </c>
      <c r="D20" s="7" t="s">
        <v>40</v>
      </c>
      <c r="E20" s="8" t="n">
        <v>85</v>
      </c>
      <c r="F20" s="8"/>
      <c r="G20" s="9" t="n">
        <v>120</v>
      </c>
      <c r="H20" s="10" t="n">
        <f aca="false">ROUND(IF(ISNUMBER(E20),E20,N(F20))*G20,2)</f>
        <v>10200</v>
      </c>
      <c r="I20" s="6"/>
    </row>
    <row r="21" customFormat="false" ht="37.3" hidden="false" customHeight="false" outlineLevel="0" collapsed="false">
      <c r="A21" s="5" t="s">
        <v>53</v>
      </c>
      <c r="B21" s="6" t="s">
        <v>54</v>
      </c>
      <c r="C21" s="6" t="s">
        <v>55</v>
      </c>
      <c r="D21" s="7" t="s">
        <v>40</v>
      </c>
      <c r="E21" s="8" t="n">
        <v>10</v>
      </c>
      <c r="F21" s="8"/>
      <c r="G21" s="9" t="n">
        <v>50</v>
      </c>
      <c r="H21" s="10" t="n">
        <f aca="false">ROUND(IF(ISNUMBER(E21),E21,N(F21))*G21,2)</f>
        <v>500</v>
      </c>
      <c r="I21" s="6"/>
    </row>
    <row r="22" customFormat="false" ht="37.3" hidden="false" customHeight="false" outlineLevel="0" collapsed="false">
      <c r="A22" s="5" t="s">
        <v>56</v>
      </c>
      <c r="B22" s="6" t="s">
        <v>57</v>
      </c>
      <c r="C22" s="6" t="s">
        <v>58</v>
      </c>
      <c r="D22" s="7" t="s">
        <v>40</v>
      </c>
      <c r="E22" s="8" t="n">
        <v>40</v>
      </c>
      <c r="F22" s="8"/>
      <c r="G22" s="9" t="n">
        <v>90</v>
      </c>
      <c r="H22" s="10" t="n">
        <f aca="false">ROUND(IF(ISNUMBER(E22),E22,N(F22))*G22,2)</f>
        <v>3600</v>
      </c>
      <c r="I22" s="6"/>
    </row>
    <row r="23" customFormat="false" ht="26.1" hidden="false" customHeight="false" outlineLevel="0" collapsed="false">
      <c r="A23" s="5" t="s">
        <v>59</v>
      </c>
      <c r="B23" s="6" t="s">
        <v>60</v>
      </c>
      <c r="C23" s="6" t="s">
        <v>61</v>
      </c>
      <c r="D23" s="7" t="s">
        <v>15</v>
      </c>
      <c r="E23" s="8" t="n">
        <v>1</v>
      </c>
      <c r="F23" s="8"/>
      <c r="G23" s="9" t="n">
        <v>2000</v>
      </c>
      <c r="H23" s="10" t="n">
        <f aca="false">ROUND(IF(ISNUMBER(E23),E23,N(F23))*G23,2)</f>
        <v>2000</v>
      </c>
      <c r="I23" s="6"/>
    </row>
    <row r="24" customFormat="false" ht="37.3" hidden="false" customHeight="false" outlineLevel="0" collapsed="false">
      <c r="A24" s="5" t="s">
        <v>62</v>
      </c>
      <c r="B24" s="6" t="s">
        <v>63</v>
      </c>
      <c r="C24" s="6" t="s">
        <v>64</v>
      </c>
      <c r="D24" s="7" t="s">
        <v>65</v>
      </c>
      <c r="E24" s="8" t="n">
        <v>1</v>
      </c>
      <c r="F24" s="8"/>
      <c r="G24" s="9" t="n">
        <v>2500</v>
      </c>
      <c r="H24" s="10" t="n">
        <f aca="false">ROUND(IF(ISNUMBER(E24),E24,N(F24))*G24,2)</f>
        <v>2500</v>
      </c>
      <c r="I24" s="6"/>
    </row>
    <row r="25" customFormat="false" ht="37.3" hidden="false" customHeight="false" outlineLevel="0" collapsed="false">
      <c r="A25" s="5" t="s">
        <v>66</v>
      </c>
      <c r="B25" s="6" t="s">
        <v>67</v>
      </c>
      <c r="C25" s="6" t="s">
        <v>68</v>
      </c>
      <c r="D25" s="7" t="s">
        <v>15</v>
      </c>
      <c r="E25" s="8" t="n">
        <v>1</v>
      </c>
      <c r="F25" s="8"/>
      <c r="G25" s="9" t="n">
        <v>6000</v>
      </c>
      <c r="H25" s="10" t="n">
        <f aca="false">ROUND(IF(ISNUMBER(E25),E25,N(F25))*G25,2)</f>
        <v>6000</v>
      </c>
      <c r="I25" s="6"/>
    </row>
    <row r="26" customFormat="false" ht="26.1" hidden="false" customHeight="false" outlineLevel="0" collapsed="false">
      <c r="A26" s="5" t="s">
        <v>69</v>
      </c>
      <c r="B26" s="6" t="s">
        <v>70</v>
      </c>
      <c r="C26" s="6" t="s">
        <v>71</v>
      </c>
      <c r="D26" s="7" t="s">
        <v>15</v>
      </c>
      <c r="E26" s="8" t="n">
        <v>1</v>
      </c>
      <c r="F26" s="8"/>
      <c r="G26" s="9" t="n">
        <v>3500</v>
      </c>
      <c r="H26" s="10" t="n">
        <f aca="false">ROUND(IF(ISNUMBER(E26),E26,N(F26))*G26,2)</f>
        <v>3500</v>
      </c>
      <c r="I26" s="6"/>
    </row>
    <row r="27" customFormat="false" ht="37.3" hidden="false" customHeight="false" outlineLevel="0" collapsed="false">
      <c r="A27" s="5" t="s">
        <v>72</v>
      </c>
      <c r="B27" s="6" t="s">
        <v>73</v>
      </c>
      <c r="C27" s="6" t="s">
        <v>74</v>
      </c>
      <c r="D27" s="7" t="s">
        <v>15</v>
      </c>
      <c r="E27" s="8" t="n">
        <v>1</v>
      </c>
      <c r="F27" s="8"/>
      <c r="G27" s="9" t="n">
        <v>8000</v>
      </c>
      <c r="H27" s="10" t="n">
        <f aca="false">ROUND(IF(ISNUMBER(E27),E27,N(F27))*G27,2)</f>
        <v>8000</v>
      </c>
      <c r="I27" s="6"/>
    </row>
    <row r="28" customFormat="false" ht="37.3" hidden="false" customHeight="false" outlineLevel="0" collapsed="false">
      <c r="A28" s="5" t="s">
        <v>75</v>
      </c>
      <c r="B28" s="6" t="s">
        <v>76</v>
      </c>
      <c r="C28" s="6" t="s">
        <v>77</v>
      </c>
      <c r="D28" s="7" t="s">
        <v>15</v>
      </c>
      <c r="E28" s="8" t="n">
        <v>1</v>
      </c>
      <c r="F28" s="8"/>
      <c r="G28" s="9" t="n">
        <v>4000</v>
      </c>
      <c r="H28" s="10" t="n">
        <f aca="false">ROUND(IF(ISNUMBER(E28),E28,N(F28))*G28,2)</f>
        <v>4000</v>
      </c>
      <c r="I28" s="6"/>
    </row>
    <row r="29" customFormat="false" ht="37.3" hidden="false" customHeight="false" outlineLevel="0" collapsed="false">
      <c r="A29" s="5" t="s">
        <v>78</v>
      </c>
      <c r="B29" s="6" t="s">
        <v>79</v>
      </c>
      <c r="C29" s="6" t="s">
        <v>80</v>
      </c>
      <c r="D29" s="7" t="s">
        <v>15</v>
      </c>
      <c r="E29" s="8" t="n">
        <v>1</v>
      </c>
      <c r="F29" s="8"/>
      <c r="G29" s="9" t="n">
        <v>3000</v>
      </c>
      <c r="H29" s="10" t="n">
        <f aca="false">ROUND(IF(ISNUMBER(E29),E29,N(F29))*G29,2)</f>
        <v>3000</v>
      </c>
      <c r="I29" s="6"/>
    </row>
    <row r="30" customFormat="false" ht="37.3" hidden="false" customHeight="false" outlineLevel="0" collapsed="false">
      <c r="A30" s="5" t="s">
        <v>81</v>
      </c>
      <c r="B30" s="6" t="s">
        <v>82</v>
      </c>
      <c r="C30" s="6" t="s">
        <v>83</v>
      </c>
      <c r="D30" s="7" t="s">
        <v>15</v>
      </c>
      <c r="E30" s="8" t="n">
        <v>1</v>
      </c>
      <c r="F30" s="8"/>
      <c r="G30" s="9" t="n">
        <v>2500</v>
      </c>
      <c r="H30" s="10" t="n">
        <f aca="false">ROUND(IF(ISNUMBER(E30),E30,N(F30))*G30,2)</f>
        <v>2500</v>
      </c>
      <c r="I30" s="6"/>
    </row>
    <row r="31" customFormat="false" ht="37.3" hidden="false" customHeight="false" outlineLevel="0" collapsed="false">
      <c r="A31" s="5" t="s">
        <v>84</v>
      </c>
      <c r="B31" s="6" t="s">
        <v>85</v>
      </c>
      <c r="C31" s="6" t="s">
        <v>86</v>
      </c>
      <c r="D31" s="7" t="s">
        <v>15</v>
      </c>
      <c r="E31" s="8" t="n">
        <v>1</v>
      </c>
      <c r="F31" s="8"/>
      <c r="G31" s="9" t="n">
        <v>2000</v>
      </c>
      <c r="H31" s="10" t="n">
        <f aca="false">ROUND(IF(ISNUMBER(E31),E31,N(F31))*G31,2)</f>
        <v>2000</v>
      </c>
      <c r="I31" s="6"/>
    </row>
    <row r="32" customFormat="false" ht="48.5" hidden="false" customHeight="false" outlineLevel="0" collapsed="false">
      <c r="A32" s="5" t="s">
        <v>87</v>
      </c>
      <c r="B32" s="6" t="s">
        <v>88</v>
      </c>
      <c r="C32" s="6" t="s">
        <v>89</v>
      </c>
      <c r="D32" s="7" t="s">
        <v>90</v>
      </c>
      <c r="E32" s="8" t="n">
        <v>45</v>
      </c>
      <c r="F32" s="8"/>
      <c r="G32" s="9" t="n">
        <v>170</v>
      </c>
      <c r="H32" s="10" t="n">
        <f aca="false">ROUND(IF(ISNUMBER(E32),E32,N(F32))*G32,2)</f>
        <v>7650</v>
      </c>
      <c r="I32" s="6" t="s">
        <v>91</v>
      </c>
    </row>
    <row r="33" customFormat="false" ht="26.1" hidden="false" customHeight="false" outlineLevel="0" collapsed="false">
      <c r="A33" s="5" t="s">
        <v>92</v>
      </c>
      <c r="B33" s="6" t="s">
        <v>93</v>
      </c>
      <c r="C33" s="6" t="s">
        <v>94</v>
      </c>
      <c r="D33" s="7" t="s">
        <v>15</v>
      </c>
      <c r="E33" s="8" t="n">
        <v>1</v>
      </c>
      <c r="F33" s="8"/>
      <c r="G33" s="9" t="n">
        <v>28000</v>
      </c>
      <c r="H33" s="10" t="n">
        <f aca="false">ROUND(IF(ISNUMBER(E33),E33,N(F33))*G33,2)</f>
        <v>28000</v>
      </c>
      <c r="I33" s="6"/>
    </row>
    <row r="34" customFormat="false" ht="37.3" hidden="false" customHeight="false" outlineLevel="0" collapsed="false">
      <c r="A34" s="5" t="s">
        <v>95</v>
      </c>
      <c r="B34" s="6" t="s">
        <v>96</v>
      </c>
      <c r="C34" s="6" t="s">
        <v>97</v>
      </c>
      <c r="D34" s="7" t="s">
        <v>15</v>
      </c>
      <c r="E34" s="8" t="n">
        <v>1</v>
      </c>
      <c r="F34" s="8"/>
      <c r="G34" s="9" t="n">
        <v>3000</v>
      </c>
      <c r="H34" s="10" t="n">
        <f aca="false">ROUND(IF(ISNUMBER(E34),E34,N(F34))*G34,2)</f>
        <v>3000</v>
      </c>
      <c r="I34" s="6"/>
    </row>
    <row r="35" customFormat="false" ht="26.1" hidden="false" customHeight="false" outlineLevel="0" collapsed="false">
      <c r="A35" s="5" t="s">
        <v>98</v>
      </c>
      <c r="B35" s="6" t="s">
        <v>99</v>
      </c>
      <c r="C35" s="6" t="s">
        <v>100</v>
      </c>
      <c r="D35" s="7" t="s">
        <v>15</v>
      </c>
      <c r="E35" s="8" t="n">
        <v>1</v>
      </c>
      <c r="F35" s="8"/>
      <c r="G35" s="9" t="n">
        <v>4500</v>
      </c>
      <c r="H35" s="10" t="n">
        <f aca="false">ROUND(IF(ISNUMBER(E35),E35,N(F35))*G35,2)</f>
        <v>4500</v>
      </c>
      <c r="I35" s="6"/>
    </row>
    <row r="36" customFormat="false" ht="48.5" hidden="false" customHeight="false" outlineLevel="0" collapsed="false">
      <c r="A36" s="5" t="s">
        <v>101</v>
      </c>
      <c r="B36" s="6" t="s">
        <v>102</v>
      </c>
      <c r="C36" s="6" t="s">
        <v>103</v>
      </c>
      <c r="D36" s="7" t="s">
        <v>15</v>
      </c>
      <c r="E36" s="8" t="n">
        <v>1</v>
      </c>
      <c r="F36" s="8"/>
      <c r="G36" s="9" t="n">
        <v>3000</v>
      </c>
      <c r="H36" s="10" t="n">
        <f aca="false">ROUND(IF(ISNUMBER(E36),E36,N(F36))*G36,2)</f>
        <v>3000</v>
      </c>
      <c r="I36" s="6"/>
    </row>
    <row r="37" customFormat="false" ht="37.3" hidden="false" customHeight="false" outlineLevel="0" collapsed="false">
      <c r="A37" s="5" t="s">
        <v>104</v>
      </c>
      <c r="B37" s="6" t="s">
        <v>105</v>
      </c>
      <c r="C37" s="6" t="s">
        <v>106</v>
      </c>
      <c r="D37" s="7" t="s">
        <v>40</v>
      </c>
      <c r="E37" s="8" t="n">
        <v>100</v>
      </c>
      <c r="F37" s="8"/>
      <c r="G37" s="9" t="n">
        <v>100</v>
      </c>
      <c r="H37" s="10" t="n">
        <f aca="false">ROUND(IF(ISNUMBER(E37),E37,N(F37))*G37,2)</f>
        <v>10000</v>
      </c>
      <c r="I37" s="6"/>
    </row>
    <row r="38" customFormat="false" ht="15" hidden="false" customHeight="false" outlineLevel="0" collapsed="false">
      <c r="A38" s="12" t="s">
        <v>107</v>
      </c>
      <c r="B38" s="12"/>
      <c r="C38" s="12"/>
      <c r="D38" s="12"/>
      <c r="E38" s="12"/>
      <c r="F38" s="12"/>
      <c r="G38" s="12"/>
      <c r="H38" s="13" t="n">
        <f aca="false">SUM(H18:H37)</f>
        <v>117510</v>
      </c>
      <c r="I38" s="14"/>
    </row>
    <row r="40" customFormat="false" ht="15" hidden="false" customHeight="false" outlineLevel="0" collapsed="false">
      <c r="A40" s="4" t="s">
        <v>108</v>
      </c>
      <c r="B40" s="4"/>
      <c r="C40" s="4"/>
      <c r="D40" s="4"/>
      <c r="E40" s="4"/>
      <c r="F40" s="4"/>
      <c r="G40" s="4"/>
      <c r="H40" s="4"/>
      <c r="I40" s="4"/>
    </row>
    <row r="41" customFormat="false" ht="73.1" hidden="false" customHeight="false" outlineLevel="0" collapsed="false">
      <c r="A41" s="5" t="s">
        <v>109</v>
      </c>
      <c r="B41" s="6" t="s">
        <v>110</v>
      </c>
      <c r="C41" s="6" t="s">
        <v>111</v>
      </c>
      <c r="D41" s="7" t="s">
        <v>15</v>
      </c>
      <c r="E41" s="8" t="n">
        <v>1</v>
      </c>
      <c r="F41" s="8"/>
      <c r="G41" s="9" t="n">
        <v>70000</v>
      </c>
      <c r="H41" s="10" t="n">
        <f aca="false">ROUND(IF(ISNUMBER(E41),E41,N(F41))*G41,2)</f>
        <v>70000</v>
      </c>
      <c r="I41" s="6"/>
    </row>
    <row r="42" customFormat="false" ht="59.7" hidden="false" customHeight="false" outlineLevel="0" collapsed="false">
      <c r="A42" s="5" t="s">
        <v>112</v>
      </c>
      <c r="B42" s="6" t="s">
        <v>113</v>
      </c>
      <c r="C42" s="6" t="s">
        <v>114</v>
      </c>
      <c r="D42" s="7" t="s">
        <v>15</v>
      </c>
      <c r="E42" s="8" t="n">
        <v>1</v>
      </c>
      <c r="F42" s="8"/>
      <c r="G42" s="9" t="n">
        <v>120000</v>
      </c>
      <c r="H42" s="10" t="n">
        <f aca="false">ROUND(IF(ISNUMBER(E42),E42,N(F42))*G42,2)</f>
        <v>120000</v>
      </c>
      <c r="I42" s="6"/>
    </row>
    <row r="43" customFormat="false" ht="48.5" hidden="false" customHeight="false" outlineLevel="0" collapsed="false">
      <c r="A43" s="5" t="s">
        <v>115</v>
      </c>
      <c r="B43" s="6" t="s">
        <v>116</v>
      </c>
      <c r="C43" s="6" t="s">
        <v>117</v>
      </c>
      <c r="D43" s="7" t="s">
        <v>15</v>
      </c>
      <c r="E43" s="8" t="n">
        <v>1</v>
      </c>
      <c r="F43" s="8"/>
      <c r="G43" s="9" t="n">
        <v>38000</v>
      </c>
      <c r="H43" s="10" t="n">
        <f aca="false">ROUND(IF(ISNUMBER(E43),E43,N(F43))*G43,2)</f>
        <v>38000</v>
      </c>
      <c r="I43" s="6"/>
    </row>
    <row r="44" customFormat="false" ht="37.3" hidden="false" customHeight="false" outlineLevel="0" collapsed="false">
      <c r="A44" s="5" t="s">
        <v>118</v>
      </c>
      <c r="B44" s="6" t="s">
        <v>119</v>
      </c>
      <c r="C44" s="6" t="s">
        <v>120</v>
      </c>
      <c r="D44" s="7" t="s">
        <v>15</v>
      </c>
      <c r="E44" s="8" t="n">
        <v>1</v>
      </c>
      <c r="F44" s="8"/>
      <c r="G44" s="9" t="n">
        <v>18000</v>
      </c>
      <c r="H44" s="10" t="n">
        <f aca="false">ROUND(IF(ISNUMBER(E44),E44,N(F44))*G44,2)</f>
        <v>18000</v>
      </c>
      <c r="I44" s="6"/>
    </row>
    <row r="45" customFormat="false" ht="15" hidden="false" customHeight="false" outlineLevel="0" collapsed="false">
      <c r="A45" s="12" t="s">
        <v>121</v>
      </c>
      <c r="B45" s="12"/>
      <c r="C45" s="12"/>
      <c r="D45" s="12"/>
      <c r="E45" s="12"/>
      <c r="F45" s="12"/>
      <c r="G45" s="12"/>
      <c r="H45" s="13" t="n">
        <f aca="false">SUM(H41:H44)</f>
        <v>246000</v>
      </c>
      <c r="I45" s="14"/>
    </row>
    <row r="47" customFormat="false" ht="15" hidden="false" customHeight="false" outlineLevel="0" collapsed="false">
      <c r="A47" s="4" t="s">
        <v>122</v>
      </c>
      <c r="B47" s="4"/>
      <c r="C47" s="4"/>
      <c r="D47" s="4"/>
      <c r="E47" s="4"/>
      <c r="F47" s="4"/>
      <c r="G47" s="4"/>
      <c r="H47" s="4"/>
      <c r="I47" s="4"/>
    </row>
    <row r="48" customFormat="false" ht="59.7" hidden="false" customHeight="false" outlineLevel="0" collapsed="false">
      <c r="A48" s="5" t="s">
        <v>123</v>
      </c>
      <c r="B48" s="6" t="s">
        <v>124</v>
      </c>
      <c r="C48" s="6" t="s">
        <v>125</v>
      </c>
      <c r="D48" s="7" t="s">
        <v>40</v>
      </c>
      <c r="E48" s="8" t="n">
        <v>6.3</v>
      </c>
      <c r="F48" s="8"/>
      <c r="G48" s="9" t="n">
        <v>300</v>
      </c>
      <c r="H48" s="10" t="n">
        <f aca="false">ROUND(IF(ISNUMBER(E48),E48,N(F48))*G48,2)</f>
        <v>1890</v>
      </c>
      <c r="I48" s="6"/>
    </row>
    <row r="49" customFormat="false" ht="59.7" hidden="false" customHeight="false" outlineLevel="0" collapsed="false">
      <c r="A49" s="5" t="s">
        <v>126</v>
      </c>
      <c r="B49" s="6" t="s">
        <v>127</v>
      </c>
      <c r="C49" s="6" t="s">
        <v>128</v>
      </c>
      <c r="D49" s="7" t="s">
        <v>40</v>
      </c>
      <c r="E49" s="8" t="n">
        <v>17.7</v>
      </c>
      <c r="F49" s="8"/>
      <c r="G49" s="9" t="n">
        <v>300</v>
      </c>
      <c r="H49" s="10" t="n">
        <f aca="false">ROUND(IF(ISNUMBER(E49),E49,N(F49))*G49,2)</f>
        <v>5310</v>
      </c>
      <c r="I49" s="6"/>
    </row>
    <row r="50" customFormat="false" ht="59.7" hidden="false" customHeight="false" outlineLevel="0" collapsed="false">
      <c r="A50" s="5" t="s">
        <v>129</v>
      </c>
      <c r="B50" s="6" t="s">
        <v>130</v>
      </c>
      <c r="C50" s="6" t="s">
        <v>131</v>
      </c>
      <c r="D50" s="7" t="s">
        <v>40</v>
      </c>
      <c r="E50" s="8" t="n">
        <v>2.08</v>
      </c>
      <c r="F50" s="8"/>
      <c r="G50" s="9" t="n">
        <v>300</v>
      </c>
      <c r="H50" s="10" t="n">
        <f aca="false">ROUND(IF(ISNUMBER(E50),E50,N(F50))*G50,2)</f>
        <v>624</v>
      </c>
      <c r="I50" s="6"/>
    </row>
    <row r="51" customFormat="false" ht="15" hidden="false" customHeight="false" outlineLevel="0" collapsed="false">
      <c r="A51" s="12" t="s">
        <v>132</v>
      </c>
      <c r="B51" s="12"/>
      <c r="C51" s="12"/>
      <c r="D51" s="12"/>
      <c r="E51" s="12"/>
      <c r="F51" s="12"/>
      <c r="G51" s="12"/>
      <c r="H51" s="13" t="n">
        <f aca="false">SUM(H48:H50)</f>
        <v>7824</v>
      </c>
      <c r="I51" s="14"/>
    </row>
    <row r="53" customFormat="false" ht="15" hidden="false" customHeight="false" outlineLevel="0" collapsed="false">
      <c r="A53" s="4" t="s">
        <v>133</v>
      </c>
      <c r="B53" s="4"/>
      <c r="C53" s="4"/>
      <c r="D53" s="4"/>
      <c r="E53" s="4"/>
      <c r="F53" s="4"/>
      <c r="G53" s="4"/>
      <c r="H53" s="4"/>
      <c r="I53" s="4"/>
    </row>
    <row r="54" customFormat="false" ht="37.3" hidden="false" customHeight="false" outlineLevel="0" collapsed="false">
      <c r="A54" s="5" t="s">
        <v>134</v>
      </c>
      <c r="B54" s="6" t="s">
        <v>135</v>
      </c>
      <c r="C54" s="6" t="s">
        <v>136</v>
      </c>
      <c r="D54" s="7" t="s">
        <v>65</v>
      </c>
      <c r="E54" s="8" t="n">
        <v>7</v>
      </c>
      <c r="F54" s="8"/>
      <c r="G54" s="9" t="n">
        <v>800</v>
      </c>
      <c r="H54" s="10" t="n">
        <f aca="false">ROUND(IF(ISNUMBER(E54),E54,N(F54))*G54,2)</f>
        <v>5600</v>
      </c>
      <c r="I54" s="6"/>
    </row>
    <row r="55" customFormat="false" ht="37.3" hidden="false" customHeight="false" outlineLevel="0" collapsed="false">
      <c r="A55" s="5" t="s">
        <v>137</v>
      </c>
      <c r="B55" s="6" t="s">
        <v>138</v>
      </c>
      <c r="C55" s="6" t="s">
        <v>139</v>
      </c>
      <c r="D55" s="7" t="s">
        <v>65</v>
      </c>
      <c r="E55" s="8" t="n">
        <v>7</v>
      </c>
      <c r="F55" s="8"/>
      <c r="G55" s="9" t="n">
        <v>1100</v>
      </c>
      <c r="H55" s="10" t="n">
        <f aca="false">ROUND(IF(ISNUMBER(E55),E55,N(F55))*G55,2)</f>
        <v>7700</v>
      </c>
      <c r="I55" s="6"/>
    </row>
    <row r="56" customFormat="false" ht="26.1" hidden="false" customHeight="false" outlineLevel="0" collapsed="false">
      <c r="A56" s="5" t="s">
        <v>140</v>
      </c>
      <c r="B56" s="6" t="s">
        <v>141</v>
      </c>
      <c r="C56" s="6" t="s">
        <v>142</v>
      </c>
      <c r="D56" s="7" t="s">
        <v>65</v>
      </c>
      <c r="E56" s="8" t="n">
        <v>7</v>
      </c>
      <c r="F56" s="8"/>
      <c r="G56" s="9" t="n">
        <v>150</v>
      </c>
      <c r="H56" s="10" t="n">
        <f aca="false">ROUND(IF(ISNUMBER(E56),E56,N(F56))*G56,2)</f>
        <v>1050</v>
      </c>
      <c r="I56" s="6"/>
    </row>
    <row r="57" customFormat="false" ht="26.1" hidden="false" customHeight="false" outlineLevel="0" collapsed="false">
      <c r="A57" s="5" t="s">
        <v>143</v>
      </c>
      <c r="B57" s="6" t="s">
        <v>144</v>
      </c>
      <c r="C57" s="6" t="s">
        <v>145</v>
      </c>
      <c r="D57" s="7" t="s">
        <v>65</v>
      </c>
      <c r="E57" s="8" t="n">
        <v>7</v>
      </c>
      <c r="F57" s="8"/>
      <c r="G57" s="9" t="n">
        <v>150</v>
      </c>
      <c r="H57" s="10" t="n">
        <f aca="false">ROUND(IF(ISNUMBER(E57),E57,N(F57))*G57,2)</f>
        <v>1050</v>
      </c>
      <c r="I57" s="6"/>
    </row>
    <row r="58" customFormat="false" ht="26.1" hidden="false" customHeight="false" outlineLevel="0" collapsed="false">
      <c r="A58" s="5" t="s">
        <v>146</v>
      </c>
      <c r="B58" s="6" t="s">
        <v>147</v>
      </c>
      <c r="C58" s="6" t="s">
        <v>148</v>
      </c>
      <c r="D58" s="7" t="s">
        <v>65</v>
      </c>
      <c r="E58" s="8" t="n">
        <v>1</v>
      </c>
      <c r="F58" s="8"/>
      <c r="G58" s="9" t="n">
        <v>600</v>
      </c>
      <c r="H58" s="10" t="n">
        <f aca="false">ROUND(IF(ISNUMBER(E58),E58,N(F58))*G58,2)</f>
        <v>600</v>
      </c>
      <c r="I58" s="6"/>
    </row>
    <row r="59" customFormat="false" ht="26.1" hidden="false" customHeight="false" outlineLevel="0" collapsed="false">
      <c r="A59" s="5" t="s">
        <v>149</v>
      </c>
      <c r="B59" s="6" t="s">
        <v>150</v>
      </c>
      <c r="C59" s="6" t="s">
        <v>151</v>
      </c>
      <c r="D59" s="7" t="s">
        <v>65</v>
      </c>
      <c r="E59" s="8" t="n">
        <v>6</v>
      </c>
      <c r="F59" s="8"/>
      <c r="G59" s="9" t="n">
        <v>300</v>
      </c>
      <c r="H59" s="10" t="n">
        <f aca="false">ROUND(IF(ISNUMBER(E59),E59,N(F59))*G59,2)</f>
        <v>1800</v>
      </c>
      <c r="I59" s="6"/>
    </row>
    <row r="60" customFormat="false" ht="26.1" hidden="false" customHeight="false" outlineLevel="0" collapsed="false">
      <c r="A60" s="5" t="s">
        <v>152</v>
      </c>
      <c r="B60" s="6" t="s">
        <v>153</v>
      </c>
      <c r="C60" s="6" t="s">
        <v>154</v>
      </c>
      <c r="D60" s="7" t="s">
        <v>65</v>
      </c>
      <c r="E60" s="8" t="n">
        <v>6</v>
      </c>
      <c r="F60" s="8"/>
      <c r="G60" s="9" t="n">
        <v>450</v>
      </c>
      <c r="H60" s="10" t="n">
        <f aca="false">ROUND(IF(ISNUMBER(E60),E60,N(F60))*G60,2)</f>
        <v>2700</v>
      </c>
      <c r="I60" s="6"/>
    </row>
    <row r="61" customFormat="false" ht="48.5" hidden="false" customHeight="false" outlineLevel="0" collapsed="false">
      <c r="A61" s="5" t="s">
        <v>155</v>
      </c>
      <c r="B61" s="6" t="s">
        <v>156</v>
      </c>
      <c r="C61" s="6" t="s">
        <v>157</v>
      </c>
      <c r="D61" s="7" t="s">
        <v>65</v>
      </c>
      <c r="E61" s="8" t="n">
        <v>10</v>
      </c>
      <c r="F61" s="8"/>
      <c r="G61" s="9" t="n">
        <v>450</v>
      </c>
      <c r="H61" s="10" t="n">
        <f aca="false">ROUND(IF(ISNUMBER(E61),E61,N(F61))*G61,2)</f>
        <v>4500</v>
      </c>
      <c r="I61" s="6"/>
    </row>
    <row r="62" customFormat="false" ht="48.5" hidden="false" customHeight="false" outlineLevel="0" collapsed="false">
      <c r="A62" s="5" t="s">
        <v>158</v>
      </c>
      <c r="B62" s="6" t="s">
        <v>159</v>
      </c>
      <c r="C62" s="6" t="s">
        <v>160</v>
      </c>
      <c r="D62" s="7" t="s">
        <v>65</v>
      </c>
      <c r="E62" s="8" t="n">
        <v>2</v>
      </c>
      <c r="F62" s="8"/>
      <c r="G62" s="9" t="n">
        <v>600</v>
      </c>
      <c r="H62" s="10" t="n">
        <f aca="false">ROUND(IF(ISNUMBER(E62),E62,N(F62))*G62,2)</f>
        <v>1200</v>
      </c>
      <c r="I62" s="6"/>
    </row>
    <row r="63" customFormat="false" ht="26.1" hidden="false" customHeight="false" outlineLevel="0" collapsed="false">
      <c r="A63" s="5" t="s">
        <v>161</v>
      </c>
      <c r="B63" s="6" t="s">
        <v>162</v>
      </c>
      <c r="C63" s="6" t="s">
        <v>163</v>
      </c>
      <c r="D63" s="7" t="s">
        <v>65</v>
      </c>
      <c r="E63" s="8" t="n">
        <v>7</v>
      </c>
      <c r="F63" s="8"/>
      <c r="G63" s="9" t="n">
        <v>250</v>
      </c>
      <c r="H63" s="10" t="n">
        <f aca="false">ROUND(IF(ISNUMBER(E63),E63,N(F63))*G63,2)</f>
        <v>1750</v>
      </c>
      <c r="I63" s="6"/>
    </row>
    <row r="64" customFormat="false" ht="48.5" hidden="false" customHeight="false" outlineLevel="0" collapsed="false">
      <c r="A64" s="5" t="s">
        <v>164</v>
      </c>
      <c r="B64" s="6" t="s">
        <v>165</v>
      </c>
      <c r="C64" s="6" t="s">
        <v>166</v>
      </c>
      <c r="D64" s="7" t="s">
        <v>65</v>
      </c>
      <c r="E64" s="8" t="n">
        <v>5</v>
      </c>
      <c r="F64" s="8"/>
      <c r="G64" s="9" t="n">
        <v>650</v>
      </c>
      <c r="H64" s="10" t="n">
        <f aca="false">ROUND(IF(ISNUMBER(E64),E64,N(F64))*G64,2)</f>
        <v>3250</v>
      </c>
      <c r="I64" s="6"/>
    </row>
    <row r="65" customFormat="false" ht="37.3" hidden="false" customHeight="false" outlineLevel="0" collapsed="false">
      <c r="A65" s="5" t="s">
        <v>167</v>
      </c>
      <c r="B65" s="6" t="s">
        <v>168</v>
      </c>
      <c r="C65" s="6" t="s">
        <v>169</v>
      </c>
      <c r="D65" s="7" t="s">
        <v>65</v>
      </c>
      <c r="E65" s="8" t="n">
        <v>1</v>
      </c>
      <c r="F65" s="8"/>
      <c r="G65" s="9" t="n">
        <v>1500</v>
      </c>
      <c r="H65" s="10" t="n">
        <f aca="false">ROUND(IF(ISNUMBER(E65),E65,N(F65))*G65,2)</f>
        <v>1500</v>
      </c>
      <c r="I65" s="6"/>
    </row>
    <row r="66" customFormat="false" ht="39.55" hidden="false" customHeight="false" outlineLevel="0" collapsed="false">
      <c r="A66" s="5" t="s">
        <v>170</v>
      </c>
      <c r="B66" s="6" t="s">
        <v>171</v>
      </c>
      <c r="C66" s="6" t="s">
        <v>172</v>
      </c>
      <c r="D66" s="7" t="s">
        <v>65</v>
      </c>
      <c r="E66" s="8" t="n">
        <v>1</v>
      </c>
      <c r="F66" s="8"/>
      <c r="G66" s="9" t="n">
        <v>2200</v>
      </c>
      <c r="H66" s="10" t="n">
        <f aca="false">ROUND(IF(ISNUMBER(E66),E66,N(F66))*G66,2)</f>
        <v>2200</v>
      </c>
      <c r="I66" s="6"/>
    </row>
    <row r="67" customFormat="false" ht="26.1" hidden="false" customHeight="false" outlineLevel="0" collapsed="false">
      <c r="A67" s="5" t="s">
        <v>173</v>
      </c>
      <c r="B67" s="6" t="s">
        <v>174</v>
      </c>
      <c r="C67" s="6" t="s">
        <v>175</v>
      </c>
      <c r="D67" s="7" t="s">
        <v>65</v>
      </c>
      <c r="E67" s="8" t="n">
        <v>1</v>
      </c>
      <c r="F67" s="8"/>
      <c r="G67" s="9" t="n">
        <v>1000</v>
      </c>
      <c r="H67" s="10" t="n">
        <f aca="false">ROUND(IF(ISNUMBER(E67),E67,N(F67))*G67,2)</f>
        <v>1000</v>
      </c>
      <c r="I67" s="6"/>
    </row>
    <row r="68" customFormat="false" ht="37.3" hidden="false" customHeight="false" outlineLevel="0" collapsed="false">
      <c r="A68" s="5" t="s">
        <v>176</v>
      </c>
      <c r="B68" s="6" t="s">
        <v>177</v>
      </c>
      <c r="C68" s="6" t="s">
        <v>178</v>
      </c>
      <c r="D68" s="7" t="s">
        <v>65</v>
      </c>
      <c r="E68" s="8" t="n">
        <v>3</v>
      </c>
      <c r="F68" s="8"/>
      <c r="G68" s="9" t="n">
        <v>650</v>
      </c>
      <c r="H68" s="10" t="n">
        <f aca="false">ROUND(IF(ISNUMBER(E68),E68,N(F68))*G68,2)</f>
        <v>1950</v>
      </c>
      <c r="I68" s="6"/>
    </row>
    <row r="69" customFormat="false" ht="26.1" hidden="false" customHeight="false" outlineLevel="0" collapsed="false">
      <c r="A69" s="5" t="s">
        <v>179</v>
      </c>
      <c r="B69" s="6" t="s">
        <v>180</v>
      </c>
      <c r="C69" s="6" t="s">
        <v>181</v>
      </c>
      <c r="D69" s="7" t="s">
        <v>65</v>
      </c>
      <c r="E69" s="8" t="n">
        <v>5</v>
      </c>
      <c r="F69" s="8"/>
      <c r="G69" s="9" t="n">
        <v>450</v>
      </c>
      <c r="H69" s="10" t="n">
        <f aca="false">ROUND(IF(ISNUMBER(E69),E69,N(F69))*G69,2)</f>
        <v>2250</v>
      </c>
      <c r="I69" s="6"/>
    </row>
    <row r="70" customFormat="false" ht="26.1" hidden="false" customHeight="false" outlineLevel="0" collapsed="false">
      <c r="A70" s="5" t="s">
        <v>182</v>
      </c>
      <c r="B70" s="6" t="s">
        <v>183</v>
      </c>
      <c r="C70" s="6" t="s">
        <v>184</v>
      </c>
      <c r="D70" s="7" t="s">
        <v>65</v>
      </c>
      <c r="E70" s="8" t="n">
        <v>2</v>
      </c>
      <c r="F70" s="8"/>
      <c r="G70" s="9" t="n">
        <v>650</v>
      </c>
      <c r="H70" s="10" t="n">
        <f aca="false">ROUND(IF(ISNUMBER(E70),E70,N(F70))*G70,2)</f>
        <v>1300</v>
      </c>
      <c r="I70" s="6"/>
    </row>
    <row r="71" customFormat="false" ht="26.1" hidden="false" customHeight="false" outlineLevel="0" collapsed="false">
      <c r="A71" s="5" t="s">
        <v>185</v>
      </c>
      <c r="B71" s="6" t="s">
        <v>186</v>
      </c>
      <c r="C71" s="6" t="s">
        <v>187</v>
      </c>
      <c r="D71" s="7" t="s">
        <v>65</v>
      </c>
      <c r="E71" s="8" t="n">
        <v>2</v>
      </c>
      <c r="F71" s="8"/>
      <c r="G71" s="9" t="n">
        <v>450</v>
      </c>
      <c r="H71" s="10" t="n">
        <f aca="false">ROUND(IF(ISNUMBER(E71),E71,N(F71))*G71,2)</f>
        <v>900</v>
      </c>
      <c r="I71" s="6"/>
    </row>
    <row r="72" customFormat="false" ht="37.3" hidden="false" customHeight="false" outlineLevel="0" collapsed="false">
      <c r="A72" s="5" t="s">
        <v>188</v>
      </c>
      <c r="B72" s="6" t="s">
        <v>189</v>
      </c>
      <c r="C72" s="6" t="s">
        <v>190</v>
      </c>
      <c r="D72" s="7" t="s">
        <v>65</v>
      </c>
      <c r="E72" s="8" t="n">
        <v>1</v>
      </c>
      <c r="F72" s="8"/>
      <c r="G72" s="9" t="n">
        <v>650</v>
      </c>
      <c r="H72" s="10" t="n">
        <f aca="false">ROUND(IF(ISNUMBER(E72),E72,N(F72))*G72,2)</f>
        <v>650</v>
      </c>
      <c r="I72" s="6"/>
    </row>
    <row r="73" customFormat="false" ht="26.1" hidden="false" customHeight="false" outlineLevel="0" collapsed="false">
      <c r="A73" s="5" t="s">
        <v>191</v>
      </c>
      <c r="B73" s="6" t="s">
        <v>192</v>
      </c>
      <c r="C73" s="6" t="s">
        <v>193</v>
      </c>
      <c r="D73" s="7" t="s">
        <v>65</v>
      </c>
      <c r="E73" s="8" t="n">
        <v>11</v>
      </c>
      <c r="F73" s="8"/>
      <c r="G73" s="9" t="n">
        <v>180</v>
      </c>
      <c r="H73" s="10" t="n">
        <f aca="false">ROUND(IF(ISNUMBER(E73),E73,N(F73))*G73,2)</f>
        <v>1980</v>
      </c>
      <c r="I73" s="6"/>
    </row>
    <row r="74" customFormat="false" ht="37.3" hidden="false" customHeight="false" outlineLevel="0" collapsed="false">
      <c r="A74" s="5" t="s">
        <v>194</v>
      </c>
      <c r="B74" s="6" t="s">
        <v>195</v>
      </c>
      <c r="C74" s="6" t="s">
        <v>196</v>
      </c>
      <c r="D74" s="7" t="s">
        <v>65</v>
      </c>
      <c r="E74" s="8" t="n">
        <v>1</v>
      </c>
      <c r="F74" s="8"/>
      <c r="G74" s="9" t="n">
        <v>1800</v>
      </c>
      <c r="H74" s="10" t="n">
        <f aca="false">ROUND(IF(ISNUMBER(E74),E74,N(F74))*G74,2)</f>
        <v>1800</v>
      </c>
      <c r="I74" s="6"/>
    </row>
    <row r="75" customFormat="false" ht="37.3" hidden="false" customHeight="false" outlineLevel="0" collapsed="false">
      <c r="A75" s="5" t="s">
        <v>197</v>
      </c>
      <c r="B75" s="6" t="s">
        <v>198</v>
      </c>
      <c r="C75" s="6" t="s">
        <v>199</v>
      </c>
      <c r="D75" s="7" t="s">
        <v>65</v>
      </c>
      <c r="E75" s="8" t="n">
        <v>1</v>
      </c>
      <c r="F75" s="8"/>
      <c r="G75" s="9" t="n">
        <v>1200</v>
      </c>
      <c r="H75" s="10" t="n">
        <f aca="false">ROUND(IF(ISNUMBER(E75),E75,N(F75))*G75,2)</f>
        <v>1200</v>
      </c>
      <c r="I75" s="6"/>
    </row>
    <row r="76" customFormat="false" ht="26.1" hidden="false" customHeight="false" outlineLevel="0" collapsed="false">
      <c r="A76" s="5" t="s">
        <v>200</v>
      </c>
      <c r="B76" s="6" t="s">
        <v>201</v>
      </c>
      <c r="C76" s="6" t="s">
        <v>202</v>
      </c>
      <c r="D76" s="7" t="s">
        <v>65</v>
      </c>
      <c r="E76" s="8" t="n">
        <v>2</v>
      </c>
      <c r="F76" s="8"/>
      <c r="G76" s="9" t="n">
        <v>550</v>
      </c>
      <c r="H76" s="10" t="n">
        <f aca="false">ROUND(IF(ISNUMBER(E76),E76,N(F76))*G76,2)</f>
        <v>1100</v>
      </c>
      <c r="I76" s="6"/>
    </row>
    <row r="77" customFormat="false" ht="26.1" hidden="false" customHeight="false" outlineLevel="0" collapsed="false">
      <c r="A77" s="5" t="s">
        <v>203</v>
      </c>
      <c r="B77" s="6" t="s">
        <v>204</v>
      </c>
      <c r="C77" s="6" t="s">
        <v>205</v>
      </c>
      <c r="D77" s="7" t="s">
        <v>206</v>
      </c>
      <c r="E77" s="8" t="n">
        <v>23</v>
      </c>
      <c r="F77" s="8"/>
      <c r="G77" s="9" t="n">
        <v>1200</v>
      </c>
      <c r="H77" s="10" t="n">
        <f aca="false">ROUND(IF(ISNUMBER(E77),E77,N(F77))*G77,2)</f>
        <v>27600</v>
      </c>
      <c r="I77" s="6"/>
    </row>
    <row r="78" customFormat="false" ht="15" hidden="false" customHeight="false" outlineLevel="0" collapsed="false">
      <c r="A78" s="5" t="s">
        <v>207</v>
      </c>
      <c r="B78" s="6" t="s">
        <v>208</v>
      </c>
      <c r="C78" s="6" t="s">
        <v>209</v>
      </c>
      <c r="D78" s="7" t="s">
        <v>206</v>
      </c>
      <c r="E78" s="8" t="n">
        <v>7</v>
      </c>
      <c r="F78" s="8"/>
      <c r="G78" s="9" t="n">
        <v>500</v>
      </c>
      <c r="H78" s="10" t="n">
        <f aca="false">ROUND(IF(ISNUMBER(E78),E78,N(F78))*G78,2)</f>
        <v>3500</v>
      </c>
      <c r="I78" s="6"/>
    </row>
    <row r="79" customFormat="false" ht="26.1" hidden="false" customHeight="false" outlineLevel="0" collapsed="false">
      <c r="A79" s="5" t="s">
        <v>210</v>
      </c>
      <c r="B79" s="6" t="s">
        <v>211</v>
      </c>
      <c r="C79" s="6" t="s">
        <v>212</v>
      </c>
      <c r="D79" s="7" t="s">
        <v>206</v>
      </c>
      <c r="E79" s="8" t="n">
        <v>7</v>
      </c>
      <c r="F79" s="8"/>
      <c r="G79" s="9" t="n">
        <v>700</v>
      </c>
      <c r="H79" s="10" t="n">
        <f aca="false">ROUND(IF(ISNUMBER(E79),E79,N(F79))*G79,2)</f>
        <v>4900</v>
      </c>
      <c r="I79" s="6"/>
    </row>
    <row r="80" customFormat="false" ht="26.1" hidden="false" customHeight="false" outlineLevel="0" collapsed="false">
      <c r="A80" s="5" t="s">
        <v>213</v>
      </c>
      <c r="B80" s="6" t="s">
        <v>214</v>
      </c>
      <c r="C80" s="6" t="s">
        <v>215</v>
      </c>
      <c r="D80" s="7" t="s">
        <v>206</v>
      </c>
      <c r="E80" s="8" t="n">
        <v>15</v>
      </c>
      <c r="F80" s="8"/>
      <c r="G80" s="9" t="n">
        <v>450</v>
      </c>
      <c r="H80" s="10" t="n">
        <f aca="false">ROUND(IF(ISNUMBER(E80),E80,N(F80))*G80,2)</f>
        <v>6750</v>
      </c>
      <c r="I80" s="6" t="s">
        <v>216</v>
      </c>
    </row>
    <row r="81" customFormat="false" ht="26.1" hidden="false" customHeight="false" outlineLevel="0" collapsed="false">
      <c r="A81" s="5" t="s">
        <v>217</v>
      </c>
      <c r="B81" s="6" t="s">
        <v>218</v>
      </c>
      <c r="C81" s="6" t="s">
        <v>219</v>
      </c>
      <c r="D81" s="7" t="s">
        <v>206</v>
      </c>
      <c r="E81" s="8" t="n">
        <v>2</v>
      </c>
      <c r="F81" s="8"/>
      <c r="G81" s="9" t="n">
        <v>900</v>
      </c>
      <c r="H81" s="10" t="n">
        <f aca="false">ROUND(IF(ISNUMBER(E81),E81,N(F81))*G81,2)</f>
        <v>1800</v>
      </c>
      <c r="I81" s="6"/>
    </row>
    <row r="82" customFormat="false" ht="26.1" hidden="false" customHeight="false" outlineLevel="0" collapsed="false">
      <c r="A82" s="5" t="s">
        <v>220</v>
      </c>
      <c r="B82" s="6" t="s">
        <v>221</v>
      </c>
      <c r="C82" s="6" t="s">
        <v>222</v>
      </c>
      <c r="D82" s="7" t="s">
        <v>65</v>
      </c>
      <c r="E82" s="8" t="n">
        <v>2</v>
      </c>
      <c r="F82" s="8"/>
      <c r="G82" s="9" t="n">
        <v>180</v>
      </c>
      <c r="H82" s="10" t="n">
        <f aca="false">ROUND(IF(ISNUMBER(E82),E82,N(F82))*G82,2)</f>
        <v>360</v>
      </c>
      <c r="I82" s="6"/>
    </row>
    <row r="83" customFormat="false" ht="26.1" hidden="false" customHeight="false" outlineLevel="0" collapsed="false">
      <c r="A83" s="5" t="s">
        <v>223</v>
      </c>
      <c r="B83" s="6" t="s">
        <v>224</v>
      </c>
      <c r="C83" s="6" t="s">
        <v>225</v>
      </c>
      <c r="D83" s="7" t="s">
        <v>15</v>
      </c>
      <c r="E83" s="8" t="n">
        <v>1</v>
      </c>
      <c r="F83" s="8"/>
      <c r="G83" s="9" t="n">
        <v>20000</v>
      </c>
      <c r="H83" s="10" t="n">
        <f aca="false">ROUND(IF(ISNUMBER(E83),E83,N(F83))*G83,2)</f>
        <v>20000</v>
      </c>
      <c r="I83" s="6"/>
    </row>
    <row r="84" customFormat="false" ht="26.1" hidden="false" customHeight="false" outlineLevel="0" collapsed="false">
      <c r="A84" s="5" t="s">
        <v>226</v>
      </c>
      <c r="B84" s="6" t="s">
        <v>227</v>
      </c>
      <c r="C84" s="6" t="s">
        <v>228</v>
      </c>
      <c r="D84" s="7" t="s">
        <v>15</v>
      </c>
      <c r="E84" s="8" t="n">
        <v>1</v>
      </c>
      <c r="F84" s="8"/>
      <c r="G84" s="9" t="n">
        <v>18000</v>
      </c>
      <c r="H84" s="10" t="n">
        <f aca="false">ROUND(IF(ISNUMBER(E84),E84,N(F84))*G84,2)</f>
        <v>18000</v>
      </c>
      <c r="I84" s="6"/>
    </row>
    <row r="85" customFormat="false" ht="26.1" hidden="false" customHeight="false" outlineLevel="0" collapsed="false">
      <c r="A85" s="5" t="s">
        <v>229</v>
      </c>
      <c r="B85" s="6" t="s">
        <v>230</v>
      </c>
      <c r="C85" s="6" t="s">
        <v>231</v>
      </c>
      <c r="D85" s="7" t="s">
        <v>65</v>
      </c>
      <c r="E85" s="8"/>
      <c r="F85" s="11" t="n">
        <v>2</v>
      </c>
      <c r="G85" s="9" t="n">
        <v>1200</v>
      </c>
      <c r="H85" s="10" t="n">
        <f aca="false">ROUND(IF(ISNUMBER(E85),E85,N(F85))*G85,2)</f>
        <v>2400</v>
      </c>
      <c r="I85" s="6" t="s">
        <v>232</v>
      </c>
    </row>
    <row r="86" customFormat="false" ht="26.1" hidden="false" customHeight="false" outlineLevel="0" collapsed="false">
      <c r="A86" s="5" t="s">
        <v>233</v>
      </c>
      <c r="B86" s="6" t="s">
        <v>234</v>
      </c>
      <c r="C86" s="6" t="s">
        <v>235</v>
      </c>
      <c r="D86" s="7" t="s">
        <v>15</v>
      </c>
      <c r="E86" s="8" t="n">
        <v>1</v>
      </c>
      <c r="F86" s="8"/>
      <c r="G86" s="9" t="n">
        <v>2500</v>
      </c>
      <c r="H86" s="10" t="n">
        <f aca="false">ROUND(IF(ISNUMBER(E86),E86,N(F86))*G86,2)</f>
        <v>2500</v>
      </c>
      <c r="I86" s="6"/>
    </row>
    <row r="87" customFormat="false" ht="15" hidden="false" customHeight="false" outlineLevel="0" collapsed="false">
      <c r="A87" s="12" t="s">
        <v>236</v>
      </c>
      <c r="B87" s="12"/>
      <c r="C87" s="12"/>
      <c r="D87" s="12"/>
      <c r="E87" s="12"/>
      <c r="F87" s="12"/>
      <c r="G87" s="12"/>
      <c r="H87" s="13" t="n">
        <f aca="false">SUM(H54:H86)</f>
        <v>136840</v>
      </c>
      <c r="I87" s="14"/>
    </row>
    <row r="89" customFormat="false" ht="15" hidden="false" customHeight="false" outlineLevel="0" collapsed="false">
      <c r="A89" s="4" t="s">
        <v>237</v>
      </c>
      <c r="B89" s="4"/>
      <c r="C89" s="4"/>
      <c r="D89" s="4"/>
      <c r="E89" s="4"/>
      <c r="F89" s="4"/>
      <c r="G89" s="4"/>
      <c r="H89" s="4"/>
      <c r="I89" s="4"/>
    </row>
    <row r="90" customFormat="false" ht="37.3" hidden="false" customHeight="false" outlineLevel="0" collapsed="false">
      <c r="A90" s="5" t="s">
        <v>238</v>
      </c>
      <c r="B90" s="6" t="s">
        <v>239</v>
      </c>
      <c r="C90" s="6" t="s">
        <v>240</v>
      </c>
      <c r="D90" s="7" t="s">
        <v>65</v>
      </c>
      <c r="E90" s="8" t="n">
        <v>119</v>
      </c>
      <c r="F90" s="8"/>
      <c r="G90" s="9" t="n">
        <v>270</v>
      </c>
      <c r="H90" s="10" t="n">
        <f aca="false">ROUND(IF(ISNUMBER(E90),E90,N(F90))*G90,2)</f>
        <v>32130</v>
      </c>
      <c r="I90" s="6"/>
    </row>
    <row r="91" customFormat="false" ht="37.3" hidden="false" customHeight="false" outlineLevel="0" collapsed="false">
      <c r="A91" s="5" t="s">
        <v>241</v>
      </c>
      <c r="B91" s="6" t="s">
        <v>242</v>
      </c>
      <c r="C91" s="6" t="s">
        <v>243</v>
      </c>
      <c r="D91" s="7" t="s">
        <v>65</v>
      </c>
      <c r="E91" s="8" t="n">
        <v>51</v>
      </c>
      <c r="F91" s="8"/>
      <c r="G91" s="9" t="n">
        <v>320</v>
      </c>
      <c r="H91" s="10" t="n">
        <f aca="false">ROUND(IF(ISNUMBER(E91),E91,N(F91))*G91,2)</f>
        <v>16320</v>
      </c>
      <c r="I91" s="6"/>
    </row>
    <row r="92" customFormat="false" ht="48.5" hidden="false" customHeight="false" outlineLevel="0" collapsed="false">
      <c r="A92" s="5" t="s">
        <v>244</v>
      </c>
      <c r="B92" s="6" t="s">
        <v>245</v>
      </c>
      <c r="C92" s="6" t="s">
        <v>246</v>
      </c>
      <c r="D92" s="7" t="s">
        <v>65</v>
      </c>
      <c r="E92" s="8" t="n">
        <v>18</v>
      </c>
      <c r="F92" s="8"/>
      <c r="G92" s="9" t="n">
        <v>380</v>
      </c>
      <c r="H92" s="10" t="n">
        <f aca="false">ROUND(IF(ISNUMBER(E92),E92,N(F92))*G92,2)</f>
        <v>6840</v>
      </c>
      <c r="I92" s="6"/>
    </row>
    <row r="93" customFormat="false" ht="37.3" hidden="false" customHeight="false" outlineLevel="0" collapsed="false">
      <c r="A93" s="5" t="s">
        <v>247</v>
      </c>
      <c r="B93" s="6" t="s">
        <v>248</v>
      </c>
      <c r="C93" s="6" t="s">
        <v>249</v>
      </c>
      <c r="D93" s="7" t="s">
        <v>65</v>
      </c>
      <c r="E93" s="8" t="n">
        <v>9</v>
      </c>
      <c r="F93" s="8"/>
      <c r="G93" s="9" t="n">
        <v>220</v>
      </c>
      <c r="H93" s="10" t="n">
        <f aca="false">ROUND(IF(ISNUMBER(E93),E93,N(F93))*G93,2)</f>
        <v>1980</v>
      </c>
      <c r="I93" s="6" t="s">
        <v>250</v>
      </c>
    </row>
    <row r="94" customFormat="false" ht="37.3" hidden="false" customHeight="false" outlineLevel="0" collapsed="false">
      <c r="A94" s="5" t="s">
        <v>251</v>
      </c>
      <c r="B94" s="6" t="s">
        <v>252</v>
      </c>
      <c r="C94" s="6" t="s">
        <v>253</v>
      </c>
      <c r="D94" s="7" t="s">
        <v>65</v>
      </c>
      <c r="E94" s="8" t="n">
        <v>1</v>
      </c>
      <c r="F94" s="8"/>
      <c r="G94" s="9" t="n">
        <v>900</v>
      </c>
      <c r="H94" s="10" t="n">
        <f aca="false">ROUND(IF(ISNUMBER(E94),E94,N(F94))*G94,2)</f>
        <v>900</v>
      </c>
      <c r="I94" s="6"/>
    </row>
    <row r="95" customFormat="false" ht="37.3" hidden="false" customHeight="false" outlineLevel="0" collapsed="false">
      <c r="A95" s="5" t="s">
        <v>254</v>
      </c>
      <c r="B95" s="6" t="s">
        <v>255</v>
      </c>
      <c r="C95" s="6" t="s">
        <v>256</v>
      </c>
      <c r="D95" s="7" t="s">
        <v>15</v>
      </c>
      <c r="E95" s="8" t="n">
        <v>1</v>
      </c>
      <c r="F95" s="8"/>
      <c r="G95" s="9" t="n">
        <v>8500</v>
      </c>
      <c r="H95" s="10" t="n">
        <f aca="false">ROUND(IF(ISNUMBER(E95),E95,N(F95))*G95,2)</f>
        <v>8500</v>
      </c>
      <c r="I95" s="6"/>
    </row>
    <row r="96" customFormat="false" ht="37.3" hidden="false" customHeight="false" outlineLevel="0" collapsed="false">
      <c r="A96" s="5" t="s">
        <v>257</v>
      </c>
      <c r="B96" s="6" t="s">
        <v>258</v>
      </c>
      <c r="C96" s="6" t="s">
        <v>259</v>
      </c>
      <c r="D96" s="7" t="s">
        <v>15</v>
      </c>
      <c r="E96" s="8" t="n">
        <v>1</v>
      </c>
      <c r="F96" s="8"/>
      <c r="G96" s="9" t="n">
        <v>7000</v>
      </c>
      <c r="H96" s="10" t="n">
        <f aca="false">ROUND(IF(ISNUMBER(E96),E96,N(F96))*G96,2)</f>
        <v>7000</v>
      </c>
      <c r="I96" s="6"/>
    </row>
    <row r="97" customFormat="false" ht="48.5" hidden="false" customHeight="false" outlineLevel="0" collapsed="false">
      <c r="A97" s="5" t="s">
        <v>260</v>
      </c>
      <c r="B97" s="6" t="s">
        <v>261</v>
      </c>
      <c r="C97" s="6" t="s">
        <v>262</v>
      </c>
      <c r="D97" s="7" t="s">
        <v>15</v>
      </c>
      <c r="E97" s="8" t="n">
        <v>1</v>
      </c>
      <c r="F97" s="8"/>
      <c r="G97" s="9" t="n">
        <v>4500</v>
      </c>
      <c r="H97" s="10" t="n">
        <f aca="false">ROUND(IF(ISNUMBER(E97),E97,N(F97))*G97,2)</f>
        <v>4500</v>
      </c>
      <c r="I97" s="6"/>
    </row>
    <row r="98" customFormat="false" ht="37.3" hidden="false" customHeight="false" outlineLevel="0" collapsed="false">
      <c r="A98" s="5" t="s">
        <v>263</v>
      </c>
      <c r="B98" s="6" t="s">
        <v>264</v>
      </c>
      <c r="C98" s="6" t="s">
        <v>265</v>
      </c>
      <c r="D98" s="7" t="s">
        <v>15</v>
      </c>
      <c r="E98" s="8" t="n">
        <v>1</v>
      </c>
      <c r="F98" s="8"/>
      <c r="G98" s="9" t="n">
        <v>2500</v>
      </c>
      <c r="H98" s="10" t="n">
        <f aca="false">ROUND(IF(ISNUMBER(E98),E98,N(F98))*G98,2)</f>
        <v>2500</v>
      </c>
      <c r="I98" s="6"/>
    </row>
    <row r="99" customFormat="false" ht="37.3" hidden="false" customHeight="false" outlineLevel="0" collapsed="false">
      <c r="A99" s="5" t="s">
        <v>266</v>
      </c>
      <c r="B99" s="6" t="s">
        <v>267</v>
      </c>
      <c r="C99" s="6" t="s">
        <v>268</v>
      </c>
      <c r="D99" s="7" t="s">
        <v>65</v>
      </c>
      <c r="E99" s="8" t="n">
        <v>9</v>
      </c>
      <c r="F99" s="8"/>
      <c r="G99" s="9" t="n">
        <v>380</v>
      </c>
      <c r="H99" s="10" t="n">
        <f aca="false">ROUND(IF(ISNUMBER(E99),E99,N(F99))*G99,2)</f>
        <v>3420</v>
      </c>
      <c r="I99" s="6"/>
    </row>
    <row r="100" customFormat="false" ht="35.05" hidden="false" customHeight="false" outlineLevel="0" collapsed="false">
      <c r="A100" s="5" t="s">
        <v>269</v>
      </c>
      <c r="B100" s="6" t="s">
        <v>270</v>
      </c>
      <c r="C100" s="6" t="s">
        <v>271</v>
      </c>
      <c r="D100" s="7" t="s">
        <v>206</v>
      </c>
      <c r="E100" s="8"/>
      <c r="F100" s="11" t="n">
        <v>8</v>
      </c>
      <c r="G100" s="9" t="n">
        <v>750</v>
      </c>
      <c r="H100" s="10" t="n">
        <f aca="false">ROUND(IF(ISNUMBER(E100),E100,N(F100))*G100,2)</f>
        <v>6000</v>
      </c>
      <c r="I100" s="6" t="s">
        <v>272</v>
      </c>
    </row>
    <row r="101" customFormat="false" ht="35.05" hidden="false" customHeight="false" outlineLevel="0" collapsed="false">
      <c r="A101" s="5" t="s">
        <v>273</v>
      </c>
      <c r="B101" s="6" t="s">
        <v>274</v>
      </c>
      <c r="C101" s="6" t="s">
        <v>275</v>
      </c>
      <c r="D101" s="7" t="s">
        <v>206</v>
      </c>
      <c r="E101" s="8"/>
      <c r="F101" s="11" t="n">
        <v>6</v>
      </c>
      <c r="G101" s="9" t="n">
        <v>520</v>
      </c>
      <c r="H101" s="10" t="n">
        <f aca="false">ROUND(IF(ISNUMBER(E101),E101,N(F101))*G101,2)</f>
        <v>3120</v>
      </c>
      <c r="I101" s="6" t="s">
        <v>276</v>
      </c>
    </row>
    <row r="102" customFormat="false" ht="26.1" hidden="false" customHeight="false" outlineLevel="0" collapsed="false">
      <c r="A102" s="5" t="s">
        <v>277</v>
      </c>
      <c r="B102" s="6" t="s">
        <v>278</v>
      </c>
      <c r="C102" s="6" t="s">
        <v>279</v>
      </c>
      <c r="D102" s="7" t="s">
        <v>65</v>
      </c>
      <c r="E102" s="8"/>
      <c r="F102" s="11" t="n">
        <v>2</v>
      </c>
      <c r="G102" s="9" t="n">
        <v>350</v>
      </c>
      <c r="H102" s="10" t="n">
        <f aca="false">ROUND(IF(ISNUMBER(E102),E102,N(F102))*G102,2)</f>
        <v>700</v>
      </c>
      <c r="I102" s="6" t="s">
        <v>280</v>
      </c>
    </row>
    <row r="103" customFormat="false" ht="23.85" hidden="false" customHeight="false" outlineLevel="0" collapsed="false">
      <c r="A103" s="5" t="s">
        <v>281</v>
      </c>
      <c r="B103" s="6" t="s">
        <v>282</v>
      </c>
      <c r="C103" s="6" t="s">
        <v>283</v>
      </c>
      <c r="D103" s="7" t="s">
        <v>206</v>
      </c>
      <c r="E103" s="8"/>
      <c r="F103" s="11" t="n">
        <v>8</v>
      </c>
      <c r="G103" s="9" t="n">
        <v>400</v>
      </c>
      <c r="H103" s="10" t="n">
        <f aca="false">ROUND(IF(ISNUMBER(E103),E103,N(F103))*G103,2)</f>
        <v>3200</v>
      </c>
      <c r="I103" s="6" t="s">
        <v>284</v>
      </c>
    </row>
    <row r="104" customFormat="false" ht="26.1" hidden="false" customHeight="false" outlineLevel="0" collapsed="false">
      <c r="A104" s="5" t="s">
        <v>285</v>
      </c>
      <c r="B104" s="6" t="s">
        <v>286</v>
      </c>
      <c r="C104" s="6" t="s">
        <v>287</v>
      </c>
      <c r="D104" s="7" t="s">
        <v>15</v>
      </c>
      <c r="E104" s="8" t="n">
        <v>1</v>
      </c>
      <c r="F104" s="8"/>
      <c r="G104" s="9" t="n">
        <v>650</v>
      </c>
      <c r="H104" s="10" t="n">
        <f aca="false">ROUND(IF(ISNUMBER(E104),E104,N(F104))*G104,2)</f>
        <v>650</v>
      </c>
      <c r="I104" s="6"/>
    </row>
    <row r="105" customFormat="false" ht="15" hidden="false" customHeight="false" outlineLevel="0" collapsed="false">
      <c r="A105" s="12" t="s">
        <v>288</v>
      </c>
      <c r="B105" s="12"/>
      <c r="C105" s="12"/>
      <c r="D105" s="12"/>
      <c r="E105" s="12"/>
      <c r="F105" s="12"/>
      <c r="G105" s="12"/>
      <c r="H105" s="13" t="n">
        <f aca="false">SUM(H90:H104)</f>
        <v>97760</v>
      </c>
      <c r="I105" s="14"/>
    </row>
    <row r="107" customFormat="false" ht="15" hidden="false" customHeight="false" outlineLevel="0" collapsed="false">
      <c r="A107" s="4" t="s">
        <v>289</v>
      </c>
      <c r="B107" s="4"/>
      <c r="C107" s="4"/>
      <c r="D107" s="4"/>
      <c r="E107" s="4"/>
      <c r="F107" s="4"/>
      <c r="G107" s="4"/>
      <c r="H107" s="4"/>
      <c r="I107" s="4"/>
    </row>
    <row r="108" customFormat="false" ht="37.3" hidden="false" customHeight="false" outlineLevel="0" collapsed="false">
      <c r="A108" s="5" t="s">
        <v>290</v>
      </c>
      <c r="B108" s="6" t="s">
        <v>291</v>
      </c>
      <c r="C108" s="6" t="s">
        <v>292</v>
      </c>
      <c r="D108" s="7" t="s">
        <v>65</v>
      </c>
      <c r="E108" s="8"/>
      <c r="F108" s="11" t="n">
        <v>55</v>
      </c>
      <c r="G108" s="9" t="n">
        <v>150</v>
      </c>
      <c r="H108" s="10" t="n">
        <f aca="false">ROUND(IF(ISNUMBER(E108),E108,N(F108))*G108,2)</f>
        <v>8250</v>
      </c>
      <c r="I108" s="6" t="s">
        <v>293</v>
      </c>
    </row>
    <row r="109" customFormat="false" ht="37.3" hidden="false" customHeight="false" outlineLevel="0" collapsed="false">
      <c r="A109" s="5" t="s">
        <v>294</v>
      </c>
      <c r="B109" s="6" t="s">
        <v>295</v>
      </c>
      <c r="C109" s="6" t="s">
        <v>296</v>
      </c>
      <c r="D109" s="7" t="s">
        <v>65</v>
      </c>
      <c r="E109" s="8"/>
      <c r="F109" s="11" t="n">
        <v>12</v>
      </c>
      <c r="G109" s="9" t="n">
        <v>200</v>
      </c>
      <c r="H109" s="10" t="n">
        <f aca="false">ROUND(IF(ISNUMBER(E109),E109,N(F109))*G109,2)</f>
        <v>2400</v>
      </c>
      <c r="I109" s="6" t="s">
        <v>297</v>
      </c>
    </row>
    <row r="110" customFormat="false" ht="26.1" hidden="false" customHeight="false" outlineLevel="0" collapsed="false">
      <c r="A110" s="5" t="s">
        <v>298</v>
      </c>
      <c r="B110" s="6" t="s">
        <v>299</v>
      </c>
      <c r="C110" s="6" t="s">
        <v>300</v>
      </c>
      <c r="D110" s="7" t="s">
        <v>65</v>
      </c>
      <c r="E110" s="8" t="n">
        <v>15</v>
      </c>
      <c r="F110" s="8"/>
      <c r="G110" s="9" t="n">
        <v>220</v>
      </c>
      <c r="H110" s="10" t="n">
        <f aca="false">ROUND(IF(ISNUMBER(E110),E110,N(F110))*G110,2)</f>
        <v>3300</v>
      </c>
      <c r="I110" s="6"/>
    </row>
    <row r="111" customFormat="false" ht="37.3" hidden="false" customHeight="false" outlineLevel="0" collapsed="false">
      <c r="A111" s="5" t="s">
        <v>301</v>
      </c>
      <c r="B111" s="6" t="s">
        <v>302</v>
      </c>
      <c r="C111" s="6" t="s">
        <v>303</v>
      </c>
      <c r="D111" s="7" t="s">
        <v>65</v>
      </c>
      <c r="E111" s="8" t="n">
        <v>22</v>
      </c>
      <c r="F111" s="8"/>
      <c r="G111" s="9" t="n">
        <v>320</v>
      </c>
      <c r="H111" s="10" t="n">
        <f aca="false">ROUND(IF(ISNUMBER(E111),E111,N(F111))*G111,2)</f>
        <v>7040</v>
      </c>
      <c r="I111" s="6"/>
    </row>
    <row r="112" customFormat="false" ht="37.3" hidden="false" customHeight="false" outlineLevel="0" collapsed="false">
      <c r="A112" s="5" t="s">
        <v>304</v>
      </c>
      <c r="B112" s="6" t="s">
        <v>305</v>
      </c>
      <c r="C112" s="6" t="s">
        <v>306</v>
      </c>
      <c r="D112" s="7" t="s">
        <v>65</v>
      </c>
      <c r="E112" s="8" t="n">
        <v>30</v>
      </c>
      <c r="F112" s="8"/>
      <c r="G112" s="9" t="n">
        <v>220</v>
      </c>
      <c r="H112" s="10" t="n">
        <f aca="false">ROUND(IF(ISNUMBER(E112),E112,N(F112))*G112,2)</f>
        <v>6600</v>
      </c>
      <c r="I112" s="6"/>
    </row>
    <row r="113" customFormat="false" ht="37.3" hidden="false" customHeight="false" outlineLevel="0" collapsed="false">
      <c r="A113" s="5" t="s">
        <v>307</v>
      </c>
      <c r="B113" s="6" t="s">
        <v>308</v>
      </c>
      <c r="C113" s="6" t="s">
        <v>309</v>
      </c>
      <c r="D113" s="7" t="s">
        <v>65</v>
      </c>
      <c r="E113" s="8" t="n">
        <v>35</v>
      </c>
      <c r="F113" s="8"/>
      <c r="G113" s="9" t="n">
        <v>300</v>
      </c>
      <c r="H113" s="10" t="n">
        <f aca="false">ROUND(IF(ISNUMBER(E113),E113,N(F113))*G113,2)</f>
        <v>10500</v>
      </c>
      <c r="I113" s="6"/>
    </row>
    <row r="114" customFormat="false" ht="37.3" hidden="false" customHeight="false" outlineLevel="0" collapsed="false">
      <c r="A114" s="5" t="s">
        <v>310</v>
      </c>
      <c r="B114" s="6" t="s">
        <v>311</v>
      </c>
      <c r="C114" s="6" t="s">
        <v>312</v>
      </c>
      <c r="D114" s="7" t="s">
        <v>65</v>
      </c>
      <c r="E114" s="8" t="n">
        <v>25</v>
      </c>
      <c r="F114" s="8"/>
      <c r="G114" s="9" t="n">
        <v>85</v>
      </c>
      <c r="H114" s="10" t="n">
        <f aca="false">ROUND(IF(ISNUMBER(E114),E114,N(F114))*G114,2)</f>
        <v>2125</v>
      </c>
      <c r="I114" s="6"/>
    </row>
    <row r="115" customFormat="false" ht="37.3" hidden="false" customHeight="false" outlineLevel="0" collapsed="false">
      <c r="A115" s="5" t="s">
        <v>313</v>
      </c>
      <c r="B115" s="6" t="s">
        <v>314</v>
      </c>
      <c r="C115" s="6" t="s">
        <v>315</v>
      </c>
      <c r="D115" s="7" t="s">
        <v>65</v>
      </c>
      <c r="E115" s="8" t="n">
        <v>11</v>
      </c>
      <c r="F115" s="8"/>
      <c r="G115" s="9" t="n">
        <v>350</v>
      </c>
      <c r="H115" s="10" t="n">
        <f aca="false">ROUND(IF(ISNUMBER(E115),E115,N(F115))*G115,2)</f>
        <v>3850</v>
      </c>
      <c r="I115" s="6"/>
    </row>
    <row r="116" customFormat="false" ht="37.3" hidden="false" customHeight="false" outlineLevel="0" collapsed="false">
      <c r="A116" s="5" t="s">
        <v>316</v>
      </c>
      <c r="B116" s="6" t="s">
        <v>317</v>
      </c>
      <c r="C116" s="6" t="s">
        <v>318</v>
      </c>
      <c r="D116" s="7" t="s">
        <v>65</v>
      </c>
      <c r="E116" s="8" t="n">
        <v>2</v>
      </c>
      <c r="F116" s="8"/>
      <c r="G116" s="9" t="n">
        <v>450</v>
      </c>
      <c r="H116" s="10" t="n">
        <f aca="false">ROUND(IF(ISNUMBER(E116),E116,N(F116))*G116,2)</f>
        <v>900</v>
      </c>
      <c r="I116" s="6"/>
    </row>
    <row r="117" customFormat="false" ht="26.1" hidden="false" customHeight="false" outlineLevel="0" collapsed="false">
      <c r="A117" s="5" t="s">
        <v>319</v>
      </c>
      <c r="B117" s="6" t="s">
        <v>320</v>
      </c>
      <c r="C117" s="6" t="s">
        <v>321</v>
      </c>
      <c r="D117" s="7" t="s">
        <v>65</v>
      </c>
      <c r="E117" s="8" t="n">
        <v>9</v>
      </c>
      <c r="F117" s="8"/>
      <c r="G117" s="9" t="n">
        <v>300</v>
      </c>
      <c r="H117" s="10" t="n">
        <f aca="false">ROUND(IF(ISNUMBER(E117),E117,N(F117))*G117,2)</f>
        <v>2700</v>
      </c>
      <c r="I117" s="6"/>
    </row>
    <row r="118" customFormat="false" ht="37.3" hidden="false" customHeight="false" outlineLevel="0" collapsed="false">
      <c r="A118" s="5" t="s">
        <v>322</v>
      </c>
      <c r="B118" s="6" t="s">
        <v>323</v>
      </c>
      <c r="C118" s="6" t="s">
        <v>324</v>
      </c>
      <c r="D118" s="7" t="s">
        <v>65</v>
      </c>
      <c r="E118" s="8" t="n">
        <v>25</v>
      </c>
      <c r="F118" s="8"/>
      <c r="G118" s="9" t="n">
        <v>280</v>
      </c>
      <c r="H118" s="10" t="n">
        <f aca="false">ROUND(IF(ISNUMBER(E118),E118,N(F118))*G118,2)</f>
        <v>7000</v>
      </c>
      <c r="I118" s="6"/>
    </row>
    <row r="119" customFormat="false" ht="26.1" hidden="false" customHeight="false" outlineLevel="0" collapsed="false">
      <c r="A119" s="5" t="s">
        <v>325</v>
      </c>
      <c r="B119" s="6" t="s">
        <v>326</v>
      </c>
      <c r="C119" s="6" t="s">
        <v>327</v>
      </c>
      <c r="D119" s="7" t="s">
        <v>65</v>
      </c>
      <c r="E119" s="8" t="n">
        <v>8</v>
      </c>
      <c r="F119" s="8"/>
      <c r="G119" s="9" t="n">
        <v>240</v>
      </c>
      <c r="H119" s="10" t="n">
        <f aca="false">ROUND(IF(ISNUMBER(E119),E119,N(F119))*G119,2)</f>
        <v>1920</v>
      </c>
      <c r="I119" s="6"/>
    </row>
    <row r="120" customFormat="false" ht="26.1" hidden="false" customHeight="false" outlineLevel="0" collapsed="false">
      <c r="A120" s="5" t="s">
        <v>328</v>
      </c>
      <c r="B120" s="6" t="s">
        <v>329</v>
      </c>
      <c r="C120" s="6" t="s">
        <v>330</v>
      </c>
      <c r="D120" s="7" t="s">
        <v>65</v>
      </c>
      <c r="E120" s="8" t="n">
        <v>5</v>
      </c>
      <c r="F120" s="8"/>
      <c r="G120" s="9" t="n">
        <v>200</v>
      </c>
      <c r="H120" s="10" t="n">
        <f aca="false">ROUND(IF(ISNUMBER(E120),E120,N(F120))*G120,2)</f>
        <v>1000</v>
      </c>
      <c r="I120" s="6"/>
    </row>
    <row r="121" customFormat="false" ht="26.1" hidden="false" customHeight="false" outlineLevel="0" collapsed="false">
      <c r="A121" s="5" t="s">
        <v>331</v>
      </c>
      <c r="B121" s="6" t="s">
        <v>332</v>
      </c>
      <c r="C121" s="6" t="s">
        <v>333</v>
      </c>
      <c r="D121" s="7" t="s">
        <v>65</v>
      </c>
      <c r="E121" s="8" t="n">
        <v>10</v>
      </c>
      <c r="F121" s="8"/>
      <c r="G121" s="9" t="n">
        <v>300</v>
      </c>
      <c r="H121" s="10" t="n">
        <f aca="false">ROUND(IF(ISNUMBER(E121),E121,N(F121))*G121,2)</f>
        <v>3000</v>
      </c>
      <c r="I121" s="6"/>
    </row>
    <row r="122" customFormat="false" ht="37.3" hidden="false" customHeight="false" outlineLevel="0" collapsed="false">
      <c r="A122" s="5" t="s">
        <v>334</v>
      </c>
      <c r="B122" s="6" t="s">
        <v>335</v>
      </c>
      <c r="C122" s="6" t="s">
        <v>336</v>
      </c>
      <c r="D122" s="7" t="s">
        <v>65</v>
      </c>
      <c r="E122" s="8" t="n">
        <v>6</v>
      </c>
      <c r="F122" s="8"/>
      <c r="G122" s="9" t="n">
        <v>520</v>
      </c>
      <c r="H122" s="10" t="n">
        <f aca="false">ROUND(IF(ISNUMBER(E122),E122,N(F122))*G122,2)</f>
        <v>3120</v>
      </c>
      <c r="I122" s="6"/>
    </row>
    <row r="123" customFormat="false" ht="37.3" hidden="false" customHeight="false" outlineLevel="0" collapsed="false">
      <c r="A123" s="5" t="s">
        <v>337</v>
      </c>
      <c r="B123" s="6" t="s">
        <v>338</v>
      </c>
      <c r="C123" s="6" t="s">
        <v>339</v>
      </c>
      <c r="D123" s="7" t="s">
        <v>65</v>
      </c>
      <c r="E123" s="8" t="n">
        <v>6</v>
      </c>
      <c r="F123" s="8"/>
      <c r="G123" s="9" t="n">
        <v>600</v>
      </c>
      <c r="H123" s="10" t="n">
        <f aca="false">ROUND(IF(ISNUMBER(E123),E123,N(F123))*G123,2)</f>
        <v>3600</v>
      </c>
      <c r="I123" s="6" t="s">
        <v>340</v>
      </c>
    </row>
    <row r="124" customFormat="false" ht="26.1" hidden="false" customHeight="false" outlineLevel="0" collapsed="false">
      <c r="A124" s="5" t="s">
        <v>341</v>
      </c>
      <c r="B124" s="6" t="s">
        <v>342</v>
      </c>
      <c r="C124" s="6" t="s">
        <v>343</v>
      </c>
      <c r="D124" s="7" t="s">
        <v>65</v>
      </c>
      <c r="E124" s="8" t="n">
        <v>111</v>
      </c>
      <c r="F124" s="8"/>
      <c r="G124" s="9" t="n">
        <v>100</v>
      </c>
      <c r="H124" s="10" t="n">
        <f aca="false">ROUND(IF(ISNUMBER(E124),E124,N(F124))*G124,2)</f>
        <v>11100</v>
      </c>
      <c r="I124" s="6"/>
    </row>
    <row r="125" customFormat="false" ht="37.3" hidden="false" customHeight="false" outlineLevel="0" collapsed="false">
      <c r="A125" s="5" t="s">
        <v>344</v>
      </c>
      <c r="B125" s="6" t="s">
        <v>345</v>
      </c>
      <c r="C125" s="6" t="s">
        <v>346</v>
      </c>
      <c r="D125" s="7" t="s">
        <v>65</v>
      </c>
      <c r="E125" s="8"/>
      <c r="F125" s="11" t="n">
        <v>8</v>
      </c>
      <c r="G125" s="9" t="n">
        <v>280</v>
      </c>
      <c r="H125" s="10" t="n">
        <f aca="false">ROUND(IF(ISNUMBER(E125),E125,N(F125))*G125,2)</f>
        <v>2240</v>
      </c>
      <c r="I125" s="6" t="s">
        <v>347</v>
      </c>
    </row>
    <row r="126" customFormat="false" ht="37.3" hidden="false" customHeight="false" outlineLevel="0" collapsed="false">
      <c r="A126" s="5" t="s">
        <v>348</v>
      </c>
      <c r="B126" s="6" t="s">
        <v>349</v>
      </c>
      <c r="C126" s="6" t="s">
        <v>350</v>
      </c>
      <c r="D126" s="7" t="s">
        <v>65</v>
      </c>
      <c r="E126" s="8" t="n">
        <v>28</v>
      </c>
      <c r="F126" s="8"/>
      <c r="G126" s="9" t="n">
        <v>170</v>
      </c>
      <c r="H126" s="10" t="n">
        <f aca="false">ROUND(IF(ISNUMBER(E126),E126,N(F126))*G126,2)</f>
        <v>4760</v>
      </c>
      <c r="I126" s="6"/>
    </row>
    <row r="127" customFormat="false" ht="26.1" hidden="false" customHeight="false" outlineLevel="0" collapsed="false">
      <c r="A127" s="5" t="s">
        <v>351</v>
      </c>
      <c r="B127" s="6" t="s">
        <v>352</v>
      </c>
      <c r="C127" s="6" t="s">
        <v>353</v>
      </c>
      <c r="D127" s="7" t="s">
        <v>65</v>
      </c>
      <c r="E127" s="8" t="n">
        <v>14</v>
      </c>
      <c r="F127" s="8"/>
      <c r="G127" s="9" t="n">
        <v>300</v>
      </c>
      <c r="H127" s="10" t="n">
        <f aca="false">ROUND(IF(ISNUMBER(E127),E127,N(F127))*G127,2)</f>
        <v>4200</v>
      </c>
      <c r="I127" s="6"/>
    </row>
    <row r="128" customFormat="false" ht="15" hidden="false" customHeight="false" outlineLevel="0" collapsed="false">
      <c r="A128" s="12" t="s">
        <v>354</v>
      </c>
      <c r="B128" s="12"/>
      <c r="C128" s="12"/>
      <c r="D128" s="12"/>
      <c r="E128" s="12"/>
      <c r="F128" s="12"/>
      <c r="G128" s="12"/>
      <c r="H128" s="13" t="n">
        <f aca="false">SUM(H108:H127)</f>
        <v>89605</v>
      </c>
      <c r="I128" s="14"/>
    </row>
    <row r="130" customFormat="false" ht="15" hidden="false" customHeight="false" outlineLevel="0" collapsed="false">
      <c r="A130" s="4" t="s">
        <v>355</v>
      </c>
      <c r="B130" s="4"/>
      <c r="C130" s="4"/>
      <c r="D130" s="4"/>
      <c r="E130" s="4"/>
      <c r="F130" s="4"/>
      <c r="G130" s="4"/>
      <c r="H130" s="4"/>
      <c r="I130" s="4"/>
    </row>
    <row r="131" customFormat="false" ht="48.5" hidden="false" customHeight="false" outlineLevel="0" collapsed="false">
      <c r="A131" s="5" t="s">
        <v>356</v>
      </c>
      <c r="B131" s="6" t="s">
        <v>357</v>
      </c>
      <c r="C131" s="6" t="s">
        <v>358</v>
      </c>
      <c r="D131" s="7" t="s">
        <v>65</v>
      </c>
      <c r="E131" s="8"/>
      <c r="F131" s="11" t="n">
        <v>8</v>
      </c>
      <c r="G131" s="9" t="n">
        <v>700</v>
      </c>
      <c r="H131" s="10" t="n">
        <f aca="false">ROUND(IF(ISNUMBER(E131),E131,N(F131))*G131,2)</f>
        <v>5600</v>
      </c>
      <c r="I131" s="6" t="s">
        <v>272</v>
      </c>
    </row>
    <row r="132" customFormat="false" ht="37.3" hidden="false" customHeight="false" outlineLevel="0" collapsed="false">
      <c r="A132" s="5" t="s">
        <v>359</v>
      </c>
      <c r="B132" s="6" t="s">
        <v>360</v>
      </c>
      <c r="C132" s="6" t="s">
        <v>361</v>
      </c>
      <c r="D132" s="7" t="s">
        <v>90</v>
      </c>
      <c r="E132" s="8"/>
      <c r="F132" s="11" t="n">
        <v>100</v>
      </c>
      <c r="G132" s="9" t="n">
        <v>150</v>
      </c>
      <c r="H132" s="10" t="n">
        <f aca="false">ROUND(IF(ISNUMBER(E132),E132,N(F132))*G132,2)</f>
        <v>15000</v>
      </c>
      <c r="I132" s="6" t="s">
        <v>362</v>
      </c>
    </row>
    <row r="133" customFormat="false" ht="26.1" hidden="false" customHeight="false" outlineLevel="0" collapsed="false">
      <c r="A133" s="5" t="s">
        <v>363</v>
      </c>
      <c r="B133" s="6" t="s">
        <v>364</v>
      </c>
      <c r="C133" s="6" t="s">
        <v>365</v>
      </c>
      <c r="D133" s="7" t="s">
        <v>15</v>
      </c>
      <c r="E133" s="8" t="n">
        <v>1</v>
      </c>
      <c r="F133" s="8"/>
      <c r="G133" s="9" t="n">
        <v>2200</v>
      </c>
      <c r="H133" s="10" t="n">
        <f aca="false">ROUND(IF(ISNUMBER(E133),E133,N(F133))*G133,2)</f>
        <v>2200</v>
      </c>
      <c r="I133" s="6"/>
    </row>
    <row r="134" customFormat="false" ht="35.05" hidden="false" customHeight="false" outlineLevel="0" collapsed="false">
      <c r="A134" s="5" t="s">
        <v>366</v>
      </c>
      <c r="B134" s="6" t="s">
        <v>367</v>
      </c>
      <c r="C134" s="6" t="s">
        <v>368</v>
      </c>
      <c r="D134" s="7" t="s">
        <v>65</v>
      </c>
      <c r="E134" s="8"/>
      <c r="F134" s="11" t="n">
        <v>5</v>
      </c>
      <c r="G134" s="9" t="n">
        <v>850</v>
      </c>
      <c r="H134" s="10" t="n">
        <f aca="false">ROUND(IF(ISNUMBER(E134),E134,N(F134))*G134,2)</f>
        <v>4250</v>
      </c>
      <c r="I134" s="6" t="s">
        <v>369</v>
      </c>
    </row>
    <row r="135" customFormat="false" ht="15" hidden="false" customHeight="false" outlineLevel="0" collapsed="false">
      <c r="A135" s="12" t="s">
        <v>370</v>
      </c>
      <c r="B135" s="12"/>
      <c r="C135" s="12"/>
      <c r="D135" s="12"/>
      <c r="E135" s="12"/>
      <c r="F135" s="12"/>
      <c r="G135" s="12"/>
      <c r="H135" s="13" t="n">
        <f aca="false">SUM(H131:H134)</f>
        <v>27050</v>
      </c>
      <c r="I135" s="14"/>
    </row>
    <row r="137" customFormat="false" ht="15" hidden="false" customHeight="false" outlineLevel="0" collapsed="false">
      <c r="A137" s="4" t="s">
        <v>371</v>
      </c>
      <c r="B137" s="4"/>
      <c r="C137" s="4"/>
      <c r="D137" s="4"/>
      <c r="E137" s="4"/>
      <c r="F137" s="4"/>
      <c r="G137" s="4"/>
      <c r="H137" s="4"/>
      <c r="I137" s="4"/>
    </row>
    <row r="138" customFormat="false" ht="70.85" hidden="false" customHeight="false" outlineLevel="0" collapsed="false">
      <c r="A138" s="5" t="s">
        <v>372</v>
      </c>
      <c r="B138" s="6" t="s">
        <v>373</v>
      </c>
      <c r="C138" s="6" t="s">
        <v>374</v>
      </c>
      <c r="D138" s="7" t="s">
        <v>40</v>
      </c>
      <c r="E138" s="8" t="n">
        <v>64</v>
      </c>
      <c r="F138" s="8"/>
      <c r="G138" s="9" t="n">
        <v>380</v>
      </c>
      <c r="H138" s="10" t="n">
        <f aca="false">ROUND(IF(ISNUMBER(E138),E138,N(F138))*G138,2)</f>
        <v>24320</v>
      </c>
      <c r="I138" s="6"/>
    </row>
    <row r="139" customFormat="false" ht="59.7" hidden="false" customHeight="false" outlineLevel="0" collapsed="false">
      <c r="A139" s="5" t="s">
        <v>375</v>
      </c>
      <c r="B139" s="6" t="s">
        <v>376</v>
      </c>
      <c r="C139" s="6" t="s">
        <v>377</v>
      </c>
      <c r="D139" s="7" t="s">
        <v>40</v>
      </c>
      <c r="E139" s="8" t="n">
        <v>17</v>
      </c>
      <c r="F139" s="8"/>
      <c r="G139" s="9" t="n">
        <v>380</v>
      </c>
      <c r="H139" s="10" t="n">
        <f aca="false">ROUND(IF(ISNUMBER(E139),E139,N(F139))*G139,2)</f>
        <v>6460</v>
      </c>
      <c r="I139" s="6"/>
    </row>
    <row r="140" customFormat="false" ht="59.7" hidden="false" customHeight="false" outlineLevel="0" collapsed="false">
      <c r="A140" s="5" t="s">
        <v>378</v>
      </c>
      <c r="B140" s="6" t="s">
        <v>379</v>
      </c>
      <c r="C140" s="6" t="s">
        <v>380</v>
      </c>
      <c r="D140" s="7" t="s">
        <v>40</v>
      </c>
      <c r="E140" s="8" t="n">
        <v>52</v>
      </c>
      <c r="F140" s="8"/>
      <c r="G140" s="9" t="n">
        <v>380</v>
      </c>
      <c r="H140" s="10" t="n">
        <f aca="false">ROUND(IF(ISNUMBER(E140),E140,N(F140))*G140,2)</f>
        <v>19760</v>
      </c>
      <c r="I140" s="6"/>
    </row>
    <row r="141" customFormat="false" ht="48.5" hidden="false" customHeight="false" outlineLevel="0" collapsed="false">
      <c r="A141" s="5" t="s">
        <v>381</v>
      </c>
      <c r="B141" s="6" t="s">
        <v>382</v>
      </c>
      <c r="C141" s="6" t="s">
        <v>383</v>
      </c>
      <c r="D141" s="7" t="s">
        <v>40</v>
      </c>
      <c r="E141" s="8" t="n">
        <v>33.3</v>
      </c>
      <c r="F141" s="8"/>
      <c r="G141" s="9" t="n">
        <v>330</v>
      </c>
      <c r="H141" s="10" t="n">
        <f aca="false">ROUND(IF(ISNUMBER(E141),E141,N(F141))*G141,2)</f>
        <v>10989</v>
      </c>
      <c r="I141" s="6"/>
    </row>
    <row r="142" customFormat="false" ht="15" hidden="false" customHeight="false" outlineLevel="0" collapsed="false">
      <c r="A142" s="12" t="s">
        <v>384</v>
      </c>
      <c r="B142" s="12"/>
      <c r="C142" s="12"/>
      <c r="D142" s="12"/>
      <c r="E142" s="12"/>
      <c r="F142" s="12"/>
      <c r="G142" s="12"/>
      <c r="H142" s="13" t="n">
        <f aca="false">SUM(H138:H141)</f>
        <v>61529</v>
      </c>
      <c r="I142" s="14"/>
    </row>
    <row r="144" customFormat="false" ht="15" hidden="false" customHeight="false" outlineLevel="0" collapsed="false">
      <c r="A144" s="4" t="s">
        <v>385</v>
      </c>
      <c r="B144" s="4"/>
      <c r="C144" s="4"/>
      <c r="D144" s="4"/>
      <c r="E144" s="4"/>
      <c r="F144" s="4"/>
      <c r="G144" s="4"/>
      <c r="H144" s="4"/>
      <c r="I144" s="4"/>
    </row>
    <row r="145" customFormat="false" ht="48.5" hidden="false" customHeight="false" outlineLevel="0" collapsed="false">
      <c r="A145" s="5" t="s">
        <v>386</v>
      </c>
      <c r="B145" s="6" t="s">
        <v>387</v>
      </c>
      <c r="C145" s="6" t="s">
        <v>388</v>
      </c>
      <c r="D145" s="7" t="s">
        <v>40</v>
      </c>
      <c r="E145" s="8" t="n">
        <v>40</v>
      </c>
      <c r="F145" s="8"/>
      <c r="G145" s="9" t="n">
        <v>140</v>
      </c>
      <c r="H145" s="10" t="n">
        <f aca="false">ROUND(IF(ISNUMBER(E145),E145,N(F145))*G145,2)</f>
        <v>5600</v>
      </c>
      <c r="I145" s="6"/>
    </row>
    <row r="146" customFormat="false" ht="48.5" hidden="false" customHeight="false" outlineLevel="0" collapsed="false">
      <c r="A146" s="5" t="s">
        <v>389</v>
      </c>
      <c r="B146" s="6" t="s">
        <v>390</v>
      </c>
      <c r="C146" s="6" t="s">
        <v>391</v>
      </c>
      <c r="D146" s="7" t="s">
        <v>40</v>
      </c>
      <c r="E146" s="8" t="n">
        <v>186</v>
      </c>
      <c r="F146" s="8"/>
      <c r="G146" s="9" t="n">
        <v>110</v>
      </c>
      <c r="H146" s="10" t="n">
        <f aca="false">ROUND(IF(ISNUMBER(E146),E146,N(F146))*G146,2)</f>
        <v>20460</v>
      </c>
      <c r="I146" s="6"/>
    </row>
    <row r="147" customFormat="false" ht="37.3" hidden="false" customHeight="false" outlineLevel="0" collapsed="false">
      <c r="A147" s="5" t="s">
        <v>392</v>
      </c>
      <c r="B147" s="6" t="s">
        <v>393</v>
      </c>
      <c r="C147" s="6" t="s">
        <v>394</v>
      </c>
      <c r="D147" s="7" t="s">
        <v>15</v>
      </c>
      <c r="E147" s="8" t="n">
        <v>5</v>
      </c>
      <c r="F147" s="8"/>
      <c r="G147" s="9" t="n">
        <v>500</v>
      </c>
      <c r="H147" s="10" t="n">
        <f aca="false">ROUND(IF(ISNUMBER(E147),E147,N(F147))*G147,2)</f>
        <v>2500</v>
      </c>
      <c r="I147" s="6"/>
    </row>
    <row r="148" customFormat="false" ht="26.1" hidden="false" customHeight="false" outlineLevel="0" collapsed="false">
      <c r="A148" s="5" t="s">
        <v>395</v>
      </c>
      <c r="B148" s="6" t="s">
        <v>396</v>
      </c>
      <c r="C148" s="6" t="s">
        <v>397</v>
      </c>
      <c r="D148" s="7" t="s">
        <v>40</v>
      </c>
      <c r="E148" s="8" t="n">
        <v>52.7</v>
      </c>
      <c r="F148" s="8"/>
      <c r="G148" s="9" t="n">
        <v>170</v>
      </c>
      <c r="H148" s="10" t="n">
        <f aca="false">ROUND(IF(ISNUMBER(E148),E148,N(F148))*G148,2)</f>
        <v>8959</v>
      </c>
      <c r="I148" s="6"/>
    </row>
    <row r="149" customFormat="false" ht="15" hidden="false" customHeight="false" outlineLevel="0" collapsed="false">
      <c r="A149" s="12" t="s">
        <v>398</v>
      </c>
      <c r="B149" s="12"/>
      <c r="C149" s="12"/>
      <c r="D149" s="12"/>
      <c r="E149" s="12"/>
      <c r="F149" s="12"/>
      <c r="G149" s="12"/>
      <c r="H149" s="13" t="n">
        <f aca="false">SUM(H145:H148)</f>
        <v>37519</v>
      </c>
      <c r="I149" s="14"/>
    </row>
    <row r="151" customFormat="false" ht="15" hidden="false" customHeight="false" outlineLevel="0" collapsed="false">
      <c r="A151" s="4" t="s">
        <v>399</v>
      </c>
      <c r="B151" s="4"/>
      <c r="C151" s="4"/>
      <c r="D151" s="4"/>
      <c r="E151" s="4"/>
      <c r="F151" s="4"/>
      <c r="G151" s="4"/>
      <c r="H151" s="4"/>
      <c r="I151" s="4"/>
    </row>
    <row r="152" customFormat="false" ht="26.1" hidden="false" customHeight="false" outlineLevel="0" collapsed="false">
      <c r="A152" s="5" t="s">
        <v>400</v>
      </c>
      <c r="B152" s="6" t="s">
        <v>401</v>
      </c>
      <c r="C152" s="6" t="s">
        <v>402</v>
      </c>
      <c r="D152" s="7" t="s">
        <v>15</v>
      </c>
      <c r="E152" s="8" t="n">
        <v>1</v>
      </c>
      <c r="F152" s="8"/>
      <c r="G152" s="9" t="n">
        <v>2500</v>
      </c>
      <c r="H152" s="10" t="n">
        <f aca="false">ROUND(IF(ISNUMBER(E152),E152,N(F152))*G152,2)</f>
        <v>2500</v>
      </c>
      <c r="I152" s="6"/>
    </row>
    <row r="153" customFormat="false" ht="26.1" hidden="false" customHeight="false" outlineLevel="0" collapsed="false">
      <c r="A153" s="5" t="s">
        <v>403</v>
      </c>
      <c r="B153" s="6" t="s">
        <v>404</v>
      </c>
      <c r="C153" s="6" t="s">
        <v>405</v>
      </c>
      <c r="D153" s="7" t="s">
        <v>90</v>
      </c>
      <c r="E153" s="8"/>
      <c r="F153" s="11" t="n">
        <v>55</v>
      </c>
      <c r="G153" s="9" t="n">
        <v>520</v>
      </c>
      <c r="H153" s="10" t="n">
        <f aca="false">ROUND(IF(ISNUMBER(E153),E153,N(F153))*G153,2)</f>
        <v>28600</v>
      </c>
      <c r="I153" s="6" t="s">
        <v>406</v>
      </c>
    </row>
    <row r="154" customFormat="false" ht="26.1" hidden="false" customHeight="false" outlineLevel="0" collapsed="false">
      <c r="A154" s="5" t="s">
        <v>407</v>
      </c>
      <c r="B154" s="6" t="s">
        <v>408</v>
      </c>
      <c r="C154" s="6" t="s">
        <v>409</v>
      </c>
      <c r="D154" s="7" t="s">
        <v>40</v>
      </c>
      <c r="E154" s="8"/>
      <c r="F154" s="11" t="n">
        <v>180</v>
      </c>
      <c r="G154" s="9" t="n">
        <v>190</v>
      </c>
      <c r="H154" s="10" t="n">
        <f aca="false">ROUND(IF(ISNUMBER(E154),E154,N(F154))*G154,2)</f>
        <v>34200</v>
      </c>
      <c r="I154" s="6" t="s">
        <v>410</v>
      </c>
    </row>
    <row r="155" customFormat="false" ht="26.1" hidden="false" customHeight="false" outlineLevel="0" collapsed="false">
      <c r="A155" s="5" t="s">
        <v>411</v>
      </c>
      <c r="B155" s="6" t="s">
        <v>412</v>
      </c>
      <c r="C155" s="6" t="s">
        <v>413</v>
      </c>
      <c r="D155" s="7" t="s">
        <v>90</v>
      </c>
      <c r="E155" s="8"/>
      <c r="F155" s="11" t="n">
        <v>55</v>
      </c>
      <c r="G155" s="9" t="n">
        <v>230</v>
      </c>
      <c r="H155" s="10" t="n">
        <f aca="false">ROUND(IF(ISNUMBER(E155),E155,N(F155))*G155,2)</f>
        <v>12650</v>
      </c>
      <c r="I155" s="6" t="s">
        <v>414</v>
      </c>
    </row>
    <row r="156" customFormat="false" ht="26.1" hidden="false" customHeight="false" outlineLevel="0" collapsed="false">
      <c r="A156" s="5" t="s">
        <v>415</v>
      </c>
      <c r="B156" s="6" t="s">
        <v>416</v>
      </c>
      <c r="C156" s="6" t="s">
        <v>417</v>
      </c>
      <c r="D156" s="7" t="s">
        <v>15</v>
      </c>
      <c r="E156" s="8" t="n">
        <v>1</v>
      </c>
      <c r="F156" s="8"/>
      <c r="G156" s="9" t="n">
        <v>3500</v>
      </c>
      <c r="H156" s="10" t="n">
        <f aca="false">ROUND(IF(ISNUMBER(E156),E156,N(F156))*G156,2)</f>
        <v>3500</v>
      </c>
      <c r="I156" s="6"/>
    </row>
    <row r="157" customFormat="false" ht="15" hidden="false" customHeight="false" outlineLevel="0" collapsed="false">
      <c r="A157" s="12" t="s">
        <v>418</v>
      </c>
      <c r="B157" s="12"/>
      <c r="C157" s="12"/>
      <c r="D157" s="12"/>
      <c r="E157" s="12"/>
      <c r="F157" s="12"/>
      <c r="G157" s="12"/>
      <c r="H157" s="13" t="n">
        <f aca="false">SUM(H152:H156)</f>
        <v>81450</v>
      </c>
      <c r="I157" s="14"/>
    </row>
    <row r="159" customFormat="false" ht="15" hidden="false" customHeight="false" outlineLevel="0" collapsed="false">
      <c r="A159" s="4" t="s">
        <v>419</v>
      </c>
      <c r="B159" s="4"/>
      <c r="C159" s="4"/>
      <c r="D159" s="4"/>
      <c r="E159" s="4"/>
      <c r="F159" s="4"/>
      <c r="G159" s="4"/>
      <c r="H159" s="4"/>
      <c r="I159" s="4"/>
    </row>
    <row r="160" customFormat="false" ht="37.3" hidden="false" customHeight="false" outlineLevel="0" collapsed="false">
      <c r="A160" s="5" t="s">
        <v>420</v>
      </c>
      <c r="B160" s="6" t="s">
        <v>421</v>
      </c>
      <c r="C160" s="6" t="s">
        <v>422</v>
      </c>
      <c r="D160" s="7" t="s">
        <v>90</v>
      </c>
      <c r="E160" s="8" t="n">
        <v>33.23</v>
      </c>
      <c r="F160" s="8"/>
      <c r="G160" s="9" t="n">
        <v>340</v>
      </c>
      <c r="H160" s="10" t="n">
        <f aca="false">ROUND(IF(ISNUMBER(E160),E160,N(F160))*G160,2)</f>
        <v>11298.2</v>
      </c>
      <c r="I160" s="6"/>
    </row>
    <row r="161" customFormat="false" ht="37.3" hidden="false" customHeight="false" outlineLevel="0" collapsed="false">
      <c r="A161" s="5" t="s">
        <v>423</v>
      </c>
      <c r="B161" s="6" t="s">
        <v>424</v>
      </c>
      <c r="C161" s="6" t="s">
        <v>425</v>
      </c>
      <c r="D161" s="7" t="s">
        <v>90</v>
      </c>
      <c r="E161" s="8" t="n">
        <v>35</v>
      </c>
      <c r="F161" s="8"/>
      <c r="G161" s="9" t="n">
        <v>300</v>
      </c>
      <c r="H161" s="10" t="n">
        <f aca="false">ROUND(IF(ISNUMBER(E161),E161,N(F161))*G161,2)</f>
        <v>10500</v>
      </c>
      <c r="I161" s="6"/>
    </row>
    <row r="162" customFormat="false" ht="26.1" hidden="false" customHeight="false" outlineLevel="0" collapsed="false">
      <c r="A162" s="5" t="s">
        <v>426</v>
      </c>
      <c r="B162" s="6" t="s">
        <v>427</v>
      </c>
      <c r="C162" s="6" t="s">
        <v>428</v>
      </c>
      <c r="D162" s="7" t="s">
        <v>90</v>
      </c>
      <c r="E162" s="8" t="n">
        <v>19</v>
      </c>
      <c r="F162" s="8"/>
      <c r="G162" s="9" t="n">
        <v>200</v>
      </c>
      <c r="H162" s="10" t="n">
        <f aca="false">ROUND(IF(ISNUMBER(E162),E162,N(F162))*G162,2)</f>
        <v>3800</v>
      </c>
      <c r="I162" s="6"/>
    </row>
    <row r="163" customFormat="false" ht="48.5" hidden="false" customHeight="false" outlineLevel="0" collapsed="false">
      <c r="A163" s="5" t="s">
        <v>429</v>
      </c>
      <c r="B163" s="6" t="s">
        <v>430</v>
      </c>
      <c r="C163" s="6" t="s">
        <v>431</v>
      </c>
      <c r="D163" s="7" t="s">
        <v>90</v>
      </c>
      <c r="E163" s="8" t="n">
        <v>125.62</v>
      </c>
      <c r="F163" s="8"/>
      <c r="G163" s="9" t="n">
        <v>35</v>
      </c>
      <c r="H163" s="10" t="n">
        <f aca="false">ROUND(IF(ISNUMBER(E163),E163,N(F163))*G163,2)</f>
        <v>4396.7</v>
      </c>
      <c r="I163" s="6"/>
    </row>
    <row r="164" customFormat="false" ht="15" hidden="false" customHeight="false" outlineLevel="0" collapsed="false">
      <c r="A164" s="12" t="s">
        <v>432</v>
      </c>
      <c r="B164" s="12"/>
      <c r="C164" s="12"/>
      <c r="D164" s="12"/>
      <c r="E164" s="12"/>
      <c r="F164" s="12"/>
      <c r="G164" s="12"/>
      <c r="H164" s="13" t="n">
        <f aca="false">SUM(H160:H163)</f>
        <v>29994.9</v>
      </c>
      <c r="I164" s="14"/>
    </row>
    <row r="166" customFormat="false" ht="15" hidden="false" customHeight="false" outlineLevel="0" collapsed="false">
      <c r="A166" s="4" t="s">
        <v>433</v>
      </c>
      <c r="B166" s="4"/>
      <c r="C166" s="4"/>
      <c r="D166" s="4"/>
      <c r="E166" s="4"/>
      <c r="F166" s="4"/>
      <c r="G166" s="4"/>
      <c r="H166" s="4"/>
      <c r="I166" s="4"/>
    </row>
    <row r="167" customFormat="false" ht="37.3" hidden="false" customHeight="false" outlineLevel="0" collapsed="false">
      <c r="A167" s="5" t="s">
        <v>434</v>
      </c>
      <c r="B167" s="6" t="s">
        <v>435</v>
      </c>
      <c r="C167" s="6" t="s">
        <v>436</v>
      </c>
      <c r="D167" s="7" t="s">
        <v>40</v>
      </c>
      <c r="E167" s="8" t="n">
        <v>219.9</v>
      </c>
      <c r="F167" s="8"/>
      <c r="G167" s="9" t="n">
        <v>280</v>
      </c>
      <c r="H167" s="10" t="n">
        <f aca="false">ROUND(IF(ISNUMBER(E167),E167,N(F167))*G167,2)</f>
        <v>61572</v>
      </c>
      <c r="I167" s="6"/>
    </row>
    <row r="168" customFormat="false" ht="37.3" hidden="false" customHeight="false" outlineLevel="0" collapsed="false">
      <c r="A168" s="5" t="s">
        <v>437</v>
      </c>
      <c r="B168" s="6" t="s">
        <v>438</v>
      </c>
      <c r="C168" s="6" t="s">
        <v>439</v>
      </c>
      <c r="D168" s="7" t="s">
        <v>40</v>
      </c>
      <c r="E168" s="8" t="n">
        <v>105</v>
      </c>
      <c r="F168" s="8"/>
      <c r="G168" s="9" t="n">
        <v>230</v>
      </c>
      <c r="H168" s="10" t="n">
        <f aca="false">ROUND(IF(ISNUMBER(E168),E168,N(F168))*G168,2)</f>
        <v>24150</v>
      </c>
      <c r="I168" s="6"/>
    </row>
    <row r="169" customFormat="false" ht="37.3" hidden="false" customHeight="false" outlineLevel="0" collapsed="false">
      <c r="A169" s="5" t="s">
        <v>440</v>
      </c>
      <c r="B169" s="6" t="s">
        <v>441</v>
      </c>
      <c r="C169" s="6" t="s">
        <v>442</v>
      </c>
      <c r="D169" s="7" t="s">
        <v>40</v>
      </c>
      <c r="E169" s="8" t="n">
        <v>121.2</v>
      </c>
      <c r="F169" s="8"/>
      <c r="G169" s="9" t="n">
        <v>420</v>
      </c>
      <c r="H169" s="10" t="n">
        <f aca="false">ROUND(IF(ISNUMBER(E169),E169,N(F169))*G169,2)</f>
        <v>50904</v>
      </c>
      <c r="I169" s="6"/>
    </row>
    <row r="170" customFormat="false" ht="37.3" hidden="false" customHeight="false" outlineLevel="0" collapsed="false">
      <c r="A170" s="5" t="s">
        <v>443</v>
      </c>
      <c r="B170" s="6" t="s">
        <v>444</v>
      </c>
      <c r="C170" s="6" t="s">
        <v>445</v>
      </c>
      <c r="D170" s="7" t="s">
        <v>90</v>
      </c>
      <c r="E170" s="8" t="n">
        <v>285</v>
      </c>
      <c r="F170" s="8"/>
      <c r="G170" s="9" t="n">
        <v>75</v>
      </c>
      <c r="H170" s="10" t="n">
        <f aca="false">ROUND(IF(ISNUMBER(E170),E170,N(F170))*G170,2)</f>
        <v>21375</v>
      </c>
      <c r="I170" s="6"/>
    </row>
    <row r="171" customFormat="false" ht="39.55" hidden="false" customHeight="false" outlineLevel="0" collapsed="false">
      <c r="A171" s="5" t="s">
        <v>446</v>
      </c>
      <c r="B171" s="6" t="s">
        <v>447</v>
      </c>
      <c r="C171" s="6" t="s">
        <v>448</v>
      </c>
      <c r="D171" s="7" t="s">
        <v>40</v>
      </c>
      <c r="E171" s="8" t="n">
        <v>263.7</v>
      </c>
      <c r="F171" s="8"/>
      <c r="G171" s="9" t="n">
        <v>260</v>
      </c>
      <c r="H171" s="10" t="n">
        <f aca="false">ROUND(IF(ISNUMBER(E171),E171,N(F171))*G171,2)</f>
        <v>68562</v>
      </c>
      <c r="I171" s="6"/>
    </row>
    <row r="172" customFormat="false" ht="26.1" hidden="false" customHeight="false" outlineLevel="0" collapsed="false">
      <c r="A172" s="5" t="s">
        <v>449</v>
      </c>
      <c r="B172" s="6" t="s">
        <v>450</v>
      </c>
      <c r="C172" s="6" t="s">
        <v>451</v>
      </c>
      <c r="D172" s="7" t="s">
        <v>90</v>
      </c>
      <c r="E172" s="8" t="n">
        <v>50</v>
      </c>
      <c r="F172" s="8"/>
      <c r="G172" s="9" t="n">
        <v>320</v>
      </c>
      <c r="H172" s="10" t="n">
        <f aca="false">ROUND(IF(ISNUMBER(E172),E172,N(F172))*G172,2)</f>
        <v>16000</v>
      </c>
      <c r="I172" s="6" t="s">
        <v>452</v>
      </c>
    </row>
    <row r="173" customFormat="false" ht="15" hidden="false" customHeight="false" outlineLevel="0" collapsed="false">
      <c r="A173" s="12" t="s">
        <v>453</v>
      </c>
      <c r="B173" s="12"/>
      <c r="C173" s="12"/>
      <c r="D173" s="12"/>
      <c r="E173" s="12"/>
      <c r="F173" s="12"/>
      <c r="G173" s="12"/>
      <c r="H173" s="13" t="n">
        <f aca="false">SUM(H167:H172)</f>
        <v>242563</v>
      </c>
      <c r="I173" s="14"/>
    </row>
    <row r="175" customFormat="false" ht="15" hidden="false" customHeight="false" outlineLevel="0" collapsed="false">
      <c r="A175" s="4" t="s">
        <v>454</v>
      </c>
      <c r="B175" s="4"/>
      <c r="C175" s="4"/>
      <c r="D175" s="4"/>
      <c r="E175" s="4"/>
      <c r="F175" s="4"/>
      <c r="G175" s="4"/>
      <c r="H175" s="4"/>
      <c r="I175" s="4"/>
    </row>
    <row r="176" customFormat="false" ht="37.3" hidden="false" customHeight="false" outlineLevel="0" collapsed="false">
      <c r="A176" s="5" t="s">
        <v>455</v>
      </c>
      <c r="B176" s="6" t="s">
        <v>456</v>
      </c>
      <c r="C176" s="6" t="s">
        <v>457</v>
      </c>
      <c r="D176" s="7" t="s">
        <v>40</v>
      </c>
      <c r="E176" s="8" t="n">
        <v>225</v>
      </c>
      <c r="F176" s="8"/>
      <c r="G176" s="9" t="n">
        <v>210</v>
      </c>
      <c r="H176" s="10" t="n">
        <f aca="false">ROUND(IF(ISNUMBER(E176),E176,N(F176))*G176,2)</f>
        <v>47250</v>
      </c>
      <c r="I176" s="6" t="s">
        <v>458</v>
      </c>
    </row>
    <row r="177" customFormat="false" ht="26.1" hidden="false" customHeight="false" outlineLevel="0" collapsed="false">
      <c r="A177" s="5" t="s">
        <v>459</v>
      </c>
      <c r="B177" s="6" t="s">
        <v>460</v>
      </c>
      <c r="C177" s="6" t="s">
        <v>461</v>
      </c>
      <c r="D177" s="7" t="s">
        <v>15</v>
      </c>
      <c r="E177" s="8" t="n">
        <v>1</v>
      </c>
      <c r="F177" s="8"/>
      <c r="G177" s="9" t="n">
        <v>7000</v>
      </c>
      <c r="H177" s="10" t="n">
        <f aca="false">ROUND(IF(ISNUMBER(E177),E177,N(F177))*G177,2)</f>
        <v>7000</v>
      </c>
      <c r="I177" s="6" t="s">
        <v>462</v>
      </c>
    </row>
    <row r="178" customFormat="false" ht="37.3" hidden="false" customHeight="false" outlineLevel="0" collapsed="false">
      <c r="A178" s="5" t="s">
        <v>463</v>
      </c>
      <c r="B178" s="6" t="s">
        <v>464</v>
      </c>
      <c r="C178" s="6" t="s">
        <v>465</v>
      </c>
      <c r="D178" s="7" t="s">
        <v>15</v>
      </c>
      <c r="E178" s="8" t="n">
        <v>1</v>
      </c>
      <c r="F178" s="8"/>
      <c r="G178" s="9" t="n">
        <v>1000</v>
      </c>
      <c r="H178" s="10" t="n">
        <f aca="false">ROUND(IF(ISNUMBER(E178),E178,N(F178))*G178,2)</f>
        <v>1000</v>
      </c>
      <c r="I178" s="6"/>
    </row>
    <row r="179" customFormat="false" ht="15" hidden="false" customHeight="false" outlineLevel="0" collapsed="false">
      <c r="A179" s="12" t="s">
        <v>466</v>
      </c>
      <c r="B179" s="12"/>
      <c r="C179" s="12"/>
      <c r="D179" s="12"/>
      <c r="E179" s="12"/>
      <c r="F179" s="12"/>
      <c r="G179" s="12"/>
      <c r="H179" s="13" t="n">
        <f aca="false">SUM(H176:H178)</f>
        <v>55250</v>
      </c>
      <c r="I179" s="14"/>
    </row>
    <row r="181" customFormat="false" ht="15" hidden="false" customHeight="false" outlineLevel="0" collapsed="false">
      <c r="A181" s="4" t="s">
        <v>467</v>
      </c>
      <c r="B181" s="4"/>
      <c r="C181" s="4"/>
      <c r="D181" s="4"/>
      <c r="E181" s="4"/>
      <c r="F181" s="4"/>
      <c r="G181" s="4"/>
      <c r="H181" s="4"/>
      <c r="I181" s="4"/>
    </row>
    <row r="182" customFormat="false" ht="26.1" hidden="false" customHeight="false" outlineLevel="0" collapsed="false">
      <c r="A182" s="5" t="s">
        <v>468</v>
      </c>
      <c r="B182" s="6" t="s">
        <v>469</v>
      </c>
      <c r="C182" s="6" t="s">
        <v>470</v>
      </c>
      <c r="D182" s="7" t="s">
        <v>40</v>
      </c>
      <c r="E182" s="8" t="n">
        <v>254</v>
      </c>
      <c r="F182" s="8"/>
      <c r="G182" s="9" t="n">
        <v>100</v>
      </c>
      <c r="H182" s="10" t="n">
        <f aca="false">ROUND(IF(ISNUMBER(E182),E182,N(F182))*G182,2)</f>
        <v>25400</v>
      </c>
      <c r="I182" s="6"/>
    </row>
    <row r="183" customFormat="false" ht="26.1" hidden="false" customHeight="false" outlineLevel="0" collapsed="false">
      <c r="A183" s="5" t="s">
        <v>471</v>
      </c>
      <c r="B183" s="6" t="s">
        <v>472</v>
      </c>
      <c r="C183" s="6" t="s">
        <v>470</v>
      </c>
      <c r="D183" s="7" t="s">
        <v>40</v>
      </c>
      <c r="E183" s="8" t="n">
        <v>118</v>
      </c>
      <c r="F183" s="8"/>
      <c r="G183" s="9" t="n">
        <v>100</v>
      </c>
      <c r="H183" s="10" t="n">
        <f aca="false">ROUND(IF(ISNUMBER(E183),E183,N(F183))*G183,2)</f>
        <v>11800</v>
      </c>
      <c r="I183" s="6"/>
    </row>
    <row r="184" customFormat="false" ht="26.1" hidden="false" customHeight="false" outlineLevel="0" collapsed="false">
      <c r="A184" s="5" t="s">
        <v>473</v>
      </c>
      <c r="B184" s="6" t="s">
        <v>474</v>
      </c>
      <c r="C184" s="6" t="s">
        <v>470</v>
      </c>
      <c r="D184" s="7" t="s">
        <v>40</v>
      </c>
      <c r="E184" s="8" t="n">
        <v>204</v>
      </c>
      <c r="F184" s="8"/>
      <c r="G184" s="9" t="n">
        <v>100</v>
      </c>
      <c r="H184" s="10" t="n">
        <f aca="false">ROUND(IF(ISNUMBER(E184),E184,N(F184))*G184,2)</f>
        <v>20400</v>
      </c>
      <c r="I184" s="6"/>
    </row>
    <row r="185" customFormat="false" ht="15" hidden="false" customHeight="false" outlineLevel="0" collapsed="false">
      <c r="A185" s="12" t="s">
        <v>475</v>
      </c>
      <c r="B185" s="12"/>
      <c r="C185" s="12"/>
      <c r="D185" s="12"/>
      <c r="E185" s="12"/>
      <c r="F185" s="12"/>
      <c r="G185" s="12"/>
      <c r="H185" s="13" t="n">
        <f aca="false">SUM(H182:H184)</f>
        <v>57600</v>
      </c>
      <c r="I185" s="14"/>
    </row>
    <row r="187" customFormat="false" ht="15" hidden="false" customHeight="false" outlineLevel="0" collapsed="false">
      <c r="A187" s="4" t="s">
        <v>476</v>
      </c>
      <c r="B187" s="4"/>
      <c r="C187" s="4"/>
      <c r="D187" s="4"/>
      <c r="E187" s="4"/>
      <c r="F187" s="4"/>
      <c r="G187" s="4"/>
      <c r="H187" s="4"/>
      <c r="I187" s="4"/>
    </row>
    <row r="188" customFormat="false" ht="50.7" hidden="false" customHeight="false" outlineLevel="0" collapsed="false">
      <c r="A188" s="5" t="s">
        <v>477</v>
      </c>
      <c r="B188" s="6" t="s">
        <v>478</v>
      </c>
      <c r="C188" s="6" t="s">
        <v>479</v>
      </c>
      <c r="D188" s="7" t="s">
        <v>65</v>
      </c>
      <c r="E188" s="8" t="n">
        <v>26</v>
      </c>
      <c r="F188" s="8"/>
      <c r="G188" s="9" t="n">
        <v>5000</v>
      </c>
      <c r="H188" s="10" t="n">
        <f aca="false">ROUND(IF(ISNUMBER(E188),E188,N(F188))*G188,2)</f>
        <v>130000</v>
      </c>
      <c r="I188" s="6"/>
    </row>
    <row r="189" customFormat="false" ht="37.3" hidden="false" customHeight="false" outlineLevel="0" collapsed="false">
      <c r="A189" s="5" t="s">
        <v>480</v>
      </c>
      <c r="B189" s="6" t="s">
        <v>481</v>
      </c>
      <c r="C189" s="6" t="s">
        <v>482</v>
      </c>
      <c r="D189" s="7" t="s">
        <v>65</v>
      </c>
      <c r="E189" s="8" t="n">
        <v>10</v>
      </c>
      <c r="F189" s="8"/>
      <c r="G189" s="9" t="n">
        <v>1200</v>
      </c>
      <c r="H189" s="10" t="n">
        <f aca="false">ROUND(IF(ISNUMBER(E189),E189,N(F189))*G189,2)</f>
        <v>12000</v>
      </c>
      <c r="I189" s="6"/>
    </row>
    <row r="190" customFormat="false" ht="37.3" hidden="false" customHeight="false" outlineLevel="0" collapsed="false">
      <c r="A190" s="5" t="s">
        <v>483</v>
      </c>
      <c r="B190" s="6" t="s">
        <v>484</v>
      </c>
      <c r="C190" s="6" t="s">
        <v>485</v>
      </c>
      <c r="D190" s="7" t="s">
        <v>65</v>
      </c>
      <c r="E190" s="8" t="n">
        <v>3</v>
      </c>
      <c r="F190" s="8"/>
      <c r="G190" s="9" t="n">
        <v>2500</v>
      </c>
      <c r="H190" s="10" t="n">
        <f aca="false">ROUND(IF(ISNUMBER(E190),E190,N(F190))*G190,2)</f>
        <v>7500</v>
      </c>
      <c r="I190" s="6"/>
    </row>
    <row r="191" customFormat="false" ht="37.3" hidden="false" customHeight="false" outlineLevel="0" collapsed="false">
      <c r="A191" s="5" t="s">
        <v>486</v>
      </c>
      <c r="B191" s="6" t="s">
        <v>487</v>
      </c>
      <c r="C191" s="6" t="s">
        <v>488</v>
      </c>
      <c r="D191" s="7" t="s">
        <v>65</v>
      </c>
      <c r="E191" s="8" t="n">
        <v>1</v>
      </c>
      <c r="F191" s="8"/>
      <c r="G191" s="9" t="n">
        <v>9000</v>
      </c>
      <c r="H191" s="10" t="n">
        <f aca="false">ROUND(IF(ISNUMBER(E191),E191,N(F191))*G191,2)</f>
        <v>9000</v>
      </c>
      <c r="I191" s="6"/>
    </row>
    <row r="192" customFormat="false" ht="48.5" hidden="false" customHeight="false" outlineLevel="0" collapsed="false">
      <c r="A192" s="5" t="s">
        <v>489</v>
      </c>
      <c r="B192" s="6" t="s">
        <v>490</v>
      </c>
      <c r="C192" s="6" t="s">
        <v>491</v>
      </c>
      <c r="D192" s="7" t="s">
        <v>15</v>
      </c>
      <c r="E192" s="8" t="n">
        <v>1</v>
      </c>
      <c r="F192" s="8"/>
      <c r="G192" s="9" t="n">
        <v>18000</v>
      </c>
      <c r="H192" s="10" t="n">
        <f aca="false">ROUND(IF(ISNUMBER(E192),E192,N(F192))*G192,2)</f>
        <v>18000</v>
      </c>
      <c r="I192" s="6"/>
    </row>
    <row r="193" customFormat="false" ht="48.5" hidden="false" customHeight="false" outlineLevel="0" collapsed="false">
      <c r="A193" s="5" t="s">
        <v>492</v>
      </c>
      <c r="B193" s="6" t="s">
        <v>493</v>
      </c>
      <c r="C193" s="6" t="s">
        <v>494</v>
      </c>
      <c r="D193" s="7" t="s">
        <v>15</v>
      </c>
      <c r="E193" s="8" t="n">
        <v>1</v>
      </c>
      <c r="F193" s="8"/>
      <c r="G193" s="9" t="n">
        <v>9000</v>
      </c>
      <c r="H193" s="10" t="n">
        <f aca="false">ROUND(IF(ISNUMBER(E193),E193,N(F193))*G193,2)</f>
        <v>9000</v>
      </c>
      <c r="I193" s="6"/>
    </row>
    <row r="194" customFormat="false" ht="48.5" hidden="false" customHeight="false" outlineLevel="0" collapsed="false">
      <c r="A194" s="5" t="s">
        <v>495</v>
      </c>
      <c r="B194" s="6" t="s">
        <v>496</v>
      </c>
      <c r="C194" s="6" t="s">
        <v>497</v>
      </c>
      <c r="D194" s="7" t="s">
        <v>15</v>
      </c>
      <c r="E194" s="8" t="n">
        <v>1</v>
      </c>
      <c r="F194" s="8"/>
      <c r="G194" s="9" t="n">
        <v>3500</v>
      </c>
      <c r="H194" s="10" t="n">
        <f aca="false">ROUND(IF(ISNUMBER(E194),E194,N(F194))*G194,2)</f>
        <v>3500</v>
      </c>
      <c r="I194" s="6"/>
    </row>
    <row r="195" customFormat="false" ht="26.1" hidden="false" customHeight="false" outlineLevel="0" collapsed="false">
      <c r="A195" s="5" t="s">
        <v>498</v>
      </c>
      <c r="B195" s="6" t="s">
        <v>499</v>
      </c>
      <c r="C195" s="6" t="s">
        <v>500</v>
      </c>
      <c r="D195" s="7" t="s">
        <v>65</v>
      </c>
      <c r="E195" s="8" t="n">
        <v>18</v>
      </c>
      <c r="F195" s="8"/>
      <c r="G195" s="9" t="n">
        <v>2400</v>
      </c>
      <c r="H195" s="10" t="n">
        <f aca="false">ROUND(IF(ISNUMBER(E195),E195,N(F195))*G195,2)</f>
        <v>43200</v>
      </c>
      <c r="I195" s="6" t="s">
        <v>501</v>
      </c>
    </row>
    <row r="196" customFormat="false" ht="15" hidden="false" customHeight="false" outlineLevel="0" collapsed="false">
      <c r="A196" s="12" t="s">
        <v>502</v>
      </c>
      <c r="B196" s="12"/>
      <c r="C196" s="12"/>
      <c r="D196" s="12"/>
      <c r="E196" s="12"/>
      <c r="F196" s="12"/>
      <c r="G196" s="12"/>
      <c r="H196" s="13" t="n">
        <f aca="false">SUM(H188:H195)</f>
        <v>232200</v>
      </c>
      <c r="I196" s="14"/>
    </row>
    <row r="198" customFormat="false" ht="15" hidden="false" customHeight="false" outlineLevel="0" collapsed="false">
      <c r="A198" s="4" t="s">
        <v>503</v>
      </c>
      <c r="B198" s="4"/>
      <c r="C198" s="4"/>
      <c r="D198" s="4"/>
      <c r="E198" s="4"/>
      <c r="F198" s="4"/>
      <c r="G198" s="4"/>
      <c r="H198" s="4"/>
      <c r="I198" s="4"/>
    </row>
    <row r="199" customFormat="false" ht="37.3" hidden="false" customHeight="false" outlineLevel="0" collapsed="false">
      <c r="A199" s="5" t="s">
        <v>504</v>
      </c>
      <c r="B199" s="6" t="s">
        <v>505</v>
      </c>
      <c r="C199" s="6" t="s">
        <v>506</v>
      </c>
      <c r="D199" s="7" t="s">
        <v>40</v>
      </c>
      <c r="E199" s="8" t="n">
        <v>65</v>
      </c>
      <c r="F199" s="8"/>
      <c r="G199" s="9" t="n">
        <v>75</v>
      </c>
      <c r="H199" s="10" t="n">
        <f aca="false">ROUND(IF(ISNUMBER(E199),E199,N(F199))*G199,2)</f>
        <v>4875</v>
      </c>
      <c r="I199" s="6"/>
    </row>
    <row r="200" customFormat="false" ht="37.3" hidden="false" customHeight="false" outlineLevel="0" collapsed="false">
      <c r="A200" s="5" t="s">
        <v>507</v>
      </c>
      <c r="B200" s="6" t="s">
        <v>508</v>
      </c>
      <c r="C200" s="6" t="s">
        <v>509</v>
      </c>
      <c r="D200" s="7" t="s">
        <v>15</v>
      </c>
      <c r="E200" s="8" t="n">
        <v>1</v>
      </c>
      <c r="F200" s="8"/>
      <c r="G200" s="9" t="n">
        <v>10000</v>
      </c>
      <c r="H200" s="10" t="n">
        <f aca="false">ROUND(IF(ISNUMBER(E200),E200,N(F200))*G200,2)</f>
        <v>10000</v>
      </c>
      <c r="I200" s="6"/>
    </row>
    <row r="201" customFormat="false" ht="37.3" hidden="false" customHeight="false" outlineLevel="0" collapsed="false">
      <c r="A201" s="5" t="s">
        <v>510</v>
      </c>
      <c r="B201" s="6" t="s">
        <v>511</v>
      </c>
      <c r="C201" s="6" t="s">
        <v>512</v>
      </c>
      <c r="D201" s="7" t="s">
        <v>15</v>
      </c>
      <c r="E201" s="8" t="n">
        <v>1</v>
      </c>
      <c r="F201" s="8"/>
      <c r="G201" s="9" t="n">
        <v>28000</v>
      </c>
      <c r="H201" s="10" t="n">
        <f aca="false">ROUND(IF(ISNUMBER(E201),E201,N(F201))*G201,2)</f>
        <v>28000</v>
      </c>
      <c r="I201" s="6"/>
    </row>
    <row r="202" customFormat="false" ht="37.3" hidden="false" customHeight="false" outlineLevel="0" collapsed="false">
      <c r="A202" s="5" t="s">
        <v>513</v>
      </c>
      <c r="B202" s="6" t="s">
        <v>514</v>
      </c>
      <c r="C202" s="6" t="s">
        <v>515</v>
      </c>
      <c r="D202" s="7" t="s">
        <v>15</v>
      </c>
      <c r="E202" s="8" t="n">
        <v>1</v>
      </c>
      <c r="F202" s="8"/>
      <c r="G202" s="9" t="n">
        <v>9000</v>
      </c>
      <c r="H202" s="10" t="n">
        <f aca="false">ROUND(IF(ISNUMBER(E202),E202,N(F202))*G202,2)</f>
        <v>9000</v>
      </c>
      <c r="I202" s="6"/>
    </row>
    <row r="203" customFormat="false" ht="15" hidden="false" customHeight="false" outlineLevel="0" collapsed="false">
      <c r="A203" s="12" t="s">
        <v>516</v>
      </c>
      <c r="B203" s="12"/>
      <c r="C203" s="12"/>
      <c r="D203" s="12"/>
      <c r="E203" s="12"/>
      <c r="F203" s="12"/>
      <c r="G203" s="12"/>
      <c r="H203" s="13" t="n">
        <f aca="false">SUM(H199:H202)</f>
        <v>51875</v>
      </c>
      <c r="I203" s="14"/>
    </row>
    <row r="205" customFormat="false" ht="15" hidden="false" customHeight="false" outlineLevel="0" collapsed="false">
      <c r="A205" s="4" t="s">
        <v>517</v>
      </c>
      <c r="B205" s="4"/>
      <c r="C205" s="4"/>
      <c r="D205" s="4"/>
      <c r="E205" s="4"/>
      <c r="F205" s="4"/>
      <c r="G205" s="4"/>
      <c r="H205" s="4"/>
      <c r="I205" s="4"/>
    </row>
    <row r="206" customFormat="false" ht="37.3" hidden="false" customHeight="false" outlineLevel="0" collapsed="false">
      <c r="A206" s="5" t="s">
        <v>518</v>
      </c>
      <c r="B206" s="6" t="s">
        <v>519</v>
      </c>
      <c r="C206" s="6" t="s">
        <v>520</v>
      </c>
      <c r="D206" s="7" t="s">
        <v>15</v>
      </c>
      <c r="E206" s="8" t="n">
        <v>1</v>
      </c>
      <c r="F206" s="8"/>
      <c r="G206" s="9" t="n">
        <v>10000</v>
      </c>
      <c r="H206" s="10" t="n">
        <f aca="false">ROUND(IF(ISNUMBER(E206),E206,N(F206))*G206,2)</f>
        <v>10000</v>
      </c>
      <c r="I206" s="6"/>
    </row>
    <row r="207" customFormat="false" ht="37.3" hidden="false" customHeight="false" outlineLevel="0" collapsed="false">
      <c r="A207" s="5" t="s">
        <v>521</v>
      </c>
      <c r="B207" s="6" t="s">
        <v>522</v>
      </c>
      <c r="C207" s="6" t="s">
        <v>523</v>
      </c>
      <c r="D207" s="7" t="s">
        <v>15</v>
      </c>
      <c r="E207" s="8" t="n">
        <v>1</v>
      </c>
      <c r="F207" s="8"/>
      <c r="G207" s="9" t="n">
        <v>3500</v>
      </c>
      <c r="H207" s="10" t="n">
        <f aca="false">ROUND(IF(ISNUMBER(E207),E207,N(F207))*G207,2)</f>
        <v>3500</v>
      </c>
      <c r="I207" s="6"/>
    </row>
    <row r="208" customFormat="false" ht="37.3" hidden="false" customHeight="false" outlineLevel="0" collapsed="false">
      <c r="A208" s="5" t="s">
        <v>524</v>
      </c>
      <c r="B208" s="6" t="s">
        <v>525</v>
      </c>
      <c r="C208" s="6" t="s">
        <v>526</v>
      </c>
      <c r="D208" s="7" t="s">
        <v>15</v>
      </c>
      <c r="E208" s="8" t="n">
        <v>1</v>
      </c>
      <c r="F208" s="8"/>
      <c r="G208" s="9" t="n">
        <v>2000</v>
      </c>
      <c r="H208" s="10" t="n">
        <f aca="false">ROUND(IF(ISNUMBER(E208),E208,N(F208))*G208,2)</f>
        <v>2000</v>
      </c>
      <c r="I208" s="6"/>
    </row>
    <row r="209" customFormat="false" ht="37.3" hidden="false" customHeight="false" outlineLevel="0" collapsed="false">
      <c r="A209" s="5" t="s">
        <v>527</v>
      </c>
      <c r="B209" s="6" t="s">
        <v>528</v>
      </c>
      <c r="C209" s="6" t="s">
        <v>529</v>
      </c>
      <c r="D209" s="7" t="s">
        <v>15</v>
      </c>
      <c r="E209" s="8" t="n">
        <v>1</v>
      </c>
      <c r="F209" s="8"/>
      <c r="G209" s="9" t="n">
        <v>1500</v>
      </c>
      <c r="H209" s="10" t="n">
        <f aca="false">ROUND(IF(ISNUMBER(E209),E209,N(F209))*G209,2)</f>
        <v>1500</v>
      </c>
      <c r="I209" s="6"/>
    </row>
    <row r="210" customFormat="false" ht="28.35" hidden="false" customHeight="false" outlineLevel="0" collapsed="false">
      <c r="A210" s="5" t="s">
        <v>530</v>
      </c>
      <c r="B210" s="6" t="s">
        <v>531</v>
      </c>
      <c r="C210" s="6" t="s">
        <v>532</v>
      </c>
      <c r="D210" s="7" t="s">
        <v>206</v>
      </c>
      <c r="E210" s="8"/>
      <c r="F210" s="11" t="n">
        <v>24</v>
      </c>
      <c r="G210" s="9" t="n">
        <v>250</v>
      </c>
      <c r="H210" s="10" t="n">
        <f aca="false">ROUND(IF(ISNUMBER(E210),E210,N(F210))*G210,2)</f>
        <v>6000</v>
      </c>
      <c r="I210" s="6" t="s">
        <v>533</v>
      </c>
    </row>
    <row r="211" customFormat="false" ht="15" hidden="false" customHeight="false" outlineLevel="0" collapsed="false">
      <c r="A211" s="12" t="s">
        <v>534</v>
      </c>
      <c r="B211" s="12"/>
      <c r="C211" s="12"/>
      <c r="D211" s="12"/>
      <c r="E211" s="12"/>
      <c r="F211" s="12"/>
      <c r="G211" s="12"/>
      <c r="H211" s="13" t="n">
        <f aca="false">SUM(H206:H210)</f>
        <v>23000</v>
      </c>
      <c r="I211" s="14"/>
    </row>
  </sheetData>
  <autoFilter ref="A4:I211"/>
  <mergeCells count="18">
    <mergeCell ref="A15:G15"/>
    <mergeCell ref="A38:G38"/>
    <mergeCell ref="A45:G45"/>
    <mergeCell ref="A51:G51"/>
    <mergeCell ref="A87:G87"/>
    <mergeCell ref="A105:G105"/>
    <mergeCell ref="A128:G128"/>
    <mergeCell ref="A135:G135"/>
    <mergeCell ref="A142:G142"/>
    <mergeCell ref="A149:G149"/>
    <mergeCell ref="A157:G157"/>
    <mergeCell ref="A164:G164"/>
    <mergeCell ref="A173:G173"/>
    <mergeCell ref="A179:G179"/>
    <mergeCell ref="A185:G185"/>
    <mergeCell ref="A196:G196"/>
    <mergeCell ref="A203:G203"/>
    <mergeCell ref="A211:G2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8"/>
    <col collapsed="false" customWidth="true" hidden="false" outlineLevel="0" max="3" min="3" style="0" width="8"/>
  </cols>
  <sheetData>
    <row r="1" customFormat="false" ht="15" hidden="false" customHeight="false" outlineLevel="0" collapsed="false">
      <c r="A1" s="1" t="s">
        <v>535</v>
      </c>
    </row>
    <row r="3" customFormat="false" ht="15" hidden="false" customHeight="false" outlineLevel="0" collapsed="false">
      <c r="A3" s="15" t="s">
        <v>536</v>
      </c>
      <c r="B3" s="15" t="s">
        <v>9</v>
      </c>
    </row>
    <row r="4" customFormat="false" ht="15" hidden="false" customHeight="false" outlineLevel="0" collapsed="false">
      <c r="A4" s="2" t="s">
        <v>537</v>
      </c>
      <c r="B4" s="16" t="n">
        <f aca="false">'הצעת מחיר'!H15</f>
        <v>61625</v>
      </c>
    </row>
    <row r="5" customFormat="false" ht="15" hidden="false" customHeight="false" outlineLevel="0" collapsed="false">
      <c r="A5" s="2" t="s">
        <v>538</v>
      </c>
      <c r="B5" s="16" t="n">
        <f aca="false">'הצעת מחיר'!H38</f>
        <v>117510</v>
      </c>
    </row>
    <row r="6" customFormat="false" ht="15" hidden="false" customHeight="false" outlineLevel="0" collapsed="false">
      <c r="A6" s="2" t="s">
        <v>539</v>
      </c>
      <c r="B6" s="16" t="n">
        <f aca="false">'הצעת מחיר'!H45</f>
        <v>246000</v>
      </c>
    </row>
    <row r="7" customFormat="false" ht="15" hidden="false" customHeight="false" outlineLevel="0" collapsed="false">
      <c r="A7" s="2" t="s">
        <v>540</v>
      </c>
      <c r="B7" s="16" t="n">
        <f aca="false">'הצעת מחיר'!H51</f>
        <v>7824</v>
      </c>
    </row>
    <row r="8" customFormat="false" ht="15" hidden="false" customHeight="false" outlineLevel="0" collapsed="false">
      <c r="A8" s="2" t="s">
        <v>541</v>
      </c>
      <c r="B8" s="16" t="n">
        <f aca="false">'הצעת מחיר'!H87</f>
        <v>136840</v>
      </c>
    </row>
    <row r="9" customFormat="false" ht="15" hidden="false" customHeight="false" outlineLevel="0" collapsed="false">
      <c r="A9" s="2" t="s">
        <v>542</v>
      </c>
      <c r="B9" s="16" t="n">
        <f aca="false">'הצעת מחיר'!H105</f>
        <v>97760</v>
      </c>
    </row>
    <row r="10" customFormat="false" ht="15" hidden="false" customHeight="false" outlineLevel="0" collapsed="false">
      <c r="A10" s="2" t="s">
        <v>543</v>
      </c>
      <c r="B10" s="16" t="n">
        <f aca="false">'הצעת מחיר'!H128</f>
        <v>89605</v>
      </c>
    </row>
    <row r="11" customFormat="false" ht="15" hidden="false" customHeight="false" outlineLevel="0" collapsed="false">
      <c r="A11" s="2" t="s">
        <v>544</v>
      </c>
      <c r="B11" s="16" t="n">
        <f aca="false">'הצעת מחיר'!H135</f>
        <v>27050</v>
      </c>
    </row>
    <row r="12" customFormat="false" ht="15" hidden="false" customHeight="false" outlineLevel="0" collapsed="false">
      <c r="A12" s="2" t="s">
        <v>545</v>
      </c>
      <c r="B12" s="16" t="n">
        <f aca="false">'הצעת מחיר'!H142</f>
        <v>61529</v>
      </c>
    </row>
    <row r="13" customFormat="false" ht="15" hidden="false" customHeight="false" outlineLevel="0" collapsed="false">
      <c r="A13" s="2" t="s">
        <v>546</v>
      </c>
      <c r="B13" s="16" t="n">
        <f aca="false">'הצעת מחיר'!H149</f>
        <v>37519</v>
      </c>
    </row>
    <row r="14" customFormat="false" ht="15" hidden="false" customHeight="false" outlineLevel="0" collapsed="false">
      <c r="A14" s="2" t="s">
        <v>547</v>
      </c>
      <c r="B14" s="16" t="n">
        <f aca="false">'הצעת מחיר'!H157</f>
        <v>81450</v>
      </c>
    </row>
    <row r="15" customFormat="false" ht="15" hidden="false" customHeight="false" outlineLevel="0" collapsed="false">
      <c r="A15" s="2" t="s">
        <v>548</v>
      </c>
      <c r="B15" s="16" t="n">
        <f aca="false">'הצעת מחיר'!H164</f>
        <v>29994.9</v>
      </c>
    </row>
    <row r="16" customFormat="false" ht="15" hidden="false" customHeight="false" outlineLevel="0" collapsed="false">
      <c r="A16" s="2" t="s">
        <v>549</v>
      </c>
      <c r="B16" s="16" t="n">
        <f aca="false">'הצעת מחיר'!H173</f>
        <v>242563</v>
      </c>
    </row>
    <row r="17" customFormat="false" ht="15" hidden="false" customHeight="false" outlineLevel="0" collapsed="false">
      <c r="A17" s="2" t="s">
        <v>550</v>
      </c>
      <c r="B17" s="16" t="n">
        <f aca="false">'הצעת מחיר'!H179</f>
        <v>55250</v>
      </c>
    </row>
    <row r="18" customFormat="false" ht="15" hidden="false" customHeight="false" outlineLevel="0" collapsed="false">
      <c r="A18" s="2" t="s">
        <v>551</v>
      </c>
      <c r="B18" s="16" t="n">
        <f aca="false">'הצעת מחיר'!H185</f>
        <v>57600</v>
      </c>
    </row>
    <row r="19" customFormat="false" ht="15" hidden="false" customHeight="false" outlineLevel="0" collapsed="false">
      <c r="A19" s="2" t="s">
        <v>552</v>
      </c>
      <c r="B19" s="16" t="n">
        <f aca="false">'הצעת מחיר'!H196</f>
        <v>232200</v>
      </c>
    </row>
    <row r="20" customFormat="false" ht="15" hidden="false" customHeight="false" outlineLevel="0" collapsed="false">
      <c r="A20" s="2" t="s">
        <v>553</v>
      </c>
      <c r="B20" s="16" t="n">
        <f aca="false">'הצעת מחיר'!H203</f>
        <v>51875</v>
      </c>
    </row>
    <row r="21" customFormat="false" ht="15" hidden="false" customHeight="false" outlineLevel="0" collapsed="false">
      <c r="A21" s="2" t="s">
        <v>554</v>
      </c>
      <c r="B21" s="16" t="n">
        <f aca="false">'הצעת מחיר'!H211</f>
        <v>23000</v>
      </c>
    </row>
    <row r="22" customFormat="false" ht="15" hidden="false" customHeight="false" outlineLevel="0" collapsed="false">
      <c r="A22" s="17" t="s">
        <v>555</v>
      </c>
      <c r="B22" s="18" t="n">
        <f aca="false">SUM(B4:B21)</f>
        <v>1657194.9</v>
      </c>
    </row>
    <row r="23" customFormat="false" ht="15" hidden="false" customHeight="false" outlineLevel="0" collapsed="false">
      <c r="A23" s="17" t="s">
        <v>556</v>
      </c>
      <c r="B23" s="18" t="n">
        <f aca="false">ROUND(B22*C23,2)</f>
        <v>248579.24</v>
      </c>
      <c r="C23" s="19" t="n">
        <v>0.15</v>
      </c>
    </row>
    <row r="24" customFormat="false" ht="15" hidden="false" customHeight="false" outlineLevel="0" collapsed="false">
      <c r="A24" s="17" t="s">
        <v>557</v>
      </c>
      <c r="B24" s="18" t="n">
        <f aca="false">B22+B23</f>
        <v>1905774.14</v>
      </c>
    </row>
    <row r="25" customFormat="false" ht="15" hidden="false" customHeight="false" outlineLevel="0" collapsed="false">
      <c r="A25" s="17" t="s">
        <v>558</v>
      </c>
      <c r="B25" s="18" t="n">
        <f aca="false">ROUND(B24*C25,2)</f>
        <v>343039.35</v>
      </c>
      <c r="C25" s="19" t="n">
        <v>0.18</v>
      </c>
    </row>
    <row r="26" customFormat="false" ht="15" hidden="false" customHeight="false" outlineLevel="0" collapsed="false">
      <c r="A26" s="17" t="s">
        <v>559</v>
      </c>
      <c r="B26" s="18" t="n">
        <f aca="false">B24+B25</f>
        <v>2248813.49</v>
      </c>
    </row>
    <row r="28" customFormat="false" ht="15" hidden="false" customHeight="false" outlineLevel="0" collapsed="false">
      <c r="A28" s="2" t="s">
        <v>560</v>
      </c>
      <c r="B28" s="16" t="n">
        <f aca="false">SUMPRODUCT(--NOT(ISNUMBER('הצעת מחיר'!E5:E211)),--ISNUMBER('הצעת מחיר'!F5:F211),'הצעת מחיר'!H5:H211)</f>
        <v>153735</v>
      </c>
    </row>
    <row r="29" customFormat="false" ht="15" hidden="false" customHeight="false" outlineLevel="0" collapsed="false">
      <c r="A29" s="2" t="s">
        <v>561</v>
      </c>
      <c r="B29" s="16" t="n">
        <f aca="false">'הצעת מחיר'!H45</f>
        <v>246000</v>
      </c>
    </row>
    <row r="30" customFormat="false" ht="60" hidden="false" customHeight="true" outlineLevel="0" collapsed="false">
      <c r="A30" s="20" t="s">
        <v>562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70"/>
    <col collapsed="false" customWidth="true" hidden="false" outlineLevel="0" max="6" min="6" style="0" width="14"/>
  </cols>
  <sheetData>
    <row r="1" customFormat="false" ht="26.1" hidden="false" customHeight="false" outlineLevel="0" collapsed="false">
      <c r="A1" s="21" t="s">
        <v>563</v>
      </c>
      <c r="B1" s="21" t="s">
        <v>564</v>
      </c>
      <c r="C1" s="21" t="s">
        <v>5</v>
      </c>
      <c r="D1" s="21" t="s">
        <v>8</v>
      </c>
      <c r="E1" s="21" t="s">
        <v>565</v>
      </c>
      <c r="F1" s="21" t="s">
        <v>566</v>
      </c>
    </row>
    <row r="2" customFormat="false" ht="23.85" hidden="false" customHeight="false" outlineLevel="0" collapsed="false">
      <c r="A2" s="22" t="s">
        <v>12</v>
      </c>
      <c r="B2" s="20" t="s">
        <v>13</v>
      </c>
      <c r="C2" s="20" t="s">
        <v>15</v>
      </c>
      <c r="D2" s="22" t="n">
        <v>8000</v>
      </c>
      <c r="E2" s="20" t="s">
        <v>567</v>
      </c>
      <c r="F2" s="22"/>
    </row>
    <row r="3" customFormat="false" ht="23.85" hidden="false" customHeight="false" outlineLevel="0" collapsed="false">
      <c r="A3" s="22" t="s">
        <v>16</v>
      </c>
      <c r="B3" s="20" t="s">
        <v>17</v>
      </c>
      <c r="C3" s="20" t="s">
        <v>15</v>
      </c>
      <c r="D3" s="22" t="n">
        <v>4000</v>
      </c>
      <c r="E3" s="20" t="s">
        <v>567</v>
      </c>
      <c r="F3" s="22"/>
    </row>
    <row r="4" customFormat="false" ht="23.85" hidden="false" customHeight="false" outlineLevel="0" collapsed="false">
      <c r="A4" s="22" t="s">
        <v>19</v>
      </c>
      <c r="B4" s="20" t="s">
        <v>20</v>
      </c>
      <c r="C4" s="20" t="s">
        <v>15</v>
      </c>
      <c r="D4" s="22" t="n">
        <v>1500</v>
      </c>
      <c r="E4" s="20" t="s">
        <v>567</v>
      </c>
      <c r="F4" s="22"/>
    </row>
    <row r="5" customFormat="false" ht="23.85" hidden="false" customHeight="false" outlineLevel="0" collapsed="false">
      <c r="A5" s="22" t="s">
        <v>22</v>
      </c>
      <c r="B5" s="20" t="s">
        <v>23</v>
      </c>
      <c r="C5" s="20" t="s">
        <v>15</v>
      </c>
      <c r="D5" s="22" t="n">
        <v>3000</v>
      </c>
      <c r="E5" s="20" t="s">
        <v>567</v>
      </c>
      <c r="F5" s="22"/>
    </row>
    <row r="6" customFormat="false" ht="23.85" hidden="false" customHeight="false" outlineLevel="0" collapsed="false">
      <c r="A6" s="22" t="s">
        <v>25</v>
      </c>
      <c r="B6" s="20" t="s">
        <v>26</v>
      </c>
      <c r="C6" s="20" t="s">
        <v>15</v>
      </c>
      <c r="D6" s="22" t="n">
        <v>5000</v>
      </c>
      <c r="E6" s="20" t="s">
        <v>567</v>
      </c>
      <c r="F6" s="22"/>
    </row>
    <row r="7" customFormat="false" ht="23.85" hidden="false" customHeight="false" outlineLevel="0" collapsed="false">
      <c r="A7" s="22" t="s">
        <v>28</v>
      </c>
      <c r="B7" s="20" t="s">
        <v>29</v>
      </c>
      <c r="C7" s="20" t="s">
        <v>15</v>
      </c>
      <c r="D7" s="22" t="n">
        <v>3000</v>
      </c>
      <c r="E7" s="20" t="s">
        <v>567</v>
      </c>
      <c r="F7" s="22"/>
    </row>
    <row r="8" customFormat="false" ht="23.85" hidden="false" customHeight="false" outlineLevel="0" collapsed="false">
      <c r="A8" s="22" t="s">
        <v>31</v>
      </c>
      <c r="B8" s="20" t="s">
        <v>32</v>
      </c>
      <c r="C8" s="20" t="s">
        <v>15</v>
      </c>
      <c r="D8" s="22" t="n">
        <v>9000</v>
      </c>
      <c r="E8" s="20" t="s">
        <v>567</v>
      </c>
      <c r="F8" s="22"/>
    </row>
    <row r="9" customFormat="false" ht="23.85" hidden="false" customHeight="false" outlineLevel="0" collapsed="false">
      <c r="A9" s="22" t="s">
        <v>34</v>
      </c>
      <c r="B9" s="20" t="s">
        <v>35</v>
      </c>
      <c r="C9" s="20" t="s">
        <v>15</v>
      </c>
      <c r="D9" s="22" t="n">
        <v>9000</v>
      </c>
      <c r="E9" s="20" t="s">
        <v>567</v>
      </c>
      <c r="F9" s="22"/>
    </row>
    <row r="10" customFormat="false" ht="23.85" hidden="false" customHeight="false" outlineLevel="0" collapsed="false">
      <c r="A10" s="22" t="s">
        <v>37</v>
      </c>
      <c r="B10" s="20" t="s">
        <v>38</v>
      </c>
      <c r="C10" s="20" t="s">
        <v>40</v>
      </c>
      <c r="D10" s="22" t="n">
        <v>85</v>
      </c>
      <c r="E10" s="20" t="s">
        <v>568</v>
      </c>
      <c r="F10" s="20" t="s">
        <v>569</v>
      </c>
    </row>
    <row r="11" customFormat="false" ht="23.85" hidden="false" customHeight="false" outlineLevel="0" collapsed="false">
      <c r="A11" s="22" t="s">
        <v>44</v>
      </c>
      <c r="B11" s="20" t="s">
        <v>45</v>
      </c>
      <c r="C11" s="20" t="s">
        <v>40</v>
      </c>
      <c r="D11" s="22" t="n">
        <v>120</v>
      </c>
      <c r="E11" s="20" t="s">
        <v>567</v>
      </c>
      <c r="F11" s="22"/>
    </row>
    <row r="12" customFormat="false" ht="23.85" hidden="false" customHeight="false" outlineLevel="0" collapsed="false">
      <c r="A12" s="22" t="s">
        <v>47</v>
      </c>
      <c r="B12" s="20" t="s">
        <v>48</v>
      </c>
      <c r="C12" s="20" t="s">
        <v>40</v>
      </c>
      <c r="D12" s="22" t="n">
        <v>120</v>
      </c>
      <c r="E12" s="20" t="s">
        <v>567</v>
      </c>
      <c r="F12" s="22"/>
    </row>
    <row r="13" customFormat="false" ht="23.85" hidden="false" customHeight="false" outlineLevel="0" collapsed="false">
      <c r="A13" s="22" t="s">
        <v>50</v>
      </c>
      <c r="B13" s="20" t="s">
        <v>51</v>
      </c>
      <c r="C13" s="20" t="s">
        <v>40</v>
      </c>
      <c r="D13" s="22" t="n">
        <v>120</v>
      </c>
      <c r="E13" s="20" t="s">
        <v>567</v>
      </c>
      <c r="F13" s="22"/>
    </row>
    <row r="14" customFormat="false" ht="23.85" hidden="false" customHeight="false" outlineLevel="0" collapsed="false">
      <c r="A14" s="22" t="s">
        <v>53</v>
      </c>
      <c r="B14" s="20" t="s">
        <v>54</v>
      </c>
      <c r="C14" s="20" t="s">
        <v>40</v>
      </c>
      <c r="D14" s="22" t="n">
        <v>50</v>
      </c>
      <c r="E14" s="20" t="s">
        <v>567</v>
      </c>
      <c r="F14" s="22"/>
    </row>
    <row r="15" customFormat="false" ht="26.1" hidden="false" customHeight="false" outlineLevel="0" collapsed="false">
      <c r="A15" s="22" t="s">
        <v>56</v>
      </c>
      <c r="B15" s="20" t="s">
        <v>57</v>
      </c>
      <c r="C15" s="20" t="s">
        <v>40</v>
      </c>
      <c r="D15" s="22" t="n">
        <v>90</v>
      </c>
      <c r="E15" s="20" t="s">
        <v>570</v>
      </c>
      <c r="F15" s="22"/>
    </row>
    <row r="16" customFormat="false" ht="23.85" hidden="false" customHeight="false" outlineLevel="0" collapsed="false">
      <c r="A16" s="22" t="s">
        <v>59</v>
      </c>
      <c r="B16" s="20" t="s">
        <v>60</v>
      </c>
      <c r="C16" s="20" t="s">
        <v>15</v>
      </c>
      <c r="D16" s="22" t="n">
        <v>2000</v>
      </c>
      <c r="E16" s="20" t="s">
        <v>567</v>
      </c>
      <c r="F16" s="22"/>
    </row>
    <row r="17" customFormat="false" ht="23.85" hidden="false" customHeight="false" outlineLevel="0" collapsed="false">
      <c r="A17" s="22" t="s">
        <v>62</v>
      </c>
      <c r="B17" s="20" t="s">
        <v>63</v>
      </c>
      <c r="C17" s="20" t="s">
        <v>65</v>
      </c>
      <c r="D17" s="22" t="n">
        <v>2500</v>
      </c>
      <c r="E17" s="20" t="s">
        <v>567</v>
      </c>
      <c r="F17" s="22"/>
    </row>
    <row r="18" customFormat="false" ht="23.85" hidden="false" customHeight="false" outlineLevel="0" collapsed="false">
      <c r="A18" s="22" t="s">
        <v>66</v>
      </c>
      <c r="B18" s="20" t="s">
        <v>67</v>
      </c>
      <c r="C18" s="20" t="s">
        <v>15</v>
      </c>
      <c r="D18" s="22" t="n">
        <v>6000</v>
      </c>
      <c r="E18" s="20" t="s">
        <v>567</v>
      </c>
      <c r="F18" s="22"/>
    </row>
    <row r="19" customFormat="false" ht="23.85" hidden="false" customHeight="false" outlineLevel="0" collapsed="false">
      <c r="A19" s="22" t="s">
        <v>69</v>
      </c>
      <c r="B19" s="20" t="s">
        <v>70</v>
      </c>
      <c r="C19" s="20" t="s">
        <v>15</v>
      </c>
      <c r="D19" s="22" t="n">
        <v>3500</v>
      </c>
      <c r="E19" s="20" t="s">
        <v>567</v>
      </c>
      <c r="F19" s="22"/>
    </row>
    <row r="20" customFormat="false" ht="23.85" hidden="false" customHeight="false" outlineLevel="0" collapsed="false">
      <c r="A20" s="22" t="s">
        <v>72</v>
      </c>
      <c r="B20" s="20" t="s">
        <v>73</v>
      </c>
      <c r="C20" s="20" t="s">
        <v>15</v>
      </c>
      <c r="D20" s="22" t="n">
        <v>8000</v>
      </c>
      <c r="E20" s="20" t="s">
        <v>567</v>
      </c>
      <c r="F20" s="22"/>
    </row>
    <row r="21" customFormat="false" ht="23.85" hidden="false" customHeight="false" outlineLevel="0" collapsed="false">
      <c r="A21" s="22" t="s">
        <v>75</v>
      </c>
      <c r="B21" s="20" t="s">
        <v>76</v>
      </c>
      <c r="C21" s="20" t="s">
        <v>15</v>
      </c>
      <c r="D21" s="22" t="n">
        <v>4000</v>
      </c>
      <c r="E21" s="20" t="s">
        <v>567</v>
      </c>
      <c r="F21" s="22"/>
    </row>
    <row r="22" customFormat="false" ht="23.85" hidden="false" customHeight="false" outlineLevel="0" collapsed="false">
      <c r="A22" s="22" t="s">
        <v>78</v>
      </c>
      <c r="B22" s="20" t="s">
        <v>79</v>
      </c>
      <c r="C22" s="20" t="s">
        <v>15</v>
      </c>
      <c r="D22" s="22" t="n">
        <v>3000</v>
      </c>
      <c r="E22" s="20" t="s">
        <v>567</v>
      </c>
      <c r="F22" s="22"/>
    </row>
    <row r="23" customFormat="false" ht="23.85" hidden="false" customHeight="false" outlineLevel="0" collapsed="false">
      <c r="A23" s="22" t="s">
        <v>81</v>
      </c>
      <c r="B23" s="20" t="s">
        <v>82</v>
      </c>
      <c r="C23" s="20" t="s">
        <v>15</v>
      </c>
      <c r="D23" s="22" t="n">
        <v>2500</v>
      </c>
      <c r="E23" s="20" t="s">
        <v>567</v>
      </c>
      <c r="F23" s="22"/>
    </row>
    <row r="24" customFormat="false" ht="23.85" hidden="false" customHeight="false" outlineLevel="0" collapsed="false">
      <c r="A24" s="22" t="s">
        <v>84</v>
      </c>
      <c r="B24" s="20" t="s">
        <v>85</v>
      </c>
      <c r="C24" s="20" t="s">
        <v>15</v>
      </c>
      <c r="D24" s="22" t="n">
        <v>2000</v>
      </c>
      <c r="E24" s="20" t="s">
        <v>567</v>
      </c>
      <c r="F24" s="22"/>
    </row>
    <row r="25" customFormat="false" ht="23.85" hidden="false" customHeight="false" outlineLevel="0" collapsed="false">
      <c r="A25" s="22" t="s">
        <v>87</v>
      </c>
      <c r="B25" s="20" t="s">
        <v>88</v>
      </c>
      <c r="C25" s="20" t="s">
        <v>90</v>
      </c>
      <c r="D25" s="22" t="n">
        <v>170</v>
      </c>
      <c r="E25" s="20" t="s">
        <v>567</v>
      </c>
      <c r="F25" s="22"/>
    </row>
    <row r="26" customFormat="false" ht="23.85" hidden="false" customHeight="false" outlineLevel="0" collapsed="false">
      <c r="A26" s="22" t="s">
        <v>92</v>
      </c>
      <c r="B26" s="20" t="s">
        <v>93</v>
      </c>
      <c r="C26" s="20" t="s">
        <v>15</v>
      </c>
      <c r="D26" s="22" t="n">
        <v>28000</v>
      </c>
      <c r="E26" s="20" t="s">
        <v>567</v>
      </c>
      <c r="F26" s="22"/>
    </row>
    <row r="27" customFormat="false" ht="23.85" hidden="false" customHeight="false" outlineLevel="0" collapsed="false">
      <c r="A27" s="22" t="s">
        <v>95</v>
      </c>
      <c r="B27" s="20" t="s">
        <v>96</v>
      </c>
      <c r="C27" s="20" t="s">
        <v>15</v>
      </c>
      <c r="D27" s="22" t="n">
        <v>3000</v>
      </c>
      <c r="E27" s="20" t="s">
        <v>567</v>
      </c>
      <c r="F27" s="22"/>
    </row>
    <row r="28" customFormat="false" ht="23.85" hidden="false" customHeight="false" outlineLevel="0" collapsed="false">
      <c r="A28" s="22" t="s">
        <v>98</v>
      </c>
      <c r="B28" s="20" t="s">
        <v>99</v>
      </c>
      <c r="C28" s="20" t="s">
        <v>15</v>
      </c>
      <c r="D28" s="22" t="n">
        <v>4500</v>
      </c>
      <c r="E28" s="20" t="s">
        <v>567</v>
      </c>
      <c r="F28" s="22"/>
    </row>
    <row r="29" customFormat="false" ht="23.85" hidden="false" customHeight="false" outlineLevel="0" collapsed="false">
      <c r="A29" s="22" t="s">
        <v>101</v>
      </c>
      <c r="B29" s="20" t="s">
        <v>102</v>
      </c>
      <c r="C29" s="20" t="s">
        <v>15</v>
      </c>
      <c r="D29" s="22" t="n">
        <v>3000</v>
      </c>
      <c r="E29" s="20" t="s">
        <v>567</v>
      </c>
      <c r="F29" s="22"/>
    </row>
    <row r="30" customFormat="false" ht="23.85" hidden="false" customHeight="false" outlineLevel="0" collapsed="false">
      <c r="A30" s="22" t="s">
        <v>104</v>
      </c>
      <c r="B30" s="20" t="s">
        <v>105</v>
      </c>
      <c r="C30" s="20" t="s">
        <v>40</v>
      </c>
      <c r="D30" s="22" t="n">
        <v>100</v>
      </c>
      <c r="E30" s="20" t="s">
        <v>567</v>
      </c>
      <c r="F30" s="22"/>
    </row>
    <row r="31" customFormat="false" ht="15" hidden="false" customHeight="false" outlineLevel="0" collapsed="false">
      <c r="A31" s="22" t="s">
        <v>109</v>
      </c>
      <c r="B31" s="20" t="s">
        <v>110</v>
      </c>
      <c r="C31" s="20" t="s">
        <v>15</v>
      </c>
      <c r="D31" s="22" t="n">
        <v>70000</v>
      </c>
      <c r="E31" s="20" t="s">
        <v>571</v>
      </c>
      <c r="F31" s="22"/>
    </row>
    <row r="32" customFormat="false" ht="15" hidden="false" customHeight="false" outlineLevel="0" collapsed="false">
      <c r="A32" s="22" t="s">
        <v>112</v>
      </c>
      <c r="B32" s="20" t="s">
        <v>113</v>
      </c>
      <c r="C32" s="20" t="s">
        <v>15</v>
      </c>
      <c r="D32" s="22" t="n">
        <v>120000</v>
      </c>
      <c r="E32" s="20" t="s">
        <v>571</v>
      </c>
      <c r="F32" s="22"/>
    </row>
    <row r="33" customFormat="false" ht="15" hidden="false" customHeight="false" outlineLevel="0" collapsed="false">
      <c r="A33" s="22" t="s">
        <v>115</v>
      </c>
      <c r="B33" s="20" t="s">
        <v>116</v>
      </c>
      <c r="C33" s="20" t="s">
        <v>15</v>
      </c>
      <c r="D33" s="22" t="n">
        <v>38000</v>
      </c>
      <c r="E33" s="20" t="s">
        <v>571</v>
      </c>
      <c r="F33" s="22"/>
    </row>
    <row r="34" customFormat="false" ht="15" hidden="false" customHeight="false" outlineLevel="0" collapsed="false">
      <c r="A34" s="22" t="s">
        <v>118</v>
      </c>
      <c r="B34" s="20" t="s">
        <v>119</v>
      </c>
      <c r="C34" s="20" t="s">
        <v>15</v>
      </c>
      <c r="D34" s="22" t="n">
        <v>18000</v>
      </c>
      <c r="E34" s="20" t="s">
        <v>571</v>
      </c>
      <c r="F34" s="22"/>
    </row>
    <row r="35" customFormat="false" ht="23.85" hidden="false" customHeight="false" outlineLevel="0" collapsed="false">
      <c r="A35" s="22" t="s">
        <v>123</v>
      </c>
      <c r="B35" s="20" t="s">
        <v>124</v>
      </c>
      <c r="C35" s="20" t="s">
        <v>40</v>
      </c>
      <c r="D35" s="22" t="n">
        <v>300</v>
      </c>
      <c r="E35" s="20" t="s">
        <v>567</v>
      </c>
      <c r="F35" s="22"/>
    </row>
    <row r="36" customFormat="false" ht="23.85" hidden="false" customHeight="false" outlineLevel="0" collapsed="false">
      <c r="A36" s="22" t="s">
        <v>126</v>
      </c>
      <c r="B36" s="20" t="s">
        <v>127</v>
      </c>
      <c r="C36" s="20" t="s">
        <v>40</v>
      </c>
      <c r="D36" s="22" t="n">
        <v>300</v>
      </c>
      <c r="E36" s="20" t="s">
        <v>567</v>
      </c>
      <c r="F36" s="22"/>
    </row>
    <row r="37" customFormat="false" ht="23.85" hidden="false" customHeight="false" outlineLevel="0" collapsed="false">
      <c r="A37" s="22" t="s">
        <v>129</v>
      </c>
      <c r="B37" s="20" t="s">
        <v>130</v>
      </c>
      <c r="C37" s="20" t="s">
        <v>40</v>
      </c>
      <c r="D37" s="22" t="n">
        <v>300</v>
      </c>
      <c r="E37" s="20" t="s">
        <v>567</v>
      </c>
      <c r="F37" s="22"/>
    </row>
    <row r="38" customFormat="false" ht="23.85" hidden="false" customHeight="false" outlineLevel="0" collapsed="false">
      <c r="A38" s="22" t="s">
        <v>134</v>
      </c>
      <c r="B38" s="20" t="s">
        <v>135</v>
      </c>
      <c r="C38" s="20" t="s">
        <v>65</v>
      </c>
      <c r="D38" s="22" t="n">
        <v>800</v>
      </c>
      <c r="E38" s="20" t="s">
        <v>567</v>
      </c>
      <c r="F38" s="22"/>
    </row>
    <row r="39" customFormat="false" ht="23.85" hidden="false" customHeight="false" outlineLevel="0" collapsed="false">
      <c r="A39" s="22" t="s">
        <v>137</v>
      </c>
      <c r="B39" s="20" t="s">
        <v>138</v>
      </c>
      <c r="C39" s="20" t="s">
        <v>65</v>
      </c>
      <c r="D39" s="22" t="n">
        <v>1100</v>
      </c>
      <c r="E39" s="20" t="s">
        <v>567</v>
      </c>
      <c r="F39" s="22"/>
    </row>
    <row r="40" customFormat="false" ht="23.85" hidden="false" customHeight="false" outlineLevel="0" collapsed="false">
      <c r="A40" s="22" t="s">
        <v>140</v>
      </c>
      <c r="B40" s="20" t="s">
        <v>141</v>
      </c>
      <c r="C40" s="20" t="s">
        <v>65</v>
      </c>
      <c r="D40" s="22" t="n">
        <v>150</v>
      </c>
      <c r="E40" s="20" t="s">
        <v>567</v>
      </c>
      <c r="F40" s="22"/>
    </row>
    <row r="41" customFormat="false" ht="23.85" hidden="false" customHeight="false" outlineLevel="0" collapsed="false">
      <c r="A41" s="22" t="s">
        <v>143</v>
      </c>
      <c r="B41" s="20" t="s">
        <v>144</v>
      </c>
      <c r="C41" s="20" t="s">
        <v>65</v>
      </c>
      <c r="D41" s="22" t="n">
        <v>150</v>
      </c>
      <c r="E41" s="20" t="s">
        <v>567</v>
      </c>
      <c r="F41" s="22"/>
    </row>
    <row r="42" customFormat="false" ht="23.85" hidden="false" customHeight="false" outlineLevel="0" collapsed="false">
      <c r="A42" s="22" t="s">
        <v>146</v>
      </c>
      <c r="B42" s="20" t="s">
        <v>147</v>
      </c>
      <c r="C42" s="20" t="s">
        <v>65</v>
      </c>
      <c r="D42" s="22" t="n">
        <v>600</v>
      </c>
      <c r="E42" s="20" t="s">
        <v>567</v>
      </c>
      <c r="F42" s="22"/>
    </row>
    <row r="43" customFormat="false" ht="23.85" hidden="false" customHeight="false" outlineLevel="0" collapsed="false">
      <c r="A43" s="22" t="s">
        <v>149</v>
      </c>
      <c r="B43" s="20" t="s">
        <v>150</v>
      </c>
      <c r="C43" s="20" t="s">
        <v>65</v>
      </c>
      <c r="D43" s="22" t="n">
        <v>300</v>
      </c>
      <c r="E43" s="20" t="s">
        <v>567</v>
      </c>
      <c r="F43" s="22"/>
    </row>
    <row r="44" customFormat="false" ht="23.85" hidden="false" customHeight="false" outlineLevel="0" collapsed="false">
      <c r="A44" s="22" t="s">
        <v>152</v>
      </c>
      <c r="B44" s="20" t="s">
        <v>153</v>
      </c>
      <c r="C44" s="20" t="s">
        <v>65</v>
      </c>
      <c r="D44" s="22" t="n">
        <v>450</v>
      </c>
      <c r="E44" s="20" t="s">
        <v>567</v>
      </c>
      <c r="F44" s="22"/>
    </row>
    <row r="45" customFormat="false" ht="23.85" hidden="false" customHeight="false" outlineLevel="0" collapsed="false">
      <c r="A45" s="22" t="s">
        <v>155</v>
      </c>
      <c r="B45" s="20" t="s">
        <v>156</v>
      </c>
      <c r="C45" s="20" t="s">
        <v>65</v>
      </c>
      <c r="D45" s="22" t="n">
        <v>450</v>
      </c>
      <c r="E45" s="20" t="s">
        <v>567</v>
      </c>
      <c r="F45" s="22"/>
    </row>
    <row r="46" customFormat="false" ht="23.85" hidden="false" customHeight="false" outlineLevel="0" collapsed="false">
      <c r="A46" s="22" t="s">
        <v>158</v>
      </c>
      <c r="B46" s="20" t="s">
        <v>159</v>
      </c>
      <c r="C46" s="20" t="s">
        <v>65</v>
      </c>
      <c r="D46" s="22" t="n">
        <v>600</v>
      </c>
      <c r="E46" s="20" t="s">
        <v>567</v>
      </c>
      <c r="F46" s="22"/>
    </row>
    <row r="47" customFormat="false" ht="23.85" hidden="false" customHeight="false" outlineLevel="0" collapsed="false">
      <c r="A47" s="22" t="s">
        <v>161</v>
      </c>
      <c r="B47" s="20" t="s">
        <v>162</v>
      </c>
      <c r="C47" s="20" t="s">
        <v>65</v>
      </c>
      <c r="D47" s="22" t="n">
        <v>250</v>
      </c>
      <c r="E47" s="20" t="s">
        <v>567</v>
      </c>
      <c r="F47" s="22"/>
    </row>
    <row r="48" customFormat="false" ht="23.85" hidden="false" customHeight="false" outlineLevel="0" collapsed="false">
      <c r="A48" s="22" t="s">
        <v>164</v>
      </c>
      <c r="B48" s="20" t="s">
        <v>165</v>
      </c>
      <c r="C48" s="20" t="s">
        <v>65</v>
      </c>
      <c r="D48" s="22" t="n">
        <v>650</v>
      </c>
      <c r="E48" s="20" t="s">
        <v>567</v>
      </c>
      <c r="F48" s="22"/>
    </row>
    <row r="49" customFormat="false" ht="23.85" hidden="false" customHeight="false" outlineLevel="0" collapsed="false">
      <c r="A49" s="22" t="s">
        <v>167</v>
      </c>
      <c r="B49" s="20" t="s">
        <v>168</v>
      </c>
      <c r="C49" s="20" t="s">
        <v>65</v>
      </c>
      <c r="D49" s="22" t="n">
        <v>1500</v>
      </c>
      <c r="E49" s="20" t="s">
        <v>567</v>
      </c>
      <c r="F49" s="22"/>
    </row>
    <row r="50" customFormat="false" ht="23.85" hidden="false" customHeight="false" outlineLevel="0" collapsed="false">
      <c r="A50" s="22" t="s">
        <v>170</v>
      </c>
      <c r="B50" s="20" t="s">
        <v>171</v>
      </c>
      <c r="C50" s="20" t="s">
        <v>65</v>
      </c>
      <c r="D50" s="22" t="n">
        <v>2200</v>
      </c>
      <c r="E50" s="20" t="s">
        <v>567</v>
      </c>
      <c r="F50" s="22"/>
    </row>
    <row r="51" customFormat="false" ht="23.85" hidden="false" customHeight="false" outlineLevel="0" collapsed="false">
      <c r="A51" s="22" t="s">
        <v>173</v>
      </c>
      <c r="B51" s="20" t="s">
        <v>174</v>
      </c>
      <c r="C51" s="20" t="s">
        <v>65</v>
      </c>
      <c r="D51" s="22" t="n">
        <v>1000</v>
      </c>
      <c r="E51" s="20" t="s">
        <v>567</v>
      </c>
      <c r="F51" s="22"/>
    </row>
    <row r="52" customFormat="false" ht="23.85" hidden="false" customHeight="false" outlineLevel="0" collapsed="false">
      <c r="A52" s="22" t="s">
        <v>176</v>
      </c>
      <c r="B52" s="20" t="s">
        <v>177</v>
      </c>
      <c r="C52" s="20" t="s">
        <v>65</v>
      </c>
      <c r="D52" s="22" t="n">
        <v>650</v>
      </c>
      <c r="E52" s="20" t="s">
        <v>567</v>
      </c>
      <c r="F52" s="22"/>
    </row>
    <row r="53" customFormat="false" ht="23.85" hidden="false" customHeight="false" outlineLevel="0" collapsed="false">
      <c r="A53" s="22" t="s">
        <v>179</v>
      </c>
      <c r="B53" s="20" t="s">
        <v>180</v>
      </c>
      <c r="C53" s="20" t="s">
        <v>65</v>
      </c>
      <c r="D53" s="22" t="n">
        <v>450</v>
      </c>
      <c r="E53" s="20" t="s">
        <v>567</v>
      </c>
      <c r="F53" s="22"/>
    </row>
    <row r="54" customFormat="false" ht="23.85" hidden="false" customHeight="false" outlineLevel="0" collapsed="false">
      <c r="A54" s="22" t="s">
        <v>182</v>
      </c>
      <c r="B54" s="20" t="s">
        <v>183</v>
      </c>
      <c r="C54" s="20" t="s">
        <v>65</v>
      </c>
      <c r="D54" s="22" t="n">
        <v>650</v>
      </c>
      <c r="E54" s="20" t="s">
        <v>567</v>
      </c>
      <c r="F54" s="22"/>
    </row>
    <row r="55" customFormat="false" ht="23.85" hidden="false" customHeight="false" outlineLevel="0" collapsed="false">
      <c r="A55" s="22" t="s">
        <v>185</v>
      </c>
      <c r="B55" s="20" t="s">
        <v>186</v>
      </c>
      <c r="C55" s="20" t="s">
        <v>65</v>
      </c>
      <c r="D55" s="22" t="n">
        <v>450</v>
      </c>
      <c r="E55" s="20" t="s">
        <v>567</v>
      </c>
      <c r="F55" s="22"/>
    </row>
    <row r="56" customFormat="false" ht="23.85" hidden="false" customHeight="false" outlineLevel="0" collapsed="false">
      <c r="A56" s="22" t="s">
        <v>188</v>
      </c>
      <c r="B56" s="20" t="s">
        <v>189</v>
      </c>
      <c r="C56" s="20" t="s">
        <v>65</v>
      </c>
      <c r="D56" s="22" t="n">
        <v>650</v>
      </c>
      <c r="E56" s="20" t="s">
        <v>567</v>
      </c>
      <c r="F56" s="22"/>
    </row>
    <row r="57" customFormat="false" ht="23.85" hidden="false" customHeight="false" outlineLevel="0" collapsed="false">
      <c r="A57" s="22" t="s">
        <v>191</v>
      </c>
      <c r="B57" s="20" t="s">
        <v>192</v>
      </c>
      <c r="C57" s="20" t="s">
        <v>65</v>
      </c>
      <c r="D57" s="22" t="n">
        <v>180</v>
      </c>
      <c r="E57" s="20" t="s">
        <v>567</v>
      </c>
      <c r="F57" s="22"/>
    </row>
    <row r="58" customFormat="false" ht="23.85" hidden="false" customHeight="false" outlineLevel="0" collapsed="false">
      <c r="A58" s="22" t="s">
        <v>194</v>
      </c>
      <c r="B58" s="20" t="s">
        <v>195</v>
      </c>
      <c r="C58" s="20" t="s">
        <v>65</v>
      </c>
      <c r="D58" s="22" t="n">
        <v>1800</v>
      </c>
      <c r="E58" s="20" t="s">
        <v>567</v>
      </c>
      <c r="F58" s="22"/>
    </row>
    <row r="59" customFormat="false" ht="23.85" hidden="false" customHeight="false" outlineLevel="0" collapsed="false">
      <c r="A59" s="22" t="s">
        <v>197</v>
      </c>
      <c r="B59" s="20" t="s">
        <v>198</v>
      </c>
      <c r="C59" s="20" t="s">
        <v>65</v>
      </c>
      <c r="D59" s="22" t="n">
        <v>1200</v>
      </c>
      <c r="E59" s="20" t="s">
        <v>567</v>
      </c>
      <c r="F59" s="22"/>
    </row>
    <row r="60" customFormat="false" ht="23.85" hidden="false" customHeight="false" outlineLevel="0" collapsed="false">
      <c r="A60" s="22" t="s">
        <v>200</v>
      </c>
      <c r="B60" s="20" t="s">
        <v>201</v>
      </c>
      <c r="C60" s="20" t="s">
        <v>65</v>
      </c>
      <c r="D60" s="22" t="n">
        <v>550</v>
      </c>
      <c r="E60" s="20" t="s">
        <v>567</v>
      </c>
      <c r="F60" s="22"/>
    </row>
    <row r="61" customFormat="false" ht="26.1" hidden="false" customHeight="false" outlineLevel="0" collapsed="false">
      <c r="A61" s="22" t="s">
        <v>203</v>
      </c>
      <c r="B61" s="20" t="s">
        <v>204</v>
      </c>
      <c r="C61" s="20" t="s">
        <v>206</v>
      </c>
      <c r="D61" s="22" t="n">
        <v>1200</v>
      </c>
      <c r="E61" s="20" t="s">
        <v>572</v>
      </c>
      <c r="F61" s="22"/>
    </row>
    <row r="62" customFormat="false" ht="26.1" hidden="false" customHeight="false" outlineLevel="0" collapsed="false">
      <c r="A62" s="22" t="s">
        <v>207</v>
      </c>
      <c r="B62" s="20" t="s">
        <v>208</v>
      </c>
      <c r="C62" s="20" t="s">
        <v>206</v>
      </c>
      <c r="D62" s="22" t="n">
        <v>500</v>
      </c>
      <c r="E62" s="20" t="s">
        <v>572</v>
      </c>
      <c r="F62" s="22"/>
    </row>
    <row r="63" customFormat="false" ht="23.85" hidden="false" customHeight="false" outlineLevel="0" collapsed="false">
      <c r="A63" s="22" t="s">
        <v>210</v>
      </c>
      <c r="B63" s="20" t="s">
        <v>211</v>
      </c>
      <c r="C63" s="20" t="s">
        <v>206</v>
      </c>
      <c r="D63" s="22" t="n">
        <v>700</v>
      </c>
      <c r="E63" s="20" t="s">
        <v>567</v>
      </c>
      <c r="F63" s="22"/>
    </row>
    <row r="64" customFormat="false" ht="26.1" hidden="false" customHeight="false" outlineLevel="0" collapsed="false">
      <c r="A64" s="22" t="s">
        <v>213</v>
      </c>
      <c r="B64" s="20" t="s">
        <v>214</v>
      </c>
      <c r="C64" s="20" t="s">
        <v>206</v>
      </c>
      <c r="D64" s="22" t="n">
        <v>450</v>
      </c>
      <c r="E64" s="20" t="s">
        <v>572</v>
      </c>
      <c r="F64" s="22"/>
    </row>
    <row r="65" customFormat="false" ht="26.1" hidden="false" customHeight="false" outlineLevel="0" collapsed="false">
      <c r="A65" s="22" t="s">
        <v>217</v>
      </c>
      <c r="B65" s="20" t="s">
        <v>218</v>
      </c>
      <c r="C65" s="20" t="s">
        <v>206</v>
      </c>
      <c r="D65" s="22" t="n">
        <v>900</v>
      </c>
      <c r="E65" s="20" t="s">
        <v>572</v>
      </c>
      <c r="F65" s="22"/>
    </row>
    <row r="66" customFormat="false" ht="23.85" hidden="false" customHeight="false" outlineLevel="0" collapsed="false">
      <c r="A66" s="22" t="s">
        <v>220</v>
      </c>
      <c r="B66" s="20" t="s">
        <v>221</v>
      </c>
      <c r="C66" s="20" t="s">
        <v>65</v>
      </c>
      <c r="D66" s="22" t="n">
        <v>180</v>
      </c>
      <c r="E66" s="20" t="s">
        <v>567</v>
      </c>
      <c r="F66" s="22"/>
    </row>
    <row r="67" customFormat="false" ht="23.85" hidden="false" customHeight="false" outlineLevel="0" collapsed="false">
      <c r="A67" s="22" t="s">
        <v>223</v>
      </c>
      <c r="B67" s="20" t="s">
        <v>224</v>
      </c>
      <c r="C67" s="20" t="s">
        <v>15</v>
      </c>
      <c r="D67" s="22" t="n">
        <v>20000</v>
      </c>
      <c r="E67" s="20" t="s">
        <v>567</v>
      </c>
      <c r="F67" s="22"/>
    </row>
    <row r="68" customFormat="false" ht="23.85" hidden="false" customHeight="false" outlineLevel="0" collapsed="false">
      <c r="A68" s="22" t="s">
        <v>226</v>
      </c>
      <c r="B68" s="20" t="s">
        <v>227</v>
      </c>
      <c r="C68" s="20" t="s">
        <v>15</v>
      </c>
      <c r="D68" s="22" t="n">
        <v>18000</v>
      </c>
      <c r="E68" s="20" t="s">
        <v>567</v>
      </c>
      <c r="F68" s="22"/>
    </row>
    <row r="69" customFormat="false" ht="23.85" hidden="false" customHeight="false" outlineLevel="0" collapsed="false">
      <c r="A69" s="22" t="s">
        <v>229</v>
      </c>
      <c r="B69" s="20" t="s">
        <v>230</v>
      </c>
      <c r="C69" s="20" t="s">
        <v>65</v>
      </c>
      <c r="D69" s="22" t="n">
        <v>1200</v>
      </c>
      <c r="E69" s="20" t="s">
        <v>567</v>
      </c>
      <c r="F69" s="20" t="s">
        <v>569</v>
      </c>
    </row>
    <row r="70" customFormat="false" ht="23.85" hidden="false" customHeight="false" outlineLevel="0" collapsed="false">
      <c r="A70" s="22" t="s">
        <v>233</v>
      </c>
      <c r="B70" s="20" t="s">
        <v>234</v>
      </c>
      <c r="C70" s="20" t="s">
        <v>15</v>
      </c>
      <c r="D70" s="22" t="n">
        <v>2500</v>
      </c>
      <c r="E70" s="20" t="s">
        <v>567</v>
      </c>
      <c r="F70" s="22"/>
    </row>
    <row r="71" customFormat="false" ht="26.1" hidden="false" customHeight="false" outlineLevel="0" collapsed="false">
      <c r="A71" s="22" t="s">
        <v>238</v>
      </c>
      <c r="B71" s="20" t="s">
        <v>239</v>
      </c>
      <c r="C71" s="20" t="s">
        <v>65</v>
      </c>
      <c r="D71" s="22" t="n">
        <v>270</v>
      </c>
      <c r="E71" s="20" t="s">
        <v>573</v>
      </c>
      <c r="F71" s="22"/>
    </row>
    <row r="72" customFormat="false" ht="26.1" hidden="false" customHeight="false" outlineLevel="0" collapsed="false">
      <c r="A72" s="22" t="s">
        <v>241</v>
      </c>
      <c r="B72" s="20" t="s">
        <v>242</v>
      </c>
      <c r="C72" s="20" t="s">
        <v>65</v>
      </c>
      <c r="D72" s="22" t="n">
        <v>320</v>
      </c>
      <c r="E72" s="20" t="s">
        <v>573</v>
      </c>
      <c r="F72" s="22"/>
    </row>
    <row r="73" customFormat="false" ht="23.85" hidden="false" customHeight="false" outlineLevel="0" collapsed="false">
      <c r="A73" s="22" t="s">
        <v>244</v>
      </c>
      <c r="B73" s="20" t="s">
        <v>245</v>
      </c>
      <c r="C73" s="20" t="s">
        <v>65</v>
      </c>
      <c r="D73" s="22" t="n">
        <v>380</v>
      </c>
      <c r="E73" s="20" t="s">
        <v>567</v>
      </c>
      <c r="F73" s="22"/>
    </row>
    <row r="74" customFormat="false" ht="23.85" hidden="false" customHeight="false" outlineLevel="0" collapsed="false">
      <c r="A74" s="22" t="s">
        <v>247</v>
      </c>
      <c r="B74" s="20" t="s">
        <v>248</v>
      </c>
      <c r="C74" s="20" t="s">
        <v>65</v>
      </c>
      <c r="D74" s="22" t="n">
        <v>220</v>
      </c>
      <c r="E74" s="20" t="s">
        <v>567</v>
      </c>
      <c r="F74" s="22"/>
    </row>
    <row r="75" customFormat="false" ht="26.1" hidden="false" customHeight="false" outlineLevel="0" collapsed="false">
      <c r="A75" s="22" t="s">
        <v>251</v>
      </c>
      <c r="B75" s="20" t="s">
        <v>252</v>
      </c>
      <c r="C75" s="20" t="s">
        <v>65</v>
      </c>
      <c r="D75" s="22" t="n">
        <v>900</v>
      </c>
      <c r="E75" s="20" t="s">
        <v>573</v>
      </c>
      <c r="F75" s="22"/>
    </row>
    <row r="76" customFormat="false" ht="23.85" hidden="false" customHeight="false" outlineLevel="0" collapsed="false">
      <c r="A76" s="22" t="s">
        <v>254</v>
      </c>
      <c r="B76" s="20" t="s">
        <v>255</v>
      </c>
      <c r="C76" s="20" t="s">
        <v>15</v>
      </c>
      <c r="D76" s="22" t="n">
        <v>8500</v>
      </c>
      <c r="E76" s="20" t="s">
        <v>567</v>
      </c>
      <c r="F76" s="22"/>
    </row>
    <row r="77" customFormat="false" ht="23.85" hidden="false" customHeight="false" outlineLevel="0" collapsed="false">
      <c r="A77" s="22" t="s">
        <v>257</v>
      </c>
      <c r="B77" s="20" t="s">
        <v>258</v>
      </c>
      <c r="C77" s="20" t="s">
        <v>15</v>
      </c>
      <c r="D77" s="22" t="n">
        <v>7000</v>
      </c>
      <c r="E77" s="20" t="s">
        <v>567</v>
      </c>
      <c r="F77" s="22"/>
    </row>
    <row r="78" customFormat="false" ht="23.85" hidden="false" customHeight="false" outlineLevel="0" collapsed="false">
      <c r="A78" s="22" t="s">
        <v>260</v>
      </c>
      <c r="B78" s="20" t="s">
        <v>261</v>
      </c>
      <c r="C78" s="20" t="s">
        <v>15</v>
      </c>
      <c r="D78" s="22" t="n">
        <v>4500</v>
      </c>
      <c r="E78" s="20" t="s">
        <v>567</v>
      </c>
      <c r="F78" s="22"/>
    </row>
    <row r="79" customFormat="false" ht="23.85" hidden="false" customHeight="false" outlineLevel="0" collapsed="false">
      <c r="A79" s="22" t="s">
        <v>263</v>
      </c>
      <c r="B79" s="20" t="s">
        <v>264</v>
      </c>
      <c r="C79" s="20" t="s">
        <v>15</v>
      </c>
      <c r="D79" s="22" t="n">
        <v>2500</v>
      </c>
      <c r="E79" s="20" t="s">
        <v>567</v>
      </c>
      <c r="F79" s="22"/>
    </row>
    <row r="80" customFormat="false" ht="26.1" hidden="false" customHeight="false" outlineLevel="0" collapsed="false">
      <c r="A80" s="22" t="s">
        <v>266</v>
      </c>
      <c r="B80" s="20" t="s">
        <v>267</v>
      </c>
      <c r="C80" s="20" t="s">
        <v>65</v>
      </c>
      <c r="D80" s="22" t="n">
        <v>380</v>
      </c>
      <c r="E80" s="20" t="s">
        <v>573</v>
      </c>
      <c r="F80" s="22"/>
    </row>
    <row r="81" customFormat="false" ht="23.85" hidden="false" customHeight="false" outlineLevel="0" collapsed="false">
      <c r="A81" s="22" t="s">
        <v>269</v>
      </c>
      <c r="B81" s="20" t="s">
        <v>270</v>
      </c>
      <c r="C81" s="20" t="s">
        <v>206</v>
      </c>
      <c r="D81" s="22" t="n">
        <v>750</v>
      </c>
      <c r="E81" s="20" t="s">
        <v>567</v>
      </c>
      <c r="F81" s="20" t="s">
        <v>569</v>
      </c>
    </row>
    <row r="82" customFormat="false" ht="23.85" hidden="false" customHeight="false" outlineLevel="0" collapsed="false">
      <c r="A82" s="22" t="s">
        <v>273</v>
      </c>
      <c r="B82" s="20" t="s">
        <v>274</v>
      </c>
      <c r="C82" s="20" t="s">
        <v>206</v>
      </c>
      <c r="D82" s="22" t="n">
        <v>520</v>
      </c>
      <c r="E82" s="20" t="s">
        <v>567</v>
      </c>
      <c r="F82" s="20" t="s">
        <v>569</v>
      </c>
    </row>
    <row r="83" customFormat="false" ht="23.85" hidden="false" customHeight="false" outlineLevel="0" collapsed="false">
      <c r="A83" s="22" t="s">
        <v>277</v>
      </c>
      <c r="B83" s="20" t="s">
        <v>278</v>
      </c>
      <c r="C83" s="20" t="s">
        <v>65</v>
      </c>
      <c r="D83" s="22" t="n">
        <v>350</v>
      </c>
      <c r="E83" s="20" t="s">
        <v>567</v>
      </c>
      <c r="F83" s="20" t="s">
        <v>569</v>
      </c>
    </row>
    <row r="84" customFormat="false" ht="23.85" hidden="false" customHeight="false" outlineLevel="0" collapsed="false">
      <c r="A84" s="22" t="s">
        <v>281</v>
      </c>
      <c r="B84" s="20" t="s">
        <v>282</v>
      </c>
      <c r="C84" s="20" t="s">
        <v>206</v>
      </c>
      <c r="D84" s="22" t="n">
        <v>400</v>
      </c>
      <c r="E84" s="20" t="s">
        <v>567</v>
      </c>
      <c r="F84" s="20" t="s">
        <v>569</v>
      </c>
    </row>
    <row r="85" customFormat="false" ht="23.85" hidden="false" customHeight="false" outlineLevel="0" collapsed="false">
      <c r="A85" s="22" t="s">
        <v>285</v>
      </c>
      <c r="B85" s="20" t="s">
        <v>286</v>
      </c>
      <c r="C85" s="20" t="s">
        <v>15</v>
      </c>
      <c r="D85" s="22" t="n">
        <v>650</v>
      </c>
      <c r="E85" s="20" t="s">
        <v>567</v>
      </c>
      <c r="F85" s="22"/>
    </row>
    <row r="86" customFormat="false" ht="23.85" hidden="false" customHeight="false" outlineLevel="0" collapsed="false">
      <c r="A86" s="22" t="s">
        <v>290</v>
      </c>
      <c r="B86" s="20" t="s">
        <v>291</v>
      </c>
      <c r="C86" s="20" t="s">
        <v>65</v>
      </c>
      <c r="D86" s="22" t="n">
        <v>150</v>
      </c>
      <c r="E86" s="20" t="s">
        <v>567</v>
      </c>
      <c r="F86" s="20" t="s">
        <v>569</v>
      </c>
    </row>
    <row r="87" customFormat="false" ht="23.85" hidden="false" customHeight="false" outlineLevel="0" collapsed="false">
      <c r="A87" s="22" t="s">
        <v>294</v>
      </c>
      <c r="B87" s="20" t="s">
        <v>295</v>
      </c>
      <c r="C87" s="20" t="s">
        <v>65</v>
      </c>
      <c r="D87" s="22" t="n">
        <v>200</v>
      </c>
      <c r="E87" s="20" t="s">
        <v>567</v>
      </c>
      <c r="F87" s="20" t="s">
        <v>569</v>
      </c>
    </row>
    <row r="88" customFormat="false" ht="23.85" hidden="false" customHeight="false" outlineLevel="0" collapsed="false">
      <c r="A88" s="22" t="s">
        <v>298</v>
      </c>
      <c r="B88" s="20" t="s">
        <v>299</v>
      </c>
      <c r="C88" s="20" t="s">
        <v>65</v>
      </c>
      <c r="D88" s="22" t="n">
        <v>220</v>
      </c>
      <c r="E88" s="20" t="s">
        <v>567</v>
      </c>
      <c r="F88" s="22"/>
    </row>
    <row r="89" customFormat="false" ht="23.85" hidden="false" customHeight="false" outlineLevel="0" collapsed="false">
      <c r="A89" s="22" t="s">
        <v>301</v>
      </c>
      <c r="B89" s="20" t="s">
        <v>302</v>
      </c>
      <c r="C89" s="20" t="s">
        <v>65</v>
      </c>
      <c r="D89" s="22" t="n">
        <v>320</v>
      </c>
      <c r="E89" s="20" t="s">
        <v>567</v>
      </c>
      <c r="F89" s="22"/>
    </row>
    <row r="90" customFormat="false" ht="23.85" hidden="false" customHeight="false" outlineLevel="0" collapsed="false">
      <c r="A90" s="22" t="s">
        <v>304</v>
      </c>
      <c r="B90" s="20" t="s">
        <v>305</v>
      </c>
      <c r="C90" s="20" t="s">
        <v>65</v>
      </c>
      <c r="D90" s="22" t="n">
        <v>220</v>
      </c>
      <c r="E90" s="20" t="s">
        <v>567</v>
      </c>
      <c r="F90" s="22"/>
    </row>
    <row r="91" customFormat="false" ht="23.85" hidden="false" customHeight="false" outlineLevel="0" collapsed="false">
      <c r="A91" s="22" t="s">
        <v>307</v>
      </c>
      <c r="B91" s="20" t="s">
        <v>308</v>
      </c>
      <c r="C91" s="20" t="s">
        <v>65</v>
      </c>
      <c r="D91" s="22" t="n">
        <v>300</v>
      </c>
      <c r="E91" s="20" t="s">
        <v>567</v>
      </c>
      <c r="F91" s="22"/>
    </row>
    <row r="92" customFormat="false" ht="23.85" hidden="false" customHeight="false" outlineLevel="0" collapsed="false">
      <c r="A92" s="22" t="s">
        <v>310</v>
      </c>
      <c r="B92" s="20" t="s">
        <v>311</v>
      </c>
      <c r="C92" s="20" t="s">
        <v>65</v>
      </c>
      <c r="D92" s="22" t="n">
        <v>85</v>
      </c>
      <c r="E92" s="20" t="s">
        <v>567</v>
      </c>
      <c r="F92" s="22"/>
    </row>
    <row r="93" customFormat="false" ht="23.85" hidden="false" customHeight="false" outlineLevel="0" collapsed="false">
      <c r="A93" s="22" t="s">
        <v>313</v>
      </c>
      <c r="B93" s="20" t="s">
        <v>314</v>
      </c>
      <c r="C93" s="20" t="s">
        <v>65</v>
      </c>
      <c r="D93" s="22" t="n">
        <v>350</v>
      </c>
      <c r="E93" s="20" t="s">
        <v>567</v>
      </c>
      <c r="F93" s="22"/>
    </row>
    <row r="94" customFormat="false" ht="23.85" hidden="false" customHeight="false" outlineLevel="0" collapsed="false">
      <c r="A94" s="22" t="s">
        <v>316</v>
      </c>
      <c r="B94" s="20" t="s">
        <v>317</v>
      </c>
      <c r="C94" s="20" t="s">
        <v>65</v>
      </c>
      <c r="D94" s="22" t="n">
        <v>450</v>
      </c>
      <c r="E94" s="20" t="s">
        <v>567</v>
      </c>
      <c r="F94" s="22"/>
    </row>
    <row r="95" customFormat="false" ht="23.85" hidden="false" customHeight="false" outlineLevel="0" collapsed="false">
      <c r="A95" s="22" t="s">
        <v>319</v>
      </c>
      <c r="B95" s="20" t="s">
        <v>320</v>
      </c>
      <c r="C95" s="20" t="s">
        <v>65</v>
      </c>
      <c r="D95" s="22" t="n">
        <v>300</v>
      </c>
      <c r="E95" s="20" t="s">
        <v>567</v>
      </c>
      <c r="F95" s="22"/>
    </row>
    <row r="96" customFormat="false" ht="23.85" hidden="false" customHeight="false" outlineLevel="0" collapsed="false">
      <c r="A96" s="22" t="s">
        <v>322</v>
      </c>
      <c r="B96" s="20" t="s">
        <v>323</v>
      </c>
      <c r="C96" s="20" t="s">
        <v>65</v>
      </c>
      <c r="D96" s="22" t="n">
        <v>280</v>
      </c>
      <c r="E96" s="20" t="s">
        <v>567</v>
      </c>
      <c r="F96" s="22"/>
    </row>
    <row r="97" customFormat="false" ht="23.85" hidden="false" customHeight="false" outlineLevel="0" collapsed="false">
      <c r="A97" s="22" t="s">
        <v>325</v>
      </c>
      <c r="B97" s="20" t="s">
        <v>326</v>
      </c>
      <c r="C97" s="20" t="s">
        <v>65</v>
      </c>
      <c r="D97" s="22" t="n">
        <v>240</v>
      </c>
      <c r="E97" s="20" t="s">
        <v>567</v>
      </c>
      <c r="F97" s="22"/>
    </row>
    <row r="98" customFormat="false" ht="23.85" hidden="false" customHeight="false" outlineLevel="0" collapsed="false">
      <c r="A98" s="22" t="s">
        <v>328</v>
      </c>
      <c r="B98" s="20" t="s">
        <v>329</v>
      </c>
      <c r="C98" s="20" t="s">
        <v>65</v>
      </c>
      <c r="D98" s="22" t="n">
        <v>200</v>
      </c>
      <c r="E98" s="20" t="s">
        <v>567</v>
      </c>
      <c r="F98" s="22"/>
    </row>
    <row r="99" customFormat="false" ht="23.85" hidden="false" customHeight="false" outlineLevel="0" collapsed="false">
      <c r="A99" s="22" t="s">
        <v>331</v>
      </c>
      <c r="B99" s="20" t="s">
        <v>332</v>
      </c>
      <c r="C99" s="20" t="s">
        <v>65</v>
      </c>
      <c r="D99" s="22" t="n">
        <v>300</v>
      </c>
      <c r="E99" s="20" t="s">
        <v>567</v>
      </c>
      <c r="F99" s="22"/>
    </row>
    <row r="100" customFormat="false" ht="23.85" hidden="false" customHeight="false" outlineLevel="0" collapsed="false">
      <c r="A100" s="22" t="s">
        <v>334</v>
      </c>
      <c r="B100" s="20" t="s">
        <v>335</v>
      </c>
      <c r="C100" s="20" t="s">
        <v>65</v>
      </c>
      <c r="D100" s="22" t="n">
        <v>520</v>
      </c>
      <c r="E100" s="20" t="s">
        <v>567</v>
      </c>
      <c r="F100" s="22"/>
    </row>
    <row r="101" customFormat="false" ht="23.85" hidden="false" customHeight="false" outlineLevel="0" collapsed="false">
      <c r="A101" s="22" t="s">
        <v>337</v>
      </c>
      <c r="B101" s="20" t="s">
        <v>338</v>
      </c>
      <c r="C101" s="20" t="s">
        <v>65</v>
      </c>
      <c r="D101" s="22" t="n">
        <v>600</v>
      </c>
      <c r="E101" s="20" t="s">
        <v>567</v>
      </c>
      <c r="F101" s="22"/>
    </row>
    <row r="102" customFormat="false" ht="23.85" hidden="false" customHeight="false" outlineLevel="0" collapsed="false">
      <c r="A102" s="22" t="s">
        <v>341</v>
      </c>
      <c r="B102" s="20" t="s">
        <v>342</v>
      </c>
      <c r="C102" s="20" t="s">
        <v>65</v>
      </c>
      <c r="D102" s="22" t="n">
        <v>100</v>
      </c>
      <c r="E102" s="20" t="s">
        <v>567</v>
      </c>
      <c r="F102" s="22"/>
    </row>
    <row r="103" customFormat="false" ht="23.85" hidden="false" customHeight="false" outlineLevel="0" collapsed="false">
      <c r="A103" s="22" t="s">
        <v>344</v>
      </c>
      <c r="B103" s="20" t="s">
        <v>345</v>
      </c>
      <c r="C103" s="20" t="s">
        <v>65</v>
      </c>
      <c r="D103" s="22" t="n">
        <v>280</v>
      </c>
      <c r="E103" s="20" t="s">
        <v>567</v>
      </c>
      <c r="F103" s="20" t="s">
        <v>569</v>
      </c>
    </row>
    <row r="104" customFormat="false" ht="23.85" hidden="false" customHeight="false" outlineLevel="0" collapsed="false">
      <c r="A104" s="22" t="s">
        <v>348</v>
      </c>
      <c r="B104" s="20" t="s">
        <v>349</v>
      </c>
      <c r="C104" s="20" t="s">
        <v>65</v>
      </c>
      <c r="D104" s="22" t="n">
        <v>170</v>
      </c>
      <c r="E104" s="20" t="s">
        <v>567</v>
      </c>
      <c r="F104" s="22"/>
    </row>
    <row r="105" customFormat="false" ht="23.85" hidden="false" customHeight="false" outlineLevel="0" collapsed="false">
      <c r="A105" s="22" t="s">
        <v>351</v>
      </c>
      <c r="B105" s="20" t="s">
        <v>352</v>
      </c>
      <c r="C105" s="20" t="s">
        <v>65</v>
      </c>
      <c r="D105" s="22" t="n">
        <v>300</v>
      </c>
      <c r="E105" s="20" t="s">
        <v>567</v>
      </c>
      <c r="F105" s="22"/>
    </row>
    <row r="106" customFormat="false" ht="23.85" hidden="false" customHeight="false" outlineLevel="0" collapsed="false">
      <c r="A106" s="22" t="s">
        <v>356</v>
      </c>
      <c r="B106" s="20" t="s">
        <v>357</v>
      </c>
      <c r="C106" s="20" t="s">
        <v>65</v>
      </c>
      <c r="D106" s="22" t="n">
        <v>700</v>
      </c>
      <c r="E106" s="20" t="s">
        <v>567</v>
      </c>
      <c r="F106" s="20" t="s">
        <v>569</v>
      </c>
    </row>
    <row r="107" customFormat="false" ht="23.85" hidden="false" customHeight="false" outlineLevel="0" collapsed="false">
      <c r="A107" s="22" t="s">
        <v>359</v>
      </c>
      <c r="B107" s="20" t="s">
        <v>360</v>
      </c>
      <c r="C107" s="20" t="s">
        <v>90</v>
      </c>
      <c r="D107" s="22" t="n">
        <v>150</v>
      </c>
      <c r="E107" s="20" t="s">
        <v>567</v>
      </c>
      <c r="F107" s="20" t="s">
        <v>569</v>
      </c>
    </row>
    <row r="108" customFormat="false" ht="23.85" hidden="false" customHeight="false" outlineLevel="0" collapsed="false">
      <c r="A108" s="22" t="s">
        <v>363</v>
      </c>
      <c r="B108" s="20" t="s">
        <v>364</v>
      </c>
      <c r="C108" s="20" t="s">
        <v>15</v>
      </c>
      <c r="D108" s="22" t="n">
        <v>2200</v>
      </c>
      <c r="E108" s="20" t="s">
        <v>567</v>
      </c>
      <c r="F108" s="22"/>
    </row>
    <row r="109" customFormat="false" ht="23.85" hidden="false" customHeight="false" outlineLevel="0" collapsed="false">
      <c r="A109" s="22" t="s">
        <v>366</v>
      </c>
      <c r="B109" s="20" t="s">
        <v>367</v>
      </c>
      <c r="C109" s="20" t="s">
        <v>65</v>
      </c>
      <c r="D109" s="22" t="n">
        <v>850</v>
      </c>
      <c r="E109" s="20" t="s">
        <v>567</v>
      </c>
      <c r="F109" s="20" t="s">
        <v>569</v>
      </c>
    </row>
    <row r="110" customFormat="false" ht="26.1" hidden="false" customHeight="false" outlineLevel="0" collapsed="false">
      <c r="A110" s="22" t="s">
        <v>372</v>
      </c>
      <c r="B110" s="20" t="s">
        <v>373</v>
      </c>
      <c r="C110" s="20" t="s">
        <v>40</v>
      </c>
      <c r="D110" s="22" t="n">
        <v>380</v>
      </c>
      <c r="E110" s="20" t="s">
        <v>574</v>
      </c>
      <c r="F110" s="22"/>
    </row>
    <row r="111" customFormat="false" ht="26.1" hidden="false" customHeight="false" outlineLevel="0" collapsed="false">
      <c r="A111" s="22" t="s">
        <v>375</v>
      </c>
      <c r="B111" s="20" t="s">
        <v>376</v>
      </c>
      <c r="C111" s="20" t="s">
        <v>40</v>
      </c>
      <c r="D111" s="22" t="n">
        <v>380</v>
      </c>
      <c r="E111" s="20" t="s">
        <v>574</v>
      </c>
      <c r="F111" s="22"/>
    </row>
    <row r="112" customFormat="false" ht="26.1" hidden="false" customHeight="false" outlineLevel="0" collapsed="false">
      <c r="A112" s="22" t="s">
        <v>378</v>
      </c>
      <c r="B112" s="20" t="s">
        <v>379</v>
      </c>
      <c r="C112" s="20" t="s">
        <v>40</v>
      </c>
      <c r="D112" s="22" t="n">
        <v>380</v>
      </c>
      <c r="E112" s="20" t="s">
        <v>574</v>
      </c>
      <c r="F112" s="22"/>
    </row>
    <row r="113" customFormat="false" ht="26.1" hidden="false" customHeight="false" outlineLevel="0" collapsed="false">
      <c r="A113" s="22" t="s">
        <v>381</v>
      </c>
      <c r="B113" s="20" t="s">
        <v>382</v>
      </c>
      <c r="C113" s="20" t="s">
        <v>40</v>
      </c>
      <c r="D113" s="22" t="n">
        <v>330</v>
      </c>
      <c r="E113" s="20" t="s">
        <v>574</v>
      </c>
      <c r="F113" s="22"/>
    </row>
    <row r="114" customFormat="false" ht="15" hidden="false" customHeight="false" outlineLevel="0" collapsed="false">
      <c r="A114" s="22" t="s">
        <v>386</v>
      </c>
      <c r="B114" s="20" t="s">
        <v>387</v>
      </c>
      <c r="C114" s="20" t="s">
        <v>40</v>
      </c>
      <c r="D114" s="22" t="n">
        <v>140</v>
      </c>
      <c r="E114" s="20" t="s">
        <v>575</v>
      </c>
      <c r="F114" s="22"/>
    </row>
    <row r="115" customFormat="false" ht="15" hidden="false" customHeight="false" outlineLevel="0" collapsed="false">
      <c r="A115" s="22" t="s">
        <v>389</v>
      </c>
      <c r="B115" s="20" t="s">
        <v>390</v>
      </c>
      <c r="C115" s="20" t="s">
        <v>40</v>
      </c>
      <c r="D115" s="22" t="n">
        <v>110</v>
      </c>
      <c r="E115" s="20" t="s">
        <v>575</v>
      </c>
      <c r="F115" s="22"/>
    </row>
    <row r="116" customFormat="false" ht="23.85" hidden="false" customHeight="false" outlineLevel="0" collapsed="false">
      <c r="A116" s="22" t="s">
        <v>392</v>
      </c>
      <c r="B116" s="20" t="s">
        <v>393</v>
      </c>
      <c r="C116" s="20" t="s">
        <v>15</v>
      </c>
      <c r="D116" s="22" t="n">
        <v>500</v>
      </c>
      <c r="E116" s="20" t="s">
        <v>567</v>
      </c>
      <c r="F116" s="22"/>
    </row>
    <row r="117" customFormat="false" ht="15" hidden="false" customHeight="false" outlineLevel="0" collapsed="false">
      <c r="A117" s="22" t="s">
        <v>395</v>
      </c>
      <c r="B117" s="20" t="s">
        <v>396</v>
      </c>
      <c r="C117" s="20" t="s">
        <v>40</v>
      </c>
      <c r="D117" s="22" t="n">
        <v>170</v>
      </c>
      <c r="E117" s="20" t="s">
        <v>575</v>
      </c>
      <c r="F117" s="22"/>
    </row>
    <row r="118" customFormat="false" ht="23.85" hidden="false" customHeight="false" outlineLevel="0" collapsed="false">
      <c r="A118" s="22" t="s">
        <v>400</v>
      </c>
      <c r="B118" s="20" t="s">
        <v>401</v>
      </c>
      <c r="C118" s="20" t="s">
        <v>15</v>
      </c>
      <c r="D118" s="22" t="n">
        <v>2500</v>
      </c>
      <c r="E118" s="20" t="s">
        <v>567</v>
      </c>
      <c r="F118" s="22"/>
    </row>
    <row r="119" customFormat="false" ht="23.85" hidden="false" customHeight="false" outlineLevel="0" collapsed="false">
      <c r="A119" s="22" t="s">
        <v>403</v>
      </c>
      <c r="B119" s="20" t="s">
        <v>404</v>
      </c>
      <c r="C119" s="20" t="s">
        <v>90</v>
      </c>
      <c r="D119" s="22" t="n">
        <v>520</v>
      </c>
      <c r="E119" s="20" t="s">
        <v>567</v>
      </c>
      <c r="F119" s="20" t="s">
        <v>569</v>
      </c>
    </row>
    <row r="120" customFormat="false" ht="23.85" hidden="false" customHeight="false" outlineLevel="0" collapsed="false">
      <c r="A120" s="22" t="s">
        <v>407</v>
      </c>
      <c r="B120" s="20" t="s">
        <v>408</v>
      </c>
      <c r="C120" s="20" t="s">
        <v>40</v>
      </c>
      <c r="D120" s="22" t="n">
        <v>190</v>
      </c>
      <c r="E120" s="20" t="s">
        <v>567</v>
      </c>
      <c r="F120" s="20" t="s">
        <v>569</v>
      </c>
    </row>
    <row r="121" customFormat="false" ht="23.85" hidden="false" customHeight="false" outlineLevel="0" collapsed="false">
      <c r="A121" s="22" t="s">
        <v>411</v>
      </c>
      <c r="B121" s="20" t="s">
        <v>412</v>
      </c>
      <c r="C121" s="20" t="s">
        <v>90</v>
      </c>
      <c r="D121" s="22" t="n">
        <v>230</v>
      </c>
      <c r="E121" s="20" t="s">
        <v>567</v>
      </c>
      <c r="F121" s="20" t="s">
        <v>569</v>
      </c>
    </row>
    <row r="122" customFormat="false" ht="23.85" hidden="false" customHeight="false" outlineLevel="0" collapsed="false">
      <c r="A122" s="22" t="s">
        <v>415</v>
      </c>
      <c r="B122" s="20" t="s">
        <v>416</v>
      </c>
      <c r="C122" s="20" t="s">
        <v>15</v>
      </c>
      <c r="D122" s="22" t="n">
        <v>3500</v>
      </c>
      <c r="E122" s="20" t="s">
        <v>567</v>
      </c>
      <c r="F122" s="22"/>
    </row>
    <row r="123" customFormat="false" ht="23.85" hidden="false" customHeight="false" outlineLevel="0" collapsed="false">
      <c r="A123" s="22" t="s">
        <v>420</v>
      </c>
      <c r="B123" s="20" t="s">
        <v>421</v>
      </c>
      <c r="C123" s="20" t="s">
        <v>90</v>
      </c>
      <c r="D123" s="22" t="n">
        <v>340</v>
      </c>
      <c r="E123" s="20" t="s">
        <v>567</v>
      </c>
      <c r="F123" s="22"/>
    </row>
    <row r="124" customFormat="false" ht="23.85" hidden="false" customHeight="false" outlineLevel="0" collapsed="false">
      <c r="A124" s="22" t="s">
        <v>423</v>
      </c>
      <c r="B124" s="20" t="s">
        <v>424</v>
      </c>
      <c r="C124" s="20" t="s">
        <v>90</v>
      </c>
      <c r="D124" s="22" t="n">
        <v>300</v>
      </c>
      <c r="E124" s="20" t="s">
        <v>567</v>
      </c>
      <c r="F124" s="22"/>
    </row>
    <row r="125" customFormat="false" ht="23.85" hidden="false" customHeight="false" outlineLevel="0" collapsed="false">
      <c r="A125" s="22" t="s">
        <v>426</v>
      </c>
      <c r="B125" s="20" t="s">
        <v>427</v>
      </c>
      <c r="C125" s="20" t="s">
        <v>90</v>
      </c>
      <c r="D125" s="22" t="n">
        <v>200</v>
      </c>
      <c r="E125" s="20" t="s">
        <v>567</v>
      </c>
      <c r="F125" s="22"/>
    </row>
    <row r="126" customFormat="false" ht="23.85" hidden="false" customHeight="false" outlineLevel="0" collapsed="false">
      <c r="A126" s="22" t="s">
        <v>429</v>
      </c>
      <c r="B126" s="20" t="s">
        <v>430</v>
      </c>
      <c r="C126" s="20" t="s">
        <v>90</v>
      </c>
      <c r="D126" s="22" t="n">
        <v>35</v>
      </c>
      <c r="E126" s="20" t="s">
        <v>567</v>
      </c>
      <c r="F126" s="22"/>
    </row>
    <row r="127" customFormat="false" ht="26.1" hidden="false" customHeight="false" outlineLevel="0" collapsed="false">
      <c r="A127" s="22" t="s">
        <v>434</v>
      </c>
      <c r="B127" s="20" t="s">
        <v>435</v>
      </c>
      <c r="C127" s="20" t="s">
        <v>40</v>
      </c>
      <c r="D127" s="22" t="n">
        <v>280</v>
      </c>
      <c r="E127" s="20" t="s">
        <v>576</v>
      </c>
      <c r="F127" s="22"/>
    </row>
    <row r="128" customFormat="false" ht="26.1" hidden="false" customHeight="false" outlineLevel="0" collapsed="false">
      <c r="A128" s="22" t="s">
        <v>437</v>
      </c>
      <c r="B128" s="20" t="s">
        <v>438</v>
      </c>
      <c r="C128" s="20" t="s">
        <v>40</v>
      </c>
      <c r="D128" s="22" t="n">
        <v>230</v>
      </c>
      <c r="E128" s="20" t="s">
        <v>576</v>
      </c>
      <c r="F128" s="22"/>
    </row>
    <row r="129" customFormat="false" ht="26.1" hidden="false" customHeight="false" outlineLevel="0" collapsed="false">
      <c r="A129" s="22" t="s">
        <v>440</v>
      </c>
      <c r="B129" s="20" t="s">
        <v>441</v>
      </c>
      <c r="C129" s="20" t="s">
        <v>40</v>
      </c>
      <c r="D129" s="22" t="n">
        <v>420</v>
      </c>
      <c r="E129" s="20" t="s">
        <v>577</v>
      </c>
      <c r="F129" s="22"/>
    </row>
    <row r="130" customFormat="false" ht="23.85" hidden="false" customHeight="false" outlineLevel="0" collapsed="false">
      <c r="A130" s="22" t="s">
        <v>443</v>
      </c>
      <c r="B130" s="20" t="s">
        <v>444</v>
      </c>
      <c r="C130" s="20" t="s">
        <v>90</v>
      </c>
      <c r="D130" s="22" t="n">
        <v>75</v>
      </c>
      <c r="E130" s="20" t="s">
        <v>567</v>
      </c>
      <c r="F130" s="22"/>
    </row>
    <row r="131" customFormat="false" ht="26.1" hidden="false" customHeight="false" outlineLevel="0" collapsed="false">
      <c r="A131" s="22" t="s">
        <v>446</v>
      </c>
      <c r="B131" s="20" t="s">
        <v>447</v>
      </c>
      <c r="C131" s="20" t="s">
        <v>40</v>
      </c>
      <c r="D131" s="22" t="n">
        <v>260</v>
      </c>
      <c r="E131" s="20" t="s">
        <v>576</v>
      </c>
      <c r="F131" s="22"/>
    </row>
    <row r="132" customFormat="false" ht="23.85" hidden="false" customHeight="false" outlineLevel="0" collapsed="false">
      <c r="A132" s="22" t="s">
        <v>449</v>
      </c>
      <c r="B132" s="20" t="s">
        <v>450</v>
      </c>
      <c r="C132" s="20" t="s">
        <v>90</v>
      </c>
      <c r="D132" s="22" t="n">
        <v>320</v>
      </c>
      <c r="E132" s="20" t="s">
        <v>567</v>
      </c>
      <c r="F132" s="22"/>
    </row>
    <row r="133" customFormat="false" ht="23.85" hidden="false" customHeight="false" outlineLevel="0" collapsed="false">
      <c r="A133" s="22" t="s">
        <v>455</v>
      </c>
      <c r="B133" s="20" t="s">
        <v>456</v>
      </c>
      <c r="C133" s="20" t="s">
        <v>40</v>
      </c>
      <c r="D133" s="22" t="n">
        <v>210</v>
      </c>
      <c r="E133" s="20" t="s">
        <v>567</v>
      </c>
      <c r="F133" s="22"/>
    </row>
    <row r="134" customFormat="false" ht="23.85" hidden="false" customHeight="false" outlineLevel="0" collapsed="false">
      <c r="A134" s="22" t="s">
        <v>459</v>
      </c>
      <c r="B134" s="20" t="s">
        <v>460</v>
      </c>
      <c r="C134" s="20" t="s">
        <v>15</v>
      </c>
      <c r="D134" s="22" t="n">
        <v>7000</v>
      </c>
      <c r="E134" s="20" t="s">
        <v>567</v>
      </c>
      <c r="F134" s="22"/>
    </row>
    <row r="135" customFormat="false" ht="23.85" hidden="false" customHeight="false" outlineLevel="0" collapsed="false">
      <c r="A135" s="22" t="s">
        <v>463</v>
      </c>
      <c r="B135" s="20" t="s">
        <v>464</v>
      </c>
      <c r="C135" s="20" t="s">
        <v>15</v>
      </c>
      <c r="D135" s="22" t="n">
        <v>1000</v>
      </c>
      <c r="E135" s="20" t="s">
        <v>567</v>
      </c>
      <c r="F135" s="22"/>
    </row>
    <row r="136" customFormat="false" ht="23.85" hidden="false" customHeight="false" outlineLevel="0" collapsed="false">
      <c r="A136" s="22" t="s">
        <v>468</v>
      </c>
      <c r="B136" s="20" t="s">
        <v>469</v>
      </c>
      <c r="C136" s="20" t="s">
        <v>40</v>
      </c>
      <c r="D136" s="22" t="n">
        <v>100</v>
      </c>
      <c r="E136" s="20" t="s">
        <v>567</v>
      </c>
      <c r="F136" s="22"/>
    </row>
    <row r="137" customFormat="false" ht="23.85" hidden="false" customHeight="false" outlineLevel="0" collapsed="false">
      <c r="A137" s="22" t="s">
        <v>471</v>
      </c>
      <c r="B137" s="20" t="s">
        <v>472</v>
      </c>
      <c r="C137" s="20" t="s">
        <v>40</v>
      </c>
      <c r="D137" s="22" t="n">
        <v>100</v>
      </c>
      <c r="E137" s="20" t="s">
        <v>567</v>
      </c>
      <c r="F137" s="22"/>
    </row>
    <row r="138" customFormat="false" ht="23.85" hidden="false" customHeight="false" outlineLevel="0" collapsed="false">
      <c r="A138" s="22" t="s">
        <v>473</v>
      </c>
      <c r="B138" s="20" t="s">
        <v>474</v>
      </c>
      <c r="C138" s="20" t="s">
        <v>40</v>
      </c>
      <c r="D138" s="22" t="n">
        <v>100</v>
      </c>
      <c r="E138" s="20" t="s">
        <v>567</v>
      </c>
      <c r="F138" s="22"/>
    </row>
    <row r="139" customFormat="false" ht="23.85" hidden="false" customHeight="false" outlineLevel="0" collapsed="false">
      <c r="A139" s="22" t="s">
        <v>477</v>
      </c>
      <c r="B139" s="20" t="s">
        <v>478</v>
      </c>
      <c r="C139" s="20" t="s">
        <v>65</v>
      </c>
      <c r="D139" s="22" t="n">
        <v>5000</v>
      </c>
      <c r="E139" s="20" t="s">
        <v>567</v>
      </c>
      <c r="F139" s="22"/>
    </row>
    <row r="140" customFormat="false" ht="15" hidden="false" customHeight="false" outlineLevel="0" collapsed="false">
      <c r="A140" s="22" t="s">
        <v>480</v>
      </c>
      <c r="B140" s="20" t="s">
        <v>481</v>
      </c>
      <c r="C140" s="20" t="s">
        <v>65</v>
      </c>
      <c r="D140" s="22" t="n">
        <v>1200</v>
      </c>
      <c r="E140" s="20" t="s">
        <v>578</v>
      </c>
      <c r="F140" s="22"/>
    </row>
    <row r="141" customFormat="false" ht="23.85" hidden="false" customHeight="false" outlineLevel="0" collapsed="false">
      <c r="A141" s="22" t="s">
        <v>483</v>
      </c>
      <c r="B141" s="20" t="s">
        <v>484</v>
      </c>
      <c r="C141" s="20" t="s">
        <v>65</v>
      </c>
      <c r="D141" s="22" t="n">
        <v>2500</v>
      </c>
      <c r="E141" s="20" t="s">
        <v>567</v>
      </c>
      <c r="F141" s="22"/>
    </row>
    <row r="142" customFormat="false" ht="23.85" hidden="false" customHeight="false" outlineLevel="0" collapsed="false">
      <c r="A142" s="22" t="s">
        <v>486</v>
      </c>
      <c r="B142" s="20" t="s">
        <v>487</v>
      </c>
      <c r="C142" s="20" t="s">
        <v>65</v>
      </c>
      <c r="D142" s="22" t="n">
        <v>9000</v>
      </c>
      <c r="E142" s="20" t="s">
        <v>567</v>
      </c>
      <c r="F142" s="22"/>
    </row>
    <row r="143" customFormat="false" ht="23.85" hidden="false" customHeight="false" outlineLevel="0" collapsed="false">
      <c r="A143" s="22" t="s">
        <v>489</v>
      </c>
      <c r="B143" s="20" t="s">
        <v>490</v>
      </c>
      <c r="C143" s="20" t="s">
        <v>15</v>
      </c>
      <c r="D143" s="22" t="n">
        <v>18000</v>
      </c>
      <c r="E143" s="20" t="s">
        <v>567</v>
      </c>
      <c r="F143" s="22"/>
    </row>
    <row r="144" customFormat="false" ht="23.85" hidden="false" customHeight="false" outlineLevel="0" collapsed="false">
      <c r="A144" s="22" t="s">
        <v>492</v>
      </c>
      <c r="B144" s="20" t="s">
        <v>493</v>
      </c>
      <c r="C144" s="20" t="s">
        <v>15</v>
      </c>
      <c r="D144" s="22" t="n">
        <v>9000</v>
      </c>
      <c r="E144" s="20" t="s">
        <v>567</v>
      </c>
      <c r="F144" s="22"/>
    </row>
    <row r="145" customFormat="false" ht="23.85" hidden="false" customHeight="false" outlineLevel="0" collapsed="false">
      <c r="A145" s="22" t="s">
        <v>495</v>
      </c>
      <c r="B145" s="20" t="s">
        <v>496</v>
      </c>
      <c r="C145" s="20" t="s">
        <v>15</v>
      </c>
      <c r="D145" s="22" t="n">
        <v>3500</v>
      </c>
      <c r="E145" s="20" t="s">
        <v>567</v>
      </c>
      <c r="F145" s="22"/>
    </row>
    <row r="146" customFormat="false" ht="23.85" hidden="false" customHeight="false" outlineLevel="0" collapsed="false">
      <c r="A146" s="22" t="s">
        <v>498</v>
      </c>
      <c r="B146" s="20" t="s">
        <v>499</v>
      </c>
      <c r="C146" s="20" t="s">
        <v>65</v>
      </c>
      <c r="D146" s="22" t="n">
        <v>2400</v>
      </c>
      <c r="E146" s="20" t="s">
        <v>567</v>
      </c>
      <c r="F146" s="22"/>
    </row>
    <row r="147" customFormat="false" ht="23.85" hidden="false" customHeight="false" outlineLevel="0" collapsed="false">
      <c r="A147" s="22" t="s">
        <v>504</v>
      </c>
      <c r="B147" s="20" t="s">
        <v>505</v>
      </c>
      <c r="C147" s="20" t="s">
        <v>40</v>
      </c>
      <c r="D147" s="22" t="n">
        <v>75</v>
      </c>
      <c r="E147" s="20" t="s">
        <v>567</v>
      </c>
      <c r="F147" s="22"/>
    </row>
    <row r="148" customFormat="false" ht="23.85" hidden="false" customHeight="false" outlineLevel="0" collapsed="false">
      <c r="A148" s="22" t="s">
        <v>507</v>
      </c>
      <c r="B148" s="20" t="s">
        <v>508</v>
      </c>
      <c r="C148" s="20" t="s">
        <v>15</v>
      </c>
      <c r="D148" s="22" t="n">
        <v>10000</v>
      </c>
      <c r="E148" s="20" t="s">
        <v>567</v>
      </c>
      <c r="F148" s="22"/>
    </row>
    <row r="149" customFormat="false" ht="23.85" hidden="false" customHeight="false" outlineLevel="0" collapsed="false">
      <c r="A149" s="22" t="s">
        <v>510</v>
      </c>
      <c r="B149" s="20" t="s">
        <v>511</v>
      </c>
      <c r="C149" s="20" t="s">
        <v>15</v>
      </c>
      <c r="D149" s="22" t="n">
        <v>28000</v>
      </c>
      <c r="E149" s="20" t="s">
        <v>567</v>
      </c>
      <c r="F149" s="22"/>
    </row>
    <row r="150" customFormat="false" ht="23.85" hidden="false" customHeight="false" outlineLevel="0" collapsed="false">
      <c r="A150" s="22" t="s">
        <v>513</v>
      </c>
      <c r="B150" s="20" t="s">
        <v>514</v>
      </c>
      <c r="C150" s="20" t="s">
        <v>15</v>
      </c>
      <c r="D150" s="22" t="n">
        <v>9000</v>
      </c>
      <c r="E150" s="20" t="s">
        <v>567</v>
      </c>
      <c r="F150" s="22"/>
    </row>
    <row r="151" customFormat="false" ht="23.85" hidden="false" customHeight="false" outlineLevel="0" collapsed="false">
      <c r="A151" s="22" t="s">
        <v>518</v>
      </c>
      <c r="B151" s="20" t="s">
        <v>519</v>
      </c>
      <c r="C151" s="20" t="s">
        <v>15</v>
      </c>
      <c r="D151" s="22" t="n">
        <v>10000</v>
      </c>
      <c r="E151" s="20" t="s">
        <v>567</v>
      </c>
      <c r="F151" s="22"/>
    </row>
    <row r="152" customFormat="false" ht="23.85" hidden="false" customHeight="false" outlineLevel="0" collapsed="false">
      <c r="A152" s="22" t="s">
        <v>521</v>
      </c>
      <c r="B152" s="20" t="s">
        <v>522</v>
      </c>
      <c r="C152" s="20" t="s">
        <v>15</v>
      </c>
      <c r="D152" s="22" t="n">
        <v>3500</v>
      </c>
      <c r="E152" s="20" t="s">
        <v>567</v>
      </c>
      <c r="F152" s="22"/>
    </row>
    <row r="153" customFormat="false" ht="23.85" hidden="false" customHeight="false" outlineLevel="0" collapsed="false">
      <c r="A153" s="22" t="s">
        <v>524</v>
      </c>
      <c r="B153" s="20" t="s">
        <v>525</v>
      </c>
      <c r="C153" s="20" t="s">
        <v>15</v>
      </c>
      <c r="D153" s="22" t="n">
        <v>2000</v>
      </c>
      <c r="E153" s="20" t="s">
        <v>567</v>
      </c>
      <c r="F153" s="22"/>
    </row>
    <row r="154" customFormat="false" ht="23.85" hidden="false" customHeight="false" outlineLevel="0" collapsed="false">
      <c r="A154" s="22" t="s">
        <v>527</v>
      </c>
      <c r="B154" s="20" t="s">
        <v>528</v>
      </c>
      <c r="C154" s="20" t="s">
        <v>15</v>
      </c>
      <c r="D154" s="22" t="n">
        <v>1500</v>
      </c>
      <c r="E154" s="20" t="s">
        <v>567</v>
      </c>
      <c r="F154" s="22"/>
    </row>
    <row r="155" customFormat="false" ht="23.85" hidden="false" customHeight="false" outlineLevel="0" collapsed="false">
      <c r="A155" s="22" t="s">
        <v>530</v>
      </c>
      <c r="B155" s="20" t="s">
        <v>531</v>
      </c>
      <c r="C155" s="20" t="s">
        <v>206</v>
      </c>
      <c r="D155" s="22" t="n">
        <v>250</v>
      </c>
      <c r="E155" s="20" t="s">
        <v>567</v>
      </c>
      <c r="F155" s="20" t="s">
        <v>569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60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21" t="s">
        <v>579</v>
      </c>
      <c r="B1" s="21" t="s">
        <v>580</v>
      </c>
      <c r="C1" s="21" t="s">
        <v>581</v>
      </c>
      <c r="D1" s="21" t="s">
        <v>582</v>
      </c>
    </row>
    <row r="2" customFormat="false" ht="28.35" hidden="false" customHeight="false" outlineLevel="0" collapsed="false">
      <c r="A2" s="20" t="s">
        <v>583</v>
      </c>
      <c r="B2" s="22" t="s">
        <v>584</v>
      </c>
      <c r="C2" s="22" t="s">
        <v>585</v>
      </c>
      <c r="D2" s="20" t="s">
        <v>586</v>
      </c>
    </row>
    <row r="3" customFormat="false" ht="15" hidden="false" customHeight="false" outlineLevel="0" collapsed="false">
      <c r="A3" s="20" t="s">
        <v>587</v>
      </c>
      <c r="B3" s="22" t="s">
        <v>588</v>
      </c>
      <c r="C3" s="22" t="s">
        <v>589</v>
      </c>
      <c r="D3" s="20" t="s">
        <v>590</v>
      </c>
    </row>
    <row r="4" customFormat="false" ht="28.35" hidden="false" customHeight="false" outlineLevel="0" collapsed="false">
      <c r="A4" s="20" t="s">
        <v>591</v>
      </c>
      <c r="B4" s="22" t="s">
        <v>592</v>
      </c>
      <c r="C4" s="22" t="s">
        <v>593</v>
      </c>
      <c r="D4" s="20" t="s">
        <v>594</v>
      </c>
    </row>
    <row r="5" customFormat="false" ht="15" hidden="false" customHeight="false" outlineLevel="0" collapsed="false">
      <c r="A5" s="20" t="s">
        <v>595</v>
      </c>
      <c r="B5" s="22" t="s">
        <v>596</v>
      </c>
      <c r="C5" s="22" t="s">
        <v>597</v>
      </c>
      <c r="D5" s="20" t="s">
        <v>598</v>
      </c>
    </row>
    <row r="6" customFormat="false" ht="23.85" hidden="false" customHeight="false" outlineLevel="0" collapsed="false">
      <c r="A6" s="20" t="s">
        <v>599</v>
      </c>
      <c r="B6" s="20" t="s">
        <v>600</v>
      </c>
      <c r="C6" s="22" t="s">
        <v>601</v>
      </c>
      <c r="D6" s="20" t="s">
        <v>602</v>
      </c>
    </row>
    <row r="7" customFormat="false" ht="28.35" hidden="false" customHeight="false" outlineLevel="0" collapsed="false">
      <c r="A7" s="20" t="s">
        <v>603</v>
      </c>
      <c r="B7" s="20" t="s">
        <v>604</v>
      </c>
      <c r="C7" s="22" t="s">
        <v>605</v>
      </c>
      <c r="D7" s="20" t="s">
        <v>606</v>
      </c>
    </row>
    <row r="8" customFormat="false" ht="35.05" hidden="false" customHeight="false" outlineLevel="0" collapsed="false">
      <c r="A8" s="20" t="s">
        <v>607</v>
      </c>
      <c r="B8" s="20" t="s">
        <v>608</v>
      </c>
      <c r="C8" s="22" t="s">
        <v>609</v>
      </c>
      <c r="D8" s="20" t="s">
        <v>610</v>
      </c>
    </row>
    <row r="9" customFormat="false" ht="15" hidden="false" customHeight="false" outlineLevel="0" collapsed="false">
      <c r="A9" s="20" t="s">
        <v>611</v>
      </c>
      <c r="B9" s="22" t="s">
        <v>612</v>
      </c>
      <c r="C9" s="22" t="s">
        <v>609</v>
      </c>
      <c r="D9" s="22" t="s">
        <v>609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40"/>
  </cols>
  <sheetData>
    <row r="1" customFormat="false" ht="15" hidden="false" customHeight="false" outlineLevel="0" collapsed="false">
      <c r="A1" s="23" t="s">
        <v>613</v>
      </c>
      <c r="B1" s="21" t="s">
        <v>614</v>
      </c>
      <c r="C1" s="21" t="s">
        <v>615</v>
      </c>
    </row>
    <row r="2" customFormat="false" ht="15" hidden="false" customHeight="false" outlineLevel="0" collapsed="false">
      <c r="A2" s="22" t="n">
        <v>1</v>
      </c>
      <c r="B2" s="20" t="s">
        <v>616</v>
      </c>
      <c r="C2" s="20" t="s">
        <v>617</v>
      </c>
    </row>
    <row r="3" customFormat="false" ht="23.85" hidden="false" customHeight="false" outlineLevel="0" collapsed="false">
      <c r="A3" s="22" t="n">
        <v>2</v>
      </c>
      <c r="B3" s="20" t="s">
        <v>616</v>
      </c>
      <c r="C3" s="20" t="s">
        <v>618</v>
      </c>
    </row>
    <row r="4" customFormat="false" ht="15" hidden="false" customHeight="false" outlineLevel="0" collapsed="false">
      <c r="A4" s="22" t="n">
        <v>3</v>
      </c>
      <c r="B4" s="20" t="s">
        <v>616</v>
      </c>
      <c r="C4" s="20" t="s">
        <v>619</v>
      </c>
    </row>
    <row r="5" customFormat="false" ht="15" hidden="false" customHeight="false" outlineLevel="0" collapsed="false">
      <c r="A5" s="22" t="n">
        <v>4</v>
      </c>
      <c r="B5" s="20" t="s">
        <v>616</v>
      </c>
      <c r="C5" s="20" t="s">
        <v>620</v>
      </c>
    </row>
    <row r="6" customFormat="false" ht="15" hidden="false" customHeight="false" outlineLevel="0" collapsed="false">
      <c r="A6" s="22" t="n">
        <v>5</v>
      </c>
      <c r="B6" s="20" t="s">
        <v>616</v>
      </c>
      <c r="C6" s="20" t="s">
        <v>621</v>
      </c>
    </row>
    <row r="7" customFormat="false" ht="15" hidden="false" customHeight="false" outlineLevel="0" collapsed="false">
      <c r="A7" s="22" t="n">
        <v>6</v>
      </c>
      <c r="B7" s="20" t="s">
        <v>622</v>
      </c>
      <c r="C7" s="20" t="s">
        <v>623</v>
      </c>
    </row>
    <row r="8" customFormat="false" ht="15" hidden="false" customHeight="false" outlineLevel="0" collapsed="false">
      <c r="A8" s="22" t="n">
        <v>7</v>
      </c>
      <c r="B8" s="20" t="s">
        <v>622</v>
      </c>
      <c r="C8" s="20" t="s">
        <v>624</v>
      </c>
    </row>
    <row r="9" customFormat="false" ht="15" hidden="false" customHeight="false" outlineLevel="0" collapsed="false">
      <c r="A9" s="22" t="n">
        <v>8</v>
      </c>
      <c r="B9" s="20" t="s">
        <v>616</v>
      </c>
      <c r="C9" s="20" t="s">
        <v>625</v>
      </c>
    </row>
    <row r="10" customFormat="false" ht="15" hidden="false" customHeight="false" outlineLevel="0" collapsed="false">
      <c r="A10" s="22" t="n">
        <v>9</v>
      </c>
      <c r="B10" s="20" t="s">
        <v>626</v>
      </c>
      <c r="C10" s="20" t="s">
        <v>627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21" t="s">
        <v>579</v>
      </c>
      <c r="B1" s="21" t="s">
        <v>628</v>
      </c>
    </row>
    <row r="2" customFormat="false" ht="23.85" hidden="false" customHeight="false" outlineLevel="0" collapsed="false">
      <c r="A2" s="20" t="s">
        <v>629</v>
      </c>
      <c r="B2" s="20" t="s">
        <v>630</v>
      </c>
    </row>
    <row r="3" customFormat="false" ht="15" hidden="false" customHeight="false" outlineLevel="0" collapsed="false">
      <c r="A3" s="20" t="s">
        <v>631</v>
      </c>
      <c r="B3" s="22" t="s">
        <v>632</v>
      </c>
    </row>
    <row r="4" customFormat="false" ht="15" hidden="false" customHeight="false" outlineLevel="0" collapsed="false">
      <c r="A4" s="20" t="s">
        <v>633</v>
      </c>
      <c r="B4" s="20" t="s">
        <v>634</v>
      </c>
    </row>
    <row r="5" customFormat="false" ht="15" hidden="false" customHeight="false" outlineLevel="0" collapsed="false">
      <c r="A5" s="20" t="s">
        <v>635</v>
      </c>
      <c r="B5" s="20" t="s">
        <v>636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90"/>
  </cols>
  <sheetData>
    <row r="1" customFormat="false" ht="15" hidden="false" customHeight="false" outlineLevel="0" collapsed="false">
      <c r="A1" s="21" t="s">
        <v>563</v>
      </c>
      <c r="B1" s="21" t="s">
        <v>564</v>
      </c>
      <c r="C1" s="21" t="s">
        <v>5</v>
      </c>
      <c r="D1" s="21" t="s">
        <v>637</v>
      </c>
      <c r="E1" s="21" t="s">
        <v>638</v>
      </c>
      <c r="F1" s="21" t="s">
        <v>639</v>
      </c>
    </row>
    <row r="2" customFormat="false" ht="15" hidden="false" customHeight="false" outlineLevel="0" collapsed="false">
      <c r="A2" s="22" t="s">
        <v>12</v>
      </c>
      <c r="B2" s="20" t="s">
        <v>13</v>
      </c>
      <c r="C2" s="20" t="s">
        <v>15</v>
      </c>
      <c r="D2" s="22" t="n">
        <v>1</v>
      </c>
      <c r="E2" s="22" t="s">
        <v>640</v>
      </c>
      <c r="F2" s="20" t="s">
        <v>641</v>
      </c>
    </row>
    <row r="3" customFormat="false" ht="15" hidden="false" customHeight="false" outlineLevel="0" collapsed="false">
      <c r="A3" s="22" t="s">
        <v>16</v>
      </c>
      <c r="B3" s="20" t="s">
        <v>17</v>
      </c>
      <c r="C3" s="20" t="s">
        <v>15</v>
      </c>
      <c r="D3" s="22" t="n">
        <v>1</v>
      </c>
      <c r="E3" s="22" t="s">
        <v>640</v>
      </c>
      <c r="F3" s="20" t="s">
        <v>641</v>
      </c>
    </row>
    <row r="4" customFormat="false" ht="15" hidden="false" customHeight="false" outlineLevel="0" collapsed="false">
      <c r="A4" s="22" t="s">
        <v>19</v>
      </c>
      <c r="B4" s="20" t="s">
        <v>20</v>
      </c>
      <c r="C4" s="20" t="s">
        <v>15</v>
      </c>
      <c r="D4" s="22" t="n">
        <v>1</v>
      </c>
      <c r="E4" s="22" t="s">
        <v>640</v>
      </c>
      <c r="F4" s="20" t="s">
        <v>641</v>
      </c>
    </row>
    <row r="5" customFormat="false" ht="15" hidden="false" customHeight="false" outlineLevel="0" collapsed="false">
      <c r="A5" s="22" t="s">
        <v>22</v>
      </c>
      <c r="B5" s="20" t="s">
        <v>23</v>
      </c>
      <c r="C5" s="20" t="s">
        <v>15</v>
      </c>
      <c r="D5" s="22" t="n">
        <v>1</v>
      </c>
      <c r="E5" s="22" t="s">
        <v>640</v>
      </c>
      <c r="F5" s="20" t="s">
        <v>641</v>
      </c>
    </row>
    <row r="6" customFormat="false" ht="15" hidden="false" customHeight="false" outlineLevel="0" collapsed="false">
      <c r="A6" s="22" t="s">
        <v>25</v>
      </c>
      <c r="B6" s="20" t="s">
        <v>26</v>
      </c>
      <c r="C6" s="20" t="s">
        <v>15</v>
      </c>
      <c r="D6" s="22" t="n">
        <v>1</v>
      </c>
      <c r="E6" s="22" t="s">
        <v>640</v>
      </c>
      <c r="F6" s="20" t="s">
        <v>641</v>
      </c>
    </row>
    <row r="7" customFormat="false" ht="15" hidden="false" customHeight="false" outlineLevel="0" collapsed="false">
      <c r="A7" s="22" t="s">
        <v>28</v>
      </c>
      <c r="B7" s="20" t="s">
        <v>29</v>
      </c>
      <c r="C7" s="20" t="s">
        <v>15</v>
      </c>
      <c r="D7" s="22" t="n">
        <v>1</v>
      </c>
      <c r="E7" s="22" t="s">
        <v>640</v>
      </c>
      <c r="F7" s="20" t="s">
        <v>641</v>
      </c>
    </row>
    <row r="8" customFormat="false" ht="15" hidden="false" customHeight="false" outlineLevel="0" collapsed="false">
      <c r="A8" s="22" t="s">
        <v>31</v>
      </c>
      <c r="B8" s="20" t="s">
        <v>32</v>
      </c>
      <c r="C8" s="20" t="s">
        <v>15</v>
      </c>
      <c r="D8" s="22" t="n">
        <v>1</v>
      </c>
      <c r="E8" s="22" t="s">
        <v>640</v>
      </c>
      <c r="F8" s="20" t="s">
        <v>641</v>
      </c>
    </row>
    <row r="9" customFormat="false" ht="15" hidden="false" customHeight="false" outlineLevel="0" collapsed="false">
      <c r="A9" s="22" t="s">
        <v>34</v>
      </c>
      <c r="B9" s="20" t="s">
        <v>35</v>
      </c>
      <c r="C9" s="20" t="s">
        <v>15</v>
      </c>
      <c r="D9" s="22" t="n">
        <v>1</v>
      </c>
      <c r="E9" s="22" t="s">
        <v>640</v>
      </c>
      <c r="F9" s="20" t="s">
        <v>641</v>
      </c>
    </row>
    <row r="10" customFormat="false" ht="15" hidden="false" customHeight="false" outlineLevel="0" collapsed="false">
      <c r="A10" s="22" t="s">
        <v>37</v>
      </c>
      <c r="B10" s="20" t="s">
        <v>38</v>
      </c>
      <c r="C10" s="20" t="s">
        <v>40</v>
      </c>
      <c r="D10" s="22"/>
      <c r="E10" s="22" t="s">
        <v>642</v>
      </c>
      <c r="F10" s="20" t="s">
        <v>643</v>
      </c>
    </row>
    <row r="11" customFormat="false" ht="15" hidden="false" customHeight="false" outlineLevel="0" collapsed="false">
      <c r="A11" s="22" t="s">
        <v>44</v>
      </c>
      <c r="B11" s="20" t="s">
        <v>45</v>
      </c>
      <c r="C11" s="20" t="s">
        <v>40</v>
      </c>
      <c r="D11" s="22" t="n">
        <v>62</v>
      </c>
      <c r="E11" s="22" t="s">
        <v>644</v>
      </c>
      <c r="F11" s="20" t="s">
        <v>645</v>
      </c>
    </row>
    <row r="12" customFormat="false" ht="23.85" hidden="false" customHeight="false" outlineLevel="0" collapsed="false">
      <c r="A12" s="22" t="s">
        <v>47</v>
      </c>
      <c r="B12" s="20" t="s">
        <v>48</v>
      </c>
      <c r="C12" s="20" t="s">
        <v>40</v>
      </c>
      <c r="D12" s="22" t="n">
        <v>51</v>
      </c>
      <c r="E12" s="22" t="s">
        <v>646</v>
      </c>
      <c r="F12" s="20" t="s">
        <v>647</v>
      </c>
    </row>
    <row r="13" customFormat="false" ht="15" hidden="false" customHeight="false" outlineLevel="0" collapsed="false">
      <c r="A13" s="22" t="s">
        <v>50</v>
      </c>
      <c r="B13" s="20" t="s">
        <v>51</v>
      </c>
      <c r="C13" s="20" t="s">
        <v>40</v>
      </c>
      <c r="D13" s="22" t="n">
        <v>85</v>
      </c>
      <c r="E13" s="22" t="s">
        <v>644</v>
      </c>
      <c r="F13" s="20" t="s">
        <v>645</v>
      </c>
    </row>
    <row r="14" customFormat="false" ht="15" hidden="false" customHeight="false" outlineLevel="0" collapsed="false">
      <c r="A14" s="22" t="s">
        <v>53</v>
      </c>
      <c r="B14" s="20" t="s">
        <v>54</v>
      </c>
      <c r="C14" s="20" t="s">
        <v>40</v>
      </c>
      <c r="D14" s="22" t="n">
        <v>10</v>
      </c>
      <c r="E14" s="22" t="s">
        <v>648</v>
      </c>
      <c r="F14" s="20" t="s">
        <v>649</v>
      </c>
    </row>
    <row r="15" customFormat="false" ht="15" hidden="false" customHeight="false" outlineLevel="0" collapsed="false">
      <c r="A15" s="22" t="s">
        <v>56</v>
      </c>
      <c r="B15" s="20" t="s">
        <v>57</v>
      </c>
      <c r="C15" s="20" t="s">
        <v>40</v>
      </c>
      <c r="D15" s="22" t="n">
        <v>40</v>
      </c>
      <c r="E15" s="22" t="s">
        <v>648</v>
      </c>
      <c r="F15" s="20" t="s">
        <v>649</v>
      </c>
    </row>
    <row r="16" customFormat="false" ht="15" hidden="false" customHeight="false" outlineLevel="0" collapsed="false">
      <c r="A16" s="22" t="s">
        <v>59</v>
      </c>
      <c r="B16" s="20" t="s">
        <v>60</v>
      </c>
      <c r="C16" s="20" t="s">
        <v>15</v>
      </c>
      <c r="D16" s="22" t="n">
        <v>1</v>
      </c>
      <c r="E16" s="22" t="s">
        <v>640</v>
      </c>
      <c r="F16" s="20" t="s">
        <v>641</v>
      </c>
    </row>
    <row r="17" customFormat="false" ht="15" hidden="false" customHeight="false" outlineLevel="0" collapsed="false">
      <c r="A17" s="22" t="s">
        <v>62</v>
      </c>
      <c r="B17" s="20" t="s">
        <v>63</v>
      </c>
      <c r="C17" s="20" t="s">
        <v>65</v>
      </c>
      <c r="D17" s="22" t="n">
        <v>1</v>
      </c>
      <c r="E17" s="22" t="s">
        <v>640</v>
      </c>
      <c r="F17" s="20" t="s">
        <v>641</v>
      </c>
    </row>
    <row r="18" customFormat="false" ht="23.85" hidden="false" customHeight="false" outlineLevel="0" collapsed="false">
      <c r="A18" s="22" t="s">
        <v>66</v>
      </c>
      <c r="B18" s="20" t="s">
        <v>67</v>
      </c>
      <c r="C18" s="20" t="s">
        <v>15</v>
      </c>
      <c r="D18" s="22" t="n">
        <v>1</v>
      </c>
      <c r="E18" s="22" t="s">
        <v>640</v>
      </c>
      <c r="F18" s="20" t="s">
        <v>641</v>
      </c>
    </row>
    <row r="19" customFormat="false" ht="15" hidden="false" customHeight="false" outlineLevel="0" collapsed="false">
      <c r="A19" s="22" t="s">
        <v>69</v>
      </c>
      <c r="B19" s="20" t="s">
        <v>70</v>
      </c>
      <c r="C19" s="20" t="s">
        <v>15</v>
      </c>
      <c r="D19" s="22" t="n">
        <v>1</v>
      </c>
      <c r="E19" s="22" t="s">
        <v>640</v>
      </c>
      <c r="F19" s="20" t="s">
        <v>641</v>
      </c>
    </row>
    <row r="20" customFormat="false" ht="23.85" hidden="false" customHeight="false" outlineLevel="0" collapsed="false">
      <c r="A20" s="22" t="s">
        <v>72</v>
      </c>
      <c r="B20" s="20" t="s">
        <v>73</v>
      </c>
      <c r="C20" s="20" t="s">
        <v>15</v>
      </c>
      <c r="D20" s="22" t="n">
        <v>1</v>
      </c>
      <c r="E20" s="22" t="s">
        <v>640</v>
      </c>
      <c r="F20" s="20" t="s">
        <v>641</v>
      </c>
    </row>
    <row r="21" customFormat="false" ht="15" hidden="false" customHeight="false" outlineLevel="0" collapsed="false">
      <c r="A21" s="22" t="s">
        <v>75</v>
      </c>
      <c r="B21" s="20" t="s">
        <v>76</v>
      </c>
      <c r="C21" s="20" t="s">
        <v>15</v>
      </c>
      <c r="D21" s="22" t="n">
        <v>1</v>
      </c>
      <c r="E21" s="22" t="s">
        <v>640</v>
      </c>
      <c r="F21" s="20" t="s">
        <v>641</v>
      </c>
    </row>
    <row r="22" customFormat="false" ht="15" hidden="false" customHeight="false" outlineLevel="0" collapsed="false">
      <c r="A22" s="22" t="s">
        <v>78</v>
      </c>
      <c r="B22" s="20" t="s">
        <v>79</v>
      </c>
      <c r="C22" s="20" t="s">
        <v>15</v>
      </c>
      <c r="D22" s="22" t="n">
        <v>1</v>
      </c>
      <c r="E22" s="22" t="s">
        <v>640</v>
      </c>
      <c r="F22" s="20" t="s">
        <v>641</v>
      </c>
    </row>
    <row r="23" customFormat="false" ht="15" hidden="false" customHeight="false" outlineLevel="0" collapsed="false">
      <c r="A23" s="22" t="s">
        <v>81</v>
      </c>
      <c r="B23" s="20" t="s">
        <v>82</v>
      </c>
      <c r="C23" s="20" t="s">
        <v>15</v>
      </c>
      <c r="D23" s="22" t="n">
        <v>1</v>
      </c>
      <c r="E23" s="22" t="s">
        <v>640</v>
      </c>
      <c r="F23" s="20" t="s">
        <v>641</v>
      </c>
    </row>
    <row r="24" customFormat="false" ht="15" hidden="false" customHeight="false" outlineLevel="0" collapsed="false">
      <c r="A24" s="22" t="s">
        <v>84</v>
      </c>
      <c r="B24" s="20" t="s">
        <v>85</v>
      </c>
      <c r="C24" s="20" t="s">
        <v>15</v>
      </c>
      <c r="D24" s="22" t="n">
        <v>1</v>
      </c>
      <c r="E24" s="22" t="s">
        <v>640</v>
      </c>
      <c r="F24" s="20" t="s">
        <v>641</v>
      </c>
    </row>
    <row r="25" customFormat="false" ht="23.85" hidden="false" customHeight="false" outlineLevel="0" collapsed="false">
      <c r="A25" s="22" t="s">
        <v>87</v>
      </c>
      <c r="B25" s="20" t="s">
        <v>88</v>
      </c>
      <c r="C25" s="20" t="s">
        <v>90</v>
      </c>
      <c r="D25" s="22" t="n">
        <v>45</v>
      </c>
      <c r="E25" s="22" t="s">
        <v>648</v>
      </c>
      <c r="F25" s="20" t="s">
        <v>649</v>
      </c>
    </row>
    <row r="26" customFormat="false" ht="15" hidden="false" customHeight="false" outlineLevel="0" collapsed="false">
      <c r="A26" s="22" t="s">
        <v>92</v>
      </c>
      <c r="B26" s="20" t="s">
        <v>93</v>
      </c>
      <c r="C26" s="20" t="s">
        <v>15</v>
      </c>
      <c r="D26" s="22" t="n">
        <v>1</v>
      </c>
      <c r="E26" s="22" t="s">
        <v>640</v>
      </c>
      <c r="F26" s="20" t="s">
        <v>641</v>
      </c>
    </row>
    <row r="27" customFormat="false" ht="15" hidden="false" customHeight="false" outlineLevel="0" collapsed="false">
      <c r="A27" s="22" t="s">
        <v>95</v>
      </c>
      <c r="B27" s="20" t="s">
        <v>96</v>
      </c>
      <c r="C27" s="20" t="s">
        <v>15</v>
      </c>
      <c r="D27" s="22" t="n">
        <v>1</v>
      </c>
      <c r="E27" s="22" t="s">
        <v>640</v>
      </c>
      <c r="F27" s="20" t="s">
        <v>641</v>
      </c>
    </row>
    <row r="28" customFormat="false" ht="15" hidden="false" customHeight="false" outlineLevel="0" collapsed="false">
      <c r="A28" s="22" t="s">
        <v>98</v>
      </c>
      <c r="B28" s="20" t="s">
        <v>99</v>
      </c>
      <c r="C28" s="20" t="s">
        <v>15</v>
      </c>
      <c r="D28" s="22" t="n">
        <v>1</v>
      </c>
      <c r="E28" s="22" t="s">
        <v>640</v>
      </c>
      <c r="F28" s="20" t="s">
        <v>641</v>
      </c>
    </row>
    <row r="29" customFormat="false" ht="15" hidden="false" customHeight="false" outlineLevel="0" collapsed="false">
      <c r="A29" s="22" t="s">
        <v>101</v>
      </c>
      <c r="B29" s="20" t="s">
        <v>102</v>
      </c>
      <c r="C29" s="20" t="s">
        <v>15</v>
      </c>
      <c r="D29" s="22" t="n">
        <v>1</v>
      </c>
      <c r="E29" s="22" t="s">
        <v>640</v>
      </c>
      <c r="F29" s="20" t="s">
        <v>641</v>
      </c>
    </row>
    <row r="30" customFormat="false" ht="15" hidden="false" customHeight="false" outlineLevel="0" collapsed="false">
      <c r="A30" s="22" t="s">
        <v>104</v>
      </c>
      <c r="B30" s="20" t="s">
        <v>105</v>
      </c>
      <c r="C30" s="20" t="s">
        <v>40</v>
      </c>
      <c r="D30" s="22" t="n">
        <v>100</v>
      </c>
      <c r="E30" s="22" t="s">
        <v>648</v>
      </c>
      <c r="F30" s="20" t="s">
        <v>649</v>
      </c>
    </row>
    <row r="31" customFormat="false" ht="15" hidden="false" customHeight="false" outlineLevel="0" collapsed="false">
      <c r="A31" s="22" t="s">
        <v>109</v>
      </c>
      <c r="B31" s="20" t="s">
        <v>110</v>
      </c>
      <c r="C31" s="20" t="s">
        <v>15</v>
      </c>
      <c r="D31" s="22" t="n">
        <v>1</v>
      </c>
      <c r="E31" s="22" t="s">
        <v>648</v>
      </c>
      <c r="F31" s="20" t="s">
        <v>650</v>
      </c>
    </row>
    <row r="32" customFormat="false" ht="15" hidden="false" customHeight="false" outlineLevel="0" collapsed="false">
      <c r="A32" s="22" t="s">
        <v>112</v>
      </c>
      <c r="B32" s="20" t="s">
        <v>113</v>
      </c>
      <c r="C32" s="20" t="s">
        <v>15</v>
      </c>
      <c r="D32" s="22" t="n">
        <v>1</v>
      </c>
      <c r="E32" s="22" t="s">
        <v>648</v>
      </c>
      <c r="F32" s="20" t="s">
        <v>650</v>
      </c>
    </row>
    <row r="33" customFormat="false" ht="15" hidden="false" customHeight="false" outlineLevel="0" collapsed="false">
      <c r="A33" s="22" t="s">
        <v>115</v>
      </c>
      <c r="B33" s="20" t="s">
        <v>116</v>
      </c>
      <c r="C33" s="20" t="s">
        <v>15</v>
      </c>
      <c r="D33" s="22" t="n">
        <v>1</v>
      </c>
      <c r="E33" s="22" t="s">
        <v>648</v>
      </c>
      <c r="F33" s="20" t="s">
        <v>650</v>
      </c>
    </row>
    <row r="34" customFormat="false" ht="15" hidden="false" customHeight="false" outlineLevel="0" collapsed="false">
      <c r="A34" s="22" t="s">
        <v>118</v>
      </c>
      <c r="B34" s="20" t="s">
        <v>119</v>
      </c>
      <c r="C34" s="20" t="s">
        <v>15</v>
      </c>
      <c r="D34" s="22" t="n">
        <v>1</v>
      </c>
      <c r="E34" s="22" t="s">
        <v>648</v>
      </c>
      <c r="F34" s="20" t="s">
        <v>650</v>
      </c>
    </row>
    <row r="35" customFormat="false" ht="23.85" hidden="false" customHeight="false" outlineLevel="0" collapsed="false">
      <c r="A35" s="22" t="s">
        <v>123</v>
      </c>
      <c r="B35" s="20" t="s">
        <v>124</v>
      </c>
      <c r="C35" s="20" t="s">
        <v>40</v>
      </c>
      <c r="D35" s="22" t="n">
        <v>6.3</v>
      </c>
      <c r="E35" s="22" t="s">
        <v>644</v>
      </c>
      <c r="F35" s="20" t="s">
        <v>651</v>
      </c>
    </row>
    <row r="36" customFormat="false" ht="23.85" hidden="false" customHeight="false" outlineLevel="0" collapsed="false">
      <c r="A36" s="22" t="s">
        <v>126</v>
      </c>
      <c r="B36" s="20" t="s">
        <v>127</v>
      </c>
      <c r="C36" s="20" t="s">
        <v>40</v>
      </c>
      <c r="D36" s="22" t="n">
        <v>17.7</v>
      </c>
      <c r="E36" s="22" t="s">
        <v>644</v>
      </c>
      <c r="F36" s="20" t="s">
        <v>651</v>
      </c>
    </row>
    <row r="37" customFormat="false" ht="23.85" hidden="false" customHeight="false" outlineLevel="0" collapsed="false">
      <c r="A37" s="22" t="s">
        <v>129</v>
      </c>
      <c r="B37" s="20" t="s">
        <v>130</v>
      </c>
      <c r="C37" s="20" t="s">
        <v>40</v>
      </c>
      <c r="D37" s="22" t="n">
        <v>2.08</v>
      </c>
      <c r="E37" s="22" t="s">
        <v>644</v>
      </c>
      <c r="F37" s="20" t="s">
        <v>651</v>
      </c>
    </row>
    <row r="38" customFormat="false" ht="23.85" hidden="false" customHeight="false" outlineLevel="0" collapsed="false">
      <c r="A38" s="22" t="s">
        <v>134</v>
      </c>
      <c r="B38" s="20" t="s">
        <v>135</v>
      </c>
      <c r="C38" s="20" t="s">
        <v>65</v>
      </c>
      <c r="D38" s="22" t="n">
        <v>7</v>
      </c>
      <c r="E38" s="22" t="s">
        <v>644</v>
      </c>
      <c r="F38" s="20" t="s">
        <v>652</v>
      </c>
    </row>
    <row r="39" customFormat="false" ht="23.85" hidden="false" customHeight="false" outlineLevel="0" collapsed="false">
      <c r="A39" s="22" t="s">
        <v>137</v>
      </c>
      <c r="B39" s="20" t="s">
        <v>138</v>
      </c>
      <c r="C39" s="20" t="s">
        <v>65</v>
      </c>
      <c r="D39" s="22" t="n">
        <v>7</v>
      </c>
      <c r="E39" s="22" t="s">
        <v>644</v>
      </c>
      <c r="F39" s="20" t="s">
        <v>652</v>
      </c>
    </row>
    <row r="40" customFormat="false" ht="23.85" hidden="false" customHeight="false" outlineLevel="0" collapsed="false">
      <c r="A40" s="22" t="s">
        <v>140</v>
      </c>
      <c r="B40" s="20" t="s">
        <v>141</v>
      </c>
      <c r="C40" s="20" t="s">
        <v>65</v>
      </c>
      <c r="D40" s="22" t="n">
        <v>7</v>
      </c>
      <c r="E40" s="22" t="s">
        <v>644</v>
      </c>
      <c r="F40" s="20" t="s">
        <v>652</v>
      </c>
    </row>
    <row r="41" customFormat="false" ht="23.85" hidden="false" customHeight="false" outlineLevel="0" collapsed="false">
      <c r="A41" s="22" t="s">
        <v>143</v>
      </c>
      <c r="B41" s="20" t="s">
        <v>144</v>
      </c>
      <c r="C41" s="20" t="s">
        <v>65</v>
      </c>
      <c r="D41" s="22" t="n">
        <v>7</v>
      </c>
      <c r="E41" s="22" t="s">
        <v>644</v>
      </c>
      <c r="F41" s="20" t="s">
        <v>652</v>
      </c>
    </row>
    <row r="42" customFormat="false" ht="23.85" hidden="false" customHeight="false" outlineLevel="0" collapsed="false">
      <c r="A42" s="22" t="s">
        <v>146</v>
      </c>
      <c r="B42" s="20" t="s">
        <v>147</v>
      </c>
      <c r="C42" s="20" t="s">
        <v>65</v>
      </c>
      <c r="D42" s="22" t="n">
        <v>1</v>
      </c>
      <c r="E42" s="22" t="s">
        <v>644</v>
      </c>
      <c r="F42" s="20" t="s">
        <v>652</v>
      </c>
    </row>
    <row r="43" customFormat="false" ht="23.85" hidden="false" customHeight="false" outlineLevel="0" collapsed="false">
      <c r="A43" s="22" t="s">
        <v>149</v>
      </c>
      <c r="B43" s="20" t="s">
        <v>150</v>
      </c>
      <c r="C43" s="20" t="s">
        <v>65</v>
      </c>
      <c r="D43" s="22" t="n">
        <v>6</v>
      </c>
      <c r="E43" s="22" t="s">
        <v>644</v>
      </c>
      <c r="F43" s="20" t="s">
        <v>652</v>
      </c>
    </row>
    <row r="44" customFormat="false" ht="23.85" hidden="false" customHeight="false" outlineLevel="0" collapsed="false">
      <c r="A44" s="22" t="s">
        <v>152</v>
      </c>
      <c r="B44" s="20" t="s">
        <v>153</v>
      </c>
      <c r="C44" s="20" t="s">
        <v>65</v>
      </c>
      <c r="D44" s="22" t="n">
        <v>6</v>
      </c>
      <c r="E44" s="22" t="s">
        <v>644</v>
      </c>
      <c r="F44" s="20" t="s">
        <v>652</v>
      </c>
    </row>
    <row r="45" customFormat="false" ht="23.85" hidden="false" customHeight="false" outlineLevel="0" collapsed="false">
      <c r="A45" s="22" t="s">
        <v>155</v>
      </c>
      <c r="B45" s="20" t="s">
        <v>156</v>
      </c>
      <c r="C45" s="20" t="s">
        <v>65</v>
      </c>
      <c r="D45" s="22" t="n">
        <v>10</v>
      </c>
      <c r="E45" s="22" t="s">
        <v>644</v>
      </c>
      <c r="F45" s="20" t="s">
        <v>652</v>
      </c>
    </row>
    <row r="46" customFormat="false" ht="23.85" hidden="false" customHeight="false" outlineLevel="0" collapsed="false">
      <c r="A46" s="22" t="s">
        <v>158</v>
      </c>
      <c r="B46" s="20" t="s">
        <v>159</v>
      </c>
      <c r="C46" s="20" t="s">
        <v>65</v>
      </c>
      <c r="D46" s="22" t="n">
        <v>2</v>
      </c>
      <c r="E46" s="22" t="s">
        <v>644</v>
      </c>
      <c r="F46" s="20" t="s">
        <v>652</v>
      </c>
    </row>
    <row r="47" customFormat="false" ht="23.85" hidden="false" customHeight="false" outlineLevel="0" collapsed="false">
      <c r="A47" s="22" t="s">
        <v>161</v>
      </c>
      <c r="B47" s="20" t="s">
        <v>162</v>
      </c>
      <c r="C47" s="20" t="s">
        <v>65</v>
      </c>
      <c r="D47" s="22" t="n">
        <v>7</v>
      </c>
      <c r="E47" s="22" t="s">
        <v>644</v>
      </c>
      <c r="F47" s="20" t="s">
        <v>652</v>
      </c>
    </row>
    <row r="48" customFormat="false" ht="23.85" hidden="false" customHeight="false" outlineLevel="0" collapsed="false">
      <c r="A48" s="22" t="s">
        <v>164</v>
      </c>
      <c r="B48" s="20" t="s">
        <v>165</v>
      </c>
      <c r="C48" s="20" t="s">
        <v>65</v>
      </c>
      <c r="D48" s="22" t="n">
        <v>5</v>
      </c>
      <c r="E48" s="22" t="s">
        <v>644</v>
      </c>
      <c r="F48" s="20" t="s">
        <v>652</v>
      </c>
    </row>
    <row r="49" customFormat="false" ht="23.85" hidden="false" customHeight="false" outlineLevel="0" collapsed="false">
      <c r="A49" s="22" t="s">
        <v>167</v>
      </c>
      <c r="B49" s="20" t="s">
        <v>168</v>
      </c>
      <c r="C49" s="20" t="s">
        <v>65</v>
      </c>
      <c r="D49" s="22" t="n">
        <v>1</v>
      </c>
      <c r="E49" s="22" t="s">
        <v>644</v>
      </c>
      <c r="F49" s="20" t="s">
        <v>652</v>
      </c>
    </row>
    <row r="50" customFormat="false" ht="23.85" hidden="false" customHeight="false" outlineLevel="0" collapsed="false">
      <c r="A50" s="22" t="s">
        <v>170</v>
      </c>
      <c r="B50" s="20" t="s">
        <v>171</v>
      </c>
      <c r="C50" s="20" t="s">
        <v>65</v>
      </c>
      <c r="D50" s="22" t="n">
        <v>1</v>
      </c>
      <c r="E50" s="22" t="s">
        <v>644</v>
      </c>
      <c r="F50" s="20" t="s">
        <v>652</v>
      </c>
    </row>
    <row r="51" customFormat="false" ht="23.85" hidden="false" customHeight="false" outlineLevel="0" collapsed="false">
      <c r="A51" s="22" t="s">
        <v>173</v>
      </c>
      <c r="B51" s="20" t="s">
        <v>174</v>
      </c>
      <c r="C51" s="20" t="s">
        <v>65</v>
      </c>
      <c r="D51" s="22" t="n">
        <v>1</v>
      </c>
      <c r="E51" s="22" t="s">
        <v>644</v>
      </c>
      <c r="F51" s="20" t="s">
        <v>652</v>
      </c>
    </row>
    <row r="52" customFormat="false" ht="23.85" hidden="false" customHeight="false" outlineLevel="0" collapsed="false">
      <c r="A52" s="22" t="s">
        <v>176</v>
      </c>
      <c r="B52" s="20" t="s">
        <v>177</v>
      </c>
      <c r="C52" s="20" t="s">
        <v>65</v>
      </c>
      <c r="D52" s="22" t="n">
        <v>3</v>
      </c>
      <c r="E52" s="22" t="s">
        <v>644</v>
      </c>
      <c r="F52" s="20" t="s">
        <v>652</v>
      </c>
    </row>
    <row r="53" customFormat="false" ht="23.85" hidden="false" customHeight="false" outlineLevel="0" collapsed="false">
      <c r="A53" s="22" t="s">
        <v>179</v>
      </c>
      <c r="B53" s="20" t="s">
        <v>180</v>
      </c>
      <c r="C53" s="20" t="s">
        <v>65</v>
      </c>
      <c r="D53" s="22" t="n">
        <v>5</v>
      </c>
      <c r="E53" s="22" t="s">
        <v>644</v>
      </c>
      <c r="F53" s="20" t="s">
        <v>652</v>
      </c>
    </row>
    <row r="54" customFormat="false" ht="23.85" hidden="false" customHeight="false" outlineLevel="0" collapsed="false">
      <c r="A54" s="22" t="s">
        <v>182</v>
      </c>
      <c r="B54" s="20" t="s">
        <v>183</v>
      </c>
      <c r="C54" s="20" t="s">
        <v>65</v>
      </c>
      <c r="D54" s="22" t="n">
        <v>2</v>
      </c>
      <c r="E54" s="22" t="s">
        <v>644</v>
      </c>
      <c r="F54" s="20" t="s">
        <v>652</v>
      </c>
    </row>
    <row r="55" customFormat="false" ht="23.85" hidden="false" customHeight="false" outlineLevel="0" collapsed="false">
      <c r="A55" s="22" t="s">
        <v>185</v>
      </c>
      <c r="B55" s="20" t="s">
        <v>186</v>
      </c>
      <c r="C55" s="20" t="s">
        <v>65</v>
      </c>
      <c r="D55" s="22" t="n">
        <v>2</v>
      </c>
      <c r="E55" s="22" t="s">
        <v>644</v>
      </c>
      <c r="F55" s="20" t="s">
        <v>652</v>
      </c>
    </row>
    <row r="56" customFormat="false" ht="23.85" hidden="false" customHeight="false" outlineLevel="0" collapsed="false">
      <c r="A56" s="22" t="s">
        <v>188</v>
      </c>
      <c r="B56" s="20" t="s">
        <v>189</v>
      </c>
      <c r="C56" s="20" t="s">
        <v>65</v>
      </c>
      <c r="D56" s="22" t="n">
        <v>1</v>
      </c>
      <c r="E56" s="22" t="s">
        <v>644</v>
      </c>
      <c r="F56" s="20" t="s">
        <v>652</v>
      </c>
    </row>
    <row r="57" customFormat="false" ht="23.85" hidden="false" customHeight="false" outlineLevel="0" collapsed="false">
      <c r="A57" s="22" t="s">
        <v>191</v>
      </c>
      <c r="B57" s="20" t="s">
        <v>192</v>
      </c>
      <c r="C57" s="20" t="s">
        <v>65</v>
      </c>
      <c r="D57" s="22" t="n">
        <v>11</v>
      </c>
      <c r="E57" s="22" t="s">
        <v>644</v>
      </c>
      <c r="F57" s="20" t="s">
        <v>652</v>
      </c>
    </row>
    <row r="58" customFormat="false" ht="23.85" hidden="false" customHeight="false" outlineLevel="0" collapsed="false">
      <c r="A58" s="22" t="s">
        <v>194</v>
      </c>
      <c r="B58" s="20" t="s">
        <v>195</v>
      </c>
      <c r="C58" s="20" t="s">
        <v>65</v>
      </c>
      <c r="D58" s="22" t="n">
        <v>1</v>
      </c>
      <c r="E58" s="22" t="s">
        <v>644</v>
      </c>
      <c r="F58" s="20" t="s">
        <v>652</v>
      </c>
    </row>
    <row r="59" customFormat="false" ht="23.85" hidden="false" customHeight="false" outlineLevel="0" collapsed="false">
      <c r="A59" s="22" t="s">
        <v>197</v>
      </c>
      <c r="B59" s="20" t="s">
        <v>198</v>
      </c>
      <c r="C59" s="20" t="s">
        <v>65</v>
      </c>
      <c r="D59" s="22" t="n">
        <v>1</v>
      </c>
      <c r="E59" s="22" t="s">
        <v>644</v>
      </c>
      <c r="F59" s="20" t="s">
        <v>652</v>
      </c>
    </row>
    <row r="60" customFormat="false" ht="23.85" hidden="false" customHeight="false" outlineLevel="0" collapsed="false">
      <c r="A60" s="22" t="s">
        <v>200</v>
      </c>
      <c r="B60" s="20" t="s">
        <v>201</v>
      </c>
      <c r="C60" s="20" t="s">
        <v>65</v>
      </c>
      <c r="D60" s="22" t="n">
        <v>2</v>
      </c>
      <c r="E60" s="22" t="s">
        <v>644</v>
      </c>
      <c r="F60" s="20" t="s">
        <v>652</v>
      </c>
    </row>
    <row r="61" customFormat="false" ht="15" hidden="false" customHeight="false" outlineLevel="0" collapsed="false">
      <c r="A61" s="22" t="s">
        <v>203</v>
      </c>
      <c r="B61" s="20" t="s">
        <v>204</v>
      </c>
      <c r="C61" s="20" t="s">
        <v>206</v>
      </c>
      <c r="D61" s="22" t="n">
        <v>23</v>
      </c>
      <c r="E61" s="22" t="s">
        <v>648</v>
      </c>
      <c r="F61" s="20" t="s">
        <v>653</v>
      </c>
    </row>
    <row r="62" customFormat="false" ht="23.85" hidden="false" customHeight="false" outlineLevel="0" collapsed="false">
      <c r="A62" s="22" t="s">
        <v>207</v>
      </c>
      <c r="B62" s="20" t="s">
        <v>208</v>
      </c>
      <c r="C62" s="20" t="s">
        <v>206</v>
      </c>
      <c r="D62" s="22" t="n">
        <v>7</v>
      </c>
      <c r="E62" s="22" t="s">
        <v>644</v>
      </c>
      <c r="F62" s="20" t="s">
        <v>652</v>
      </c>
    </row>
    <row r="63" customFormat="false" ht="23.85" hidden="false" customHeight="false" outlineLevel="0" collapsed="false">
      <c r="A63" s="22" t="s">
        <v>210</v>
      </c>
      <c r="B63" s="20" t="s">
        <v>211</v>
      </c>
      <c r="C63" s="20" t="s">
        <v>206</v>
      </c>
      <c r="D63" s="22" t="n">
        <v>7</v>
      </c>
      <c r="E63" s="22" t="s">
        <v>644</v>
      </c>
      <c r="F63" s="20" t="s">
        <v>652</v>
      </c>
    </row>
    <row r="64" customFormat="false" ht="15" hidden="false" customHeight="false" outlineLevel="0" collapsed="false">
      <c r="A64" s="22" t="s">
        <v>213</v>
      </c>
      <c r="B64" s="20" t="s">
        <v>214</v>
      </c>
      <c r="C64" s="20" t="s">
        <v>206</v>
      </c>
      <c r="D64" s="22" t="n">
        <v>15</v>
      </c>
      <c r="E64" s="22" t="s">
        <v>648</v>
      </c>
      <c r="F64" s="22" t="s">
        <v>654</v>
      </c>
    </row>
    <row r="65" customFormat="false" ht="15" hidden="false" customHeight="false" outlineLevel="0" collapsed="false">
      <c r="A65" s="22" t="s">
        <v>217</v>
      </c>
      <c r="B65" s="20" t="s">
        <v>218</v>
      </c>
      <c r="C65" s="20" t="s">
        <v>206</v>
      </c>
      <c r="D65" s="22" t="n">
        <v>2</v>
      </c>
      <c r="E65" s="22" t="s">
        <v>648</v>
      </c>
      <c r="F65" s="20" t="s">
        <v>653</v>
      </c>
    </row>
    <row r="66" customFormat="false" ht="15" hidden="false" customHeight="false" outlineLevel="0" collapsed="false">
      <c r="A66" s="22" t="s">
        <v>220</v>
      </c>
      <c r="B66" s="20" t="s">
        <v>221</v>
      </c>
      <c r="C66" s="20" t="s">
        <v>65</v>
      </c>
      <c r="D66" s="22" t="n">
        <v>2</v>
      </c>
      <c r="E66" s="22" t="s">
        <v>648</v>
      </c>
      <c r="F66" s="20" t="s">
        <v>653</v>
      </c>
    </row>
    <row r="67" customFormat="false" ht="15" hidden="false" customHeight="false" outlineLevel="0" collapsed="false">
      <c r="A67" s="22" t="s">
        <v>223</v>
      </c>
      <c r="B67" s="20" t="s">
        <v>224</v>
      </c>
      <c r="C67" s="20" t="s">
        <v>15</v>
      </c>
      <c r="D67" s="22" t="n">
        <v>1</v>
      </c>
      <c r="E67" s="22" t="s">
        <v>640</v>
      </c>
      <c r="F67" s="20" t="s">
        <v>641</v>
      </c>
    </row>
    <row r="68" customFormat="false" ht="15" hidden="false" customHeight="false" outlineLevel="0" collapsed="false">
      <c r="A68" s="22" t="s">
        <v>226</v>
      </c>
      <c r="B68" s="20" t="s">
        <v>227</v>
      </c>
      <c r="C68" s="20" t="s">
        <v>15</v>
      </c>
      <c r="D68" s="22" t="n">
        <v>1</v>
      </c>
      <c r="E68" s="22" t="s">
        <v>640</v>
      </c>
      <c r="F68" s="20" t="s">
        <v>641</v>
      </c>
    </row>
    <row r="69" customFormat="false" ht="15" hidden="false" customHeight="false" outlineLevel="0" collapsed="false">
      <c r="A69" s="22" t="s">
        <v>229</v>
      </c>
      <c r="B69" s="20" t="s">
        <v>230</v>
      </c>
      <c r="C69" s="20" t="s">
        <v>65</v>
      </c>
      <c r="D69" s="22"/>
      <c r="E69" s="22" t="s">
        <v>648</v>
      </c>
      <c r="F69" s="20" t="s">
        <v>655</v>
      </c>
    </row>
    <row r="70" customFormat="false" ht="15" hidden="false" customHeight="false" outlineLevel="0" collapsed="false">
      <c r="A70" s="22" t="s">
        <v>233</v>
      </c>
      <c r="B70" s="20" t="s">
        <v>234</v>
      </c>
      <c r="C70" s="20" t="s">
        <v>15</v>
      </c>
      <c r="D70" s="22" t="n">
        <v>1</v>
      </c>
      <c r="E70" s="22" t="s">
        <v>640</v>
      </c>
      <c r="F70" s="20" t="s">
        <v>641</v>
      </c>
    </row>
    <row r="71" customFormat="false" ht="23.85" hidden="false" customHeight="false" outlineLevel="0" collapsed="false">
      <c r="A71" s="22" t="s">
        <v>238</v>
      </c>
      <c r="B71" s="20" t="s">
        <v>239</v>
      </c>
      <c r="C71" s="20" t="s">
        <v>65</v>
      </c>
      <c r="D71" s="22" t="n">
        <v>119</v>
      </c>
      <c r="E71" s="22" t="s">
        <v>644</v>
      </c>
      <c r="F71" s="20" t="s">
        <v>656</v>
      </c>
    </row>
    <row r="72" customFormat="false" ht="23.85" hidden="false" customHeight="false" outlineLevel="0" collapsed="false">
      <c r="A72" s="22" t="s">
        <v>241</v>
      </c>
      <c r="B72" s="20" t="s">
        <v>242</v>
      </c>
      <c r="C72" s="20" t="s">
        <v>65</v>
      </c>
      <c r="D72" s="22" t="n">
        <v>51</v>
      </c>
      <c r="E72" s="22" t="s">
        <v>644</v>
      </c>
      <c r="F72" s="20" t="s">
        <v>656</v>
      </c>
    </row>
    <row r="73" customFormat="false" ht="23.85" hidden="false" customHeight="false" outlineLevel="0" collapsed="false">
      <c r="A73" s="22" t="s">
        <v>244</v>
      </c>
      <c r="B73" s="20" t="s">
        <v>245</v>
      </c>
      <c r="C73" s="20" t="s">
        <v>65</v>
      </c>
      <c r="D73" s="22" t="n">
        <v>18</v>
      </c>
      <c r="E73" s="22" t="s">
        <v>644</v>
      </c>
      <c r="F73" s="20" t="s">
        <v>656</v>
      </c>
    </row>
    <row r="74" customFormat="false" ht="15" hidden="false" customHeight="false" outlineLevel="0" collapsed="false">
      <c r="A74" s="22" t="s">
        <v>247</v>
      </c>
      <c r="B74" s="20" t="s">
        <v>248</v>
      </c>
      <c r="C74" s="20" t="s">
        <v>65</v>
      </c>
      <c r="D74" s="22" t="n">
        <v>9</v>
      </c>
      <c r="E74" s="22" t="s">
        <v>646</v>
      </c>
      <c r="F74" s="20" t="s">
        <v>657</v>
      </c>
    </row>
    <row r="75" customFormat="false" ht="23.85" hidden="false" customHeight="false" outlineLevel="0" collapsed="false">
      <c r="A75" s="22" t="s">
        <v>251</v>
      </c>
      <c r="B75" s="20" t="s">
        <v>252</v>
      </c>
      <c r="C75" s="20" t="s">
        <v>65</v>
      </c>
      <c r="D75" s="22" t="n">
        <v>1</v>
      </c>
      <c r="E75" s="22" t="s">
        <v>644</v>
      </c>
      <c r="F75" s="20" t="s">
        <v>656</v>
      </c>
    </row>
    <row r="76" customFormat="false" ht="15" hidden="false" customHeight="false" outlineLevel="0" collapsed="false">
      <c r="A76" s="22" t="s">
        <v>254</v>
      </c>
      <c r="B76" s="20" t="s">
        <v>255</v>
      </c>
      <c r="C76" s="20" t="s">
        <v>15</v>
      </c>
      <c r="D76" s="22" t="n">
        <v>1</v>
      </c>
      <c r="E76" s="22" t="s">
        <v>640</v>
      </c>
      <c r="F76" s="20" t="s">
        <v>641</v>
      </c>
    </row>
    <row r="77" customFormat="false" ht="15" hidden="false" customHeight="false" outlineLevel="0" collapsed="false">
      <c r="A77" s="22" t="s">
        <v>257</v>
      </c>
      <c r="B77" s="20" t="s">
        <v>258</v>
      </c>
      <c r="C77" s="20" t="s">
        <v>15</v>
      </c>
      <c r="D77" s="22" t="n">
        <v>1</v>
      </c>
      <c r="E77" s="22" t="s">
        <v>640</v>
      </c>
      <c r="F77" s="20" t="s">
        <v>641</v>
      </c>
    </row>
    <row r="78" customFormat="false" ht="15" hidden="false" customHeight="false" outlineLevel="0" collapsed="false">
      <c r="A78" s="22" t="s">
        <v>260</v>
      </c>
      <c r="B78" s="20" t="s">
        <v>261</v>
      </c>
      <c r="C78" s="20" t="s">
        <v>15</v>
      </c>
      <c r="D78" s="22" t="n">
        <v>1</v>
      </c>
      <c r="E78" s="22" t="s">
        <v>640</v>
      </c>
      <c r="F78" s="20" t="s">
        <v>641</v>
      </c>
    </row>
    <row r="79" customFormat="false" ht="15" hidden="false" customHeight="false" outlineLevel="0" collapsed="false">
      <c r="A79" s="22" t="s">
        <v>263</v>
      </c>
      <c r="B79" s="20" t="s">
        <v>264</v>
      </c>
      <c r="C79" s="20" t="s">
        <v>15</v>
      </c>
      <c r="D79" s="22" t="n">
        <v>1</v>
      </c>
      <c r="E79" s="22" t="s">
        <v>640</v>
      </c>
      <c r="F79" s="20" t="s">
        <v>641</v>
      </c>
    </row>
    <row r="80" customFormat="false" ht="15" hidden="false" customHeight="false" outlineLevel="0" collapsed="false">
      <c r="A80" s="22" t="s">
        <v>266</v>
      </c>
      <c r="B80" s="20" t="s">
        <v>267</v>
      </c>
      <c r="C80" s="20" t="s">
        <v>65</v>
      </c>
      <c r="D80" s="22" t="n">
        <v>9</v>
      </c>
      <c r="E80" s="22" t="s">
        <v>646</v>
      </c>
      <c r="F80" s="20" t="s">
        <v>657</v>
      </c>
    </row>
    <row r="81" customFormat="false" ht="15" hidden="false" customHeight="false" outlineLevel="0" collapsed="false">
      <c r="A81" s="22" t="s">
        <v>269</v>
      </c>
      <c r="B81" s="20" t="s">
        <v>270</v>
      </c>
      <c r="C81" s="20" t="s">
        <v>206</v>
      </c>
      <c r="D81" s="22"/>
      <c r="E81" s="22" t="s">
        <v>648</v>
      </c>
      <c r="F81" s="20" t="s">
        <v>655</v>
      </c>
    </row>
    <row r="82" customFormat="false" ht="15" hidden="false" customHeight="false" outlineLevel="0" collapsed="false">
      <c r="A82" s="22" t="s">
        <v>273</v>
      </c>
      <c r="B82" s="20" t="s">
        <v>274</v>
      </c>
      <c r="C82" s="20" t="s">
        <v>206</v>
      </c>
      <c r="D82" s="22"/>
      <c r="E82" s="22" t="s">
        <v>648</v>
      </c>
      <c r="F82" s="20" t="s">
        <v>655</v>
      </c>
    </row>
    <row r="83" customFormat="false" ht="15" hidden="false" customHeight="false" outlineLevel="0" collapsed="false">
      <c r="A83" s="22" t="s">
        <v>277</v>
      </c>
      <c r="B83" s="20" t="s">
        <v>278</v>
      </c>
      <c r="C83" s="20" t="s">
        <v>65</v>
      </c>
      <c r="D83" s="22"/>
      <c r="E83" s="22" t="s">
        <v>648</v>
      </c>
      <c r="F83" s="20" t="s">
        <v>655</v>
      </c>
    </row>
    <row r="84" customFormat="false" ht="15" hidden="false" customHeight="false" outlineLevel="0" collapsed="false">
      <c r="A84" s="22" t="s">
        <v>281</v>
      </c>
      <c r="B84" s="20" t="s">
        <v>282</v>
      </c>
      <c r="C84" s="20" t="s">
        <v>206</v>
      </c>
      <c r="D84" s="22"/>
      <c r="E84" s="22" t="s">
        <v>648</v>
      </c>
      <c r="F84" s="20" t="s">
        <v>655</v>
      </c>
    </row>
    <row r="85" customFormat="false" ht="15" hidden="false" customHeight="false" outlineLevel="0" collapsed="false">
      <c r="A85" s="22" t="s">
        <v>285</v>
      </c>
      <c r="B85" s="20" t="s">
        <v>286</v>
      </c>
      <c r="C85" s="20" t="s">
        <v>15</v>
      </c>
      <c r="D85" s="22" t="n">
        <v>1</v>
      </c>
      <c r="E85" s="22" t="s">
        <v>640</v>
      </c>
      <c r="F85" s="20" t="s">
        <v>641</v>
      </c>
    </row>
    <row r="86" customFormat="false" ht="23.85" hidden="false" customHeight="false" outlineLevel="0" collapsed="false">
      <c r="A86" s="22" t="s">
        <v>290</v>
      </c>
      <c r="B86" s="20" t="s">
        <v>291</v>
      </c>
      <c r="C86" s="20" t="s">
        <v>65</v>
      </c>
      <c r="D86" s="22"/>
      <c r="E86" s="22" t="s">
        <v>648</v>
      </c>
      <c r="F86" s="20" t="s">
        <v>655</v>
      </c>
    </row>
    <row r="87" customFormat="false" ht="15" hidden="false" customHeight="false" outlineLevel="0" collapsed="false">
      <c r="A87" s="22" t="s">
        <v>294</v>
      </c>
      <c r="B87" s="20" t="s">
        <v>295</v>
      </c>
      <c r="C87" s="20" t="s">
        <v>65</v>
      </c>
      <c r="D87" s="22"/>
      <c r="E87" s="22" t="s">
        <v>648</v>
      </c>
      <c r="F87" s="20" t="s">
        <v>655</v>
      </c>
    </row>
    <row r="88" customFormat="false" ht="15" hidden="false" customHeight="false" outlineLevel="0" collapsed="false">
      <c r="A88" s="22" t="s">
        <v>298</v>
      </c>
      <c r="B88" s="20" t="s">
        <v>299</v>
      </c>
      <c r="C88" s="20" t="s">
        <v>65</v>
      </c>
      <c r="D88" s="22" t="n">
        <v>15</v>
      </c>
      <c r="E88" s="22" t="s">
        <v>644</v>
      </c>
      <c r="F88" s="20" t="s">
        <v>658</v>
      </c>
    </row>
    <row r="89" customFormat="false" ht="15" hidden="false" customHeight="false" outlineLevel="0" collapsed="false">
      <c r="A89" s="22" t="s">
        <v>301</v>
      </c>
      <c r="B89" s="20" t="s">
        <v>302</v>
      </c>
      <c r="C89" s="20" t="s">
        <v>65</v>
      </c>
      <c r="D89" s="22" t="n">
        <v>22</v>
      </c>
      <c r="E89" s="22" t="s">
        <v>644</v>
      </c>
      <c r="F89" s="20" t="s">
        <v>658</v>
      </c>
    </row>
    <row r="90" customFormat="false" ht="15" hidden="false" customHeight="false" outlineLevel="0" collapsed="false">
      <c r="A90" s="22" t="s">
        <v>304</v>
      </c>
      <c r="B90" s="20" t="s">
        <v>305</v>
      </c>
      <c r="C90" s="20" t="s">
        <v>65</v>
      </c>
      <c r="D90" s="22" t="n">
        <v>30</v>
      </c>
      <c r="E90" s="22" t="s">
        <v>644</v>
      </c>
      <c r="F90" s="20" t="s">
        <v>658</v>
      </c>
    </row>
    <row r="91" customFormat="false" ht="15" hidden="false" customHeight="false" outlineLevel="0" collapsed="false">
      <c r="A91" s="22" t="s">
        <v>307</v>
      </c>
      <c r="B91" s="20" t="s">
        <v>308</v>
      </c>
      <c r="C91" s="20" t="s">
        <v>65</v>
      </c>
      <c r="D91" s="22" t="n">
        <v>35</v>
      </c>
      <c r="E91" s="22" t="s">
        <v>644</v>
      </c>
      <c r="F91" s="20" t="s">
        <v>658</v>
      </c>
    </row>
    <row r="92" customFormat="false" ht="15" hidden="false" customHeight="false" outlineLevel="0" collapsed="false">
      <c r="A92" s="22" t="s">
        <v>310</v>
      </c>
      <c r="B92" s="20" t="s">
        <v>311</v>
      </c>
      <c r="C92" s="20" t="s">
        <v>65</v>
      </c>
      <c r="D92" s="22" t="n">
        <v>25</v>
      </c>
      <c r="E92" s="22" t="s">
        <v>644</v>
      </c>
      <c r="F92" s="20" t="s">
        <v>658</v>
      </c>
    </row>
    <row r="93" customFormat="false" ht="15" hidden="false" customHeight="false" outlineLevel="0" collapsed="false">
      <c r="A93" s="22" t="s">
        <v>313</v>
      </c>
      <c r="B93" s="20" t="s">
        <v>314</v>
      </c>
      <c r="C93" s="20" t="s">
        <v>65</v>
      </c>
      <c r="D93" s="22" t="n">
        <v>11</v>
      </c>
      <c r="E93" s="22" t="s">
        <v>644</v>
      </c>
      <c r="F93" s="20" t="s">
        <v>658</v>
      </c>
    </row>
    <row r="94" customFormat="false" ht="15" hidden="false" customHeight="false" outlineLevel="0" collapsed="false">
      <c r="A94" s="22" t="s">
        <v>316</v>
      </c>
      <c r="B94" s="20" t="s">
        <v>317</v>
      </c>
      <c r="C94" s="20" t="s">
        <v>65</v>
      </c>
      <c r="D94" s="22" t="n">
        <v>2</v>
      </c>
      <c r="E94" s="22" t="s">
        <v>644</v>
      </c>
      <c r="F94" s="20" t="s">
        <v>658</v>
      </c>
    </row>
    <row r="95" customFormat="false" ht="15" hidden="false" customHeight="false" outlineLevel="0" collapsed="false">
      <c r="A95" s="22" t="s">
        <v>319</v>
      </c>
      <c r="B95" s="20" t="s">
        <v>320</v>
      </c>
      <c r="C95" s="20" t="s">
        <v>65</v>
      </c>
      <c r="D95" s="22" t="n">
        <v>9</v>
      </c>
      <c r="E95" s="22" t="s">
        <v>644</v>
      </c>
      <c r="F95" s="20" t="s">
        <v>658</v>
      </c>
    </row>
    <row r="96" customFormat="false" ht="15" hidden="false" customHeight="false" outlineLevel="0" collapsed="false">
      <c r="A96" s="22" t="s">
        <v>322</v>
      </c>
      <c r="B96" s="20" t="s">
        <v>323</v>
      </c>
      <c r="C96" s="20" t="s">
        <v>65</v>
      </c>
      <c r="D96" s="22" t="n">
        <v>25</v>
      </c>
      <c r="E96" s="22" t="s">
        <v>644</v>
      </c>
      <c r="F96" s="20" t="s">
        <v>658</v>
      </c>
    </row>
    <row r="97" customFormat="false" ht="15" hidden="false" customHeight="false" outlineLevel="0" collapsed="false">
      <c r="A97" s="22" t="s">
        <v>325</v>
      </c>
      <c r="B97" s="20" t="s">
        <v>326</v>
      </c>
      <c r="C97" s="20" t="s">
        <v>65</v>
      </c>
      <c r="D97" s="22" t="n">
        <v>8</v>
      </c>
      <c r="E97" s="22" t="s">
        <v>644</v>
      </c>
      <c r="F97" s="20" t="s">
        <v>658</v>
      </c>
    </row>
    <row r="98" customFormat="false" ht="15" hidden="false" customHeight="false" outlineLevel="0" collapsed="false">
      <c r="A98" s="22" t="s">
        <v>328</v>
      </c>
      <c r="B98" s="20" t="s">
        <v>329</v>
      </c>
      <c r="C98" s="20" t="s">
        <v>65</v>
      </c>
      <c r="D98" s="22" t="n">
        <v>5</v>
      </c>
      <c r="E98" s="22" t="s">
        <v>644</v>
      </c>
      <c r="F98" s="20" t="s">
        <v>658</v>
      </c>
    </row>
    <row r="99" customFormat="false" ht="15" hidden="false" customHeight="false" outlineLevel="0" collapsed="false">
      <c r="A99" s="22" t="s">
        <v>331</v>
      </c>
      <c r="B99" s="20" t="s">
        <v>332</v>
      </c>
      <c r="C99" s="20" t="s">
        <v>65</v>
      </c>
      <c r="D99" s="22" t="n">
        <v>10</v>
      </c>
      <c r="E99" s="22" t="s">
        <v>644</v>
      </c>
      <c r="F99" s="20" t="s">
        <v>658</v>
      </c>
    </row>
    <row r="100" customFormat="false" ht="15" hidden="false" customHeight="false" outlineLevel="0" collapsed="false">
      <c r="A100" s="22" t="s">
        <v>334</v>
      </c>
      <c r="B100" s="20" t="s">
        <v>335</v>
      </c>
      <c r="C100" s="20" t="s">
        <v>65</v>
      </c>
      <c r="D100" s="22" t="n">
        <v>6</v>
      </c>
      <c r="E100" s="22" t="s">
        <v>646</v>
      </c>
      <c r="F100" s="20" t="s">
        <v>659</v>
      </c>
    </row>
    <row r="101" customFormat="false" ht="15" hidden="false" customHeight="false" outlineLevel="0" collapsed="false">
      <c r="A101" s="22" t="s">
        <v>337</v>
      </c>
      <c r="B101" s="20" t="s">
        <v>338</v>
      </c>
      <c r="C101" s="20" t="s">
        <v>65</v>
      </c>
      <c r="D101" s="22" t="n">
        <v>6</v>
      </c>
      <c r="E101" s="22" t="s">
        <v>646</v>
      </c>
      <c r="F101" s="20" t="s">
        <v>659</v>
      </c>
    </row>
    <row r="102" customFormat="false" ht="15" hidden="false" customHeight="false" outlineLevel="0" collapsed="false">
      <c r="A102" s="22" t="s">
        <v>341</v>
      </c>
      <c r="B102" s="20" t="s">
        <v>342</v>
      </c>
      <c r="C102" s="20" t="s">
        <v>65</v>
      </c>
      <c r="D102" s="22" t="n">
        <v>111</v>
      </c>
      <c r="E102" s="22" t="s">
        <v>646</v>
      </c>
      <c r="F102" s="20" t="s">
        <v>660</v>
      </c>
    </row>
    <row r="103" customFormat="false" ht="15" hidden="false" customHeight="false" outlineLevel="0" collapsed="false">
      <c r="A103" s="22" t="s">
        <v>344</v>
      </c>
      <c r="B103" s="20" t="s">
        <v>345</v>
      </c>
      <c r="C103" s="20" t="s">
        <v>65</v>
      </c>
      <c r="D103" s="22"/>
      <c r="E103" s="22" t="s">
        <v>648</v>
      </c>
      <c r="F103" s="20" t="s">
        <v>655</v>
      </c>
    </row>
    <row r="104" customFormat="false" ht="15" hidden="false" customHeight="false" outlineLevel="0" collapsed="false">
      <c r="A104" s="22" t="s">
        <v>348</v>
      </c>
      <c r="B104" s="20" t="s">
        <v>349</v>
      </c>
      <c r="C104" s="20" t="s">
        <v>65</v>
      </c>
      <c r="D104" s="22" t="n">
        <v>28</v>
      </c>
      <c r="E104" s="22" t="s">
        <v>644</v>
      </c>
      <c r="F104" s="20" t="s">
        <v>658</v>
      </c>
    </row>
    <row r="105" customFormat="false" ht="15" hidden="false" customHeight="false" outlineLevel="0" collapsed="false">
      <c r="A105" s="22" t="s">
        <v>351</v>
      </c>
      <c r="B105" s="20" t="s">
        <v>352</v>
      </c>
      <c r="C105" s="20" t="s">
        <v>65</v>
      </c>
      <c r="D105" s="22" t="n">
        <v>14</v>
      </c>
      <c r="E105" s="22" t="s">
        <v>644</v>
      </c>
      <c r="F105" s="20" t="s">
        <v>658</v>
      </c>
    </row>
    <row r="106" customFormat="false" ht="15" hidden="false" customHeight="false" outlineLevel="0" collapsed="false">
      <c r="A106" s="22" t="s">
        <v>356</v>
      </c>
      <c r="B106" s="20" t="s">
        <v>357</v>
      </c>
      <c r="C106" s="20" t="s">
        <v>65</v>
      </c>
      <c r="D106" s="22"/>
      <c r="E106" s="22" t="s">
        <v>648</v>
      </c>
      <c r="F106" s="20" t="s">
        <v>655</v>
      </c>
    </row>
    <row r="107" customFormat="false" ht="15" hidden="false" customHeight="false" outlineLevel="0" collapsed="false">
      <c r="A107" s="22" t="s">
        <v>359</v>
      </c>
      <c r="B107" s="20" t="s">
        <v>360</v>
      </c>
      <c r="C107" s="20" t="s">
        <v>90</v>
      </c>
      <c r="D107" s="22"/>
      <c r="E107" s="22" t="s">
        <v>648</v>
      </c>
      <c r="F107" s="20" t="s">
        <v>655</v>
      </c>
    </row>
    <row r="108" customFormat="false" ht="15" hidden="false" customHeight="false" outlineLevel="0" collapsed="false">
      <c r="A108" s="22" t="s">
        <v>363</v>
      </c>
      <c r="B108" s="20" t="s">
        <v>364</v>
      </c>
      <c r="C108" s="20" t="s">
        <v>15</v>
      </c>
      <c r="D108" s="22" t="n">
        <v>1</v>
      </c>
      <c r="E108" s="22" t="s">
        <v>640</v>
      </c>
      <c r="F108" s="20" t="s">
        <v>641</v>
      </c>
    </row>
    <row r="109" customFormat="false" ht="15" hidden="false" customHeight="false" outlineLevel="0" collapsed="false">
      <c r="A109" s="22" t="s">
        <v>366</v>
      </c>
      <c r="B109" s="20" t="s">
        <v>367</v>
      </c>
      <c r="C109" s="20" t="s">
        <v>65</v>
      </c>
      <c r="D109" s="22"/>
      <c r="E109" s="22" t="s">
        <v>648</v>
      </c>
      <c r="F109" s="20" t="s">
        <v>655</v>
      </c>
    </row>
    <row r="110" customFormat="false" ht="15" hidden="false" customHeight="false" outlineLevel="0" collapsed="false">
      <c r="A110" s="22" t="s">
        <v>372</v>
      </c>
      <c r="B110" s="20" t="s">
        <v>373</v>
      </c>
      <c r="C110" s="20" t="s">
        <v>40</v>
      </c>
      <c r="D110" s="22" t="n">
        <v>64</v>
      </c>
      <c r="E110" s="22" t="s">
        <v>644</v>
      </c>
      <c r="F110" s="20" t="s">
        <v>661</v>
      </c>
    </row>
    <row r="111" customFormat="false" ht="15" hidden="false" customHeight="false" outlineLevel="0" collapsed="false">
      <c r="A111" s="22" t="s">
        <v>375</v>
      </c>
      <c r="B111" s="20" t="s">
        <v>376</v>
      </c>
      <c r="C111" s="20" t="s">
        <v>40</v>
      </c>
      <c r="D111" s="22" t="n">
        <v>17</v>
      </c>
      <c r="E111" s="22" t="s">
        <v>644</v>
      </c>
      <c r="F111" s="20" t="s">
        <v>661</v>
      </c>
    </row>
    <row r="112" customFormat="false" ht="15" hidden="false" customHeight="false" outlineLevel="0" collapsed="false">
      <c r="A112" s="22" t="s">
        <v>378</v>
      </c>
      <c r="B112" s="20" t="s">
        <v>379</v>
      </c>
      <c r="C112" s="20" t="s">
        <v>40</v>
      </c>
      <c r="D112" s="22" t="n">
        <v>52</v>
      </c>
      <c r="E112" s="22" t="s">
        <v>646</v>
      </c>
      <c r="F112" s="20" t="s">
        <v>662</v>
      </c>
    </row>
    <row r="113" customFormat="false" ht="15" hidden="false" customHeight="false" outlineLevel="0" collapsed="false">
      <c r="A113" s="22" t="s">
        <v>381</v>
      </c>
      <c r="B113" s="20" t="s">
        <v>382</v>
      </c>
      <c r="C113" s="20" t="s">
        <v>40</v>
      </c>
      <c r="D113" s="22" t="n">
        <v>33.3</v>
      </c>
      <c r="E113" s="22" t="s">
        <v>648</v>
      </c>
      <c r="F113" s="22" t="s">
        <v>663</v>
      </c>
    </row>
    <row r="114" customFormat="false" ht="15" hidden="false" customHeight="false" outlineLevel="0" collapsed="false">
      <c r="A114" s="22" t="s">
        <v>386</v>
      </c>
      <c r="B114" s="20" t="s">
        <v>387</v>
      </c>
      <c r="C114" s="20" t="s">
        <v>40</v>
      </c>
      <c r="D114" s="22" t="n">
        <v>40</v>
      </c>
      <c r="E114" s="22" t="s">
        <v>644</v>
      </c>
      <c r="F114" s="20" t="s">
        <v>664</v>
      </c>
    </row>
    <row r="115" customFormat="false" ht="15" hidden="false" customHeight="false" outlineLevel="0" collapsed="false">
      <c r="A115" s="22" t="s">
        <v>389</v>
      </c>
      <c r="B115" s="20" t="s">
        <v>390</v>
      </c>
      <c r="C115" s="20" t="s">
        <v>40</v>
      </c>
      <c r="D115" s="22" t="n">
        <v>186</v>
      </c>
      <c r="E115" s="22" t="s">
        <v>644</v>
      </c>
      <c r="F115" s="20" t="s">
        <v>664</v>
      </c>
    </row>
    <row r="116" customFormat="false" ht="15" hidden="false" customHeight="false" outlineLevel="0" collapsed="false">
      <c r="A116" s="22" t="s">
        <v>392</v>
      </c>
      <c r="B116" s="20" t="s">
        <v>393</v>
      </c>
      <c r="C116" s="20" t="s">
        <v>15</v>
      </c>
      <c r="D116" s="22" t="n">
        <v>5</v>
      </c>
      <c r="E116" s="22" t="s">
        <v>648</v>
      </c>
      <c r="F116" s="22" t="s">
        <v>665</v>
      </c>
    </row>
    <row r="117" customFormat="false" ht="15" hidden="false" customHeight="false" outlineLevel="0" collapsed="false">
      <c r="A117" s="22" t="s">
        <v>395</v>
      </c>
      <c r="B117" s="20" t="s">
        <v>396</v>
      </c>
      <c r="C117" s="20" t="s">
        <v>40</v>
      </c>
      <c r="D117" s="22" t="n">
        <v>52.7</v>
      </c>
      <c r="E117" s="22" t="s">
        <v>666</v>
      </c>
      <c r="F117" s="22" t="s">
        <v>667</v>
      </c>
    </row>
    <row r="118" customFormat="false" ht="15" hidden="false" customHeight="false" outlineLevel="0" collapsed="false">
      <c r="A118" s="22" t="s">
        <v>400</v>
      </c>
      <c r="B118" s="20" t="s">
        <v>401</v>
      </c>
      <c r="C118" s="20" t="s">
        <v>15</v>
      </c>
      <c r="D118" s="22" t="n">
        <v>1</v>
      </c>
      <c r="E118" s="22" t="s">
        <v>644</v>
      </c>
      <c r="F118" s="20" t="s">
        <v>668</v>
      </c>
    </row>
    <row r="119" customFormat="false" ht="15" hidden="false" customHeight="false" outlineLevel="0" collapsed="false">
      <c r="A119" s="22" t="s">
        <v>403</v>
      </c>
      <c r="B119" s="20" t="s">
        <v>404</v>
      </c>
      <c r="C119" s="20" t="s">
        <v>90</v>
      </c>
      <c r="D119" s="22"/>
      <c r="E119" s="22" t="s">
        <v>648</v>
      </c>
      <c r="F119" s="20" t="s">
        <v>669</v>
      </c>
    </row>
    <row r="120" customFormat="false" ht="15" hidden="false" customHeight="false" outlineLevel="0" collapsed="false">
      <c r="A120" s="22" t="s">
        <v>407</v>
      </c>
      <c r="B120" s="20" t="s">
        <v>408</v>
      </c>
      <c r="C120" s="20" t="s">
        <v>40</v>
      </c>
      <c r="D120" s="22"/>
      <c r="E120" s="22" t="s">
        <v>648</v>
      </c>
      <c r="F120" s="20" t="s">
        <v>669</v>
      </c>
    </row>
    <row r="121" customFormat="false" ht="15" hidden="false" customHeight="false" outlineLevel="0" collapsed="false">
      <c r="A121" s="22" t="s">
        <v>411</v>
      </c>
      <c r="B121" s="20" t="s">
        <v>412</v>
      </c>
      <c r="C121" s="20" t="s">
        <v>90</v>
      </c>
      <c r="D121" s="22"/>
      <c r="E121" s="22" t="s">
        <v>648</v>
      </c>
      <c r="F121" s="20" t="s">
        <v>669</v>
      </c>
    </row>
    <row r="122" customFormat="false" ht="15" hidden="false" customHeight="false" outlineLevel="0" collapsed="false">
      <c r="A122" s="22" t="s">
        <v>415</v>
      </c>
      <c r="B122" s="20" t="s">
        <v>416</v>
      </c>
      <c r="C122" s="20" t="s">
        <v>15</v>
      </c>
      <c r="D122" s="22" t="n">
        <v>1</v>
      </c>
      <c r="E122" s="22" t="s">
        <v>644</v>
      </c>
      <c r="F122" s="20" t="s">
        <v>668</v>
      </c>
    </row>
    <row r="123" customFormat="false" ht="15" hidden="false" customHeight="false" outlineLevel="0" collapsed="false">
      <c r="A123" s="22" t="s">
        <v>420</v>
      </c>
      <c r="B123" s="20" t="s">
        <v>421</v>
      </c>
      <c r="C123" s="20" t="s">
        <v>90</v>
      </c>
      <c r="D123" s="22" t="n">
        <v>33.23</v>
      </c>
      <c r="E123" s="22" t="s">
        <v>648</v>
      </c>
      <c r="F123" s="20" t="s">
        <v>650</v>
      </c>
    </row>
    <row r="124" customFormat="false" ht="15" hidden="false" customHeight="false" outlineLevel="0" collapsed="false">
      <c r="A124" s="22" t="s">
        <v>423</v>
      </c>
      <c r="B124" s="20" t="s">
        <v>424</v>
      </c>
      <c r="C124" s="20" t="s">
        <v>90</v>
      </c>
      <c r="D124" s="22" t="n">
        <v>35</v>
      </c>
      <c r="E124" s="22" t="s">
        <v>648</v>
      </c>
      <c r="F124" s="20" t="s">
        <v>650</v>
      </c>
    </row>
    <row r="125" customFormat="false" ht="15" hidden="false" customHeight="false" outlineLevel="0" collapsed="false">
      <c r="A125" s="22" t="s">
        <v>426</v>
      </c>
      <c r="B125" s="20" t="s">
        <v>427</v>
      </c>
      <c r="C125" s="20" t="s">
        <v>90</v>
      </c>
      <c r="D125" s="22" t="n">
        <v>19</v>
      </c>
      <c r="E125" s="22" t="s">
        <v>648</v>
      </c>
      <c r="F125" s="20" t="s">
        <v>650</v>
      </c>
    </row>
    <row r="126" customFormat="false" ht="15" hidden="false" customHeight="false" outlineLevel="0" collapsed="false">
      <c r="A126" s="22" t="s">
        <v>429</v>
      </c>
      <c r="B126" s="20" t="s">
        <v>430</v>
      </c>
      <c r="C126" s="20" t="s">
        <v>90</v>
      </c>
      <c r="D126" s="22" t="n">
        <v>125.62</v>
      </c>
      <c r="E126" s="22" t="s">
        <v>648</v>
      </c>
      <c r="F126" s="20" t="s">
        <v>650</v>
      </c>
    </row>
    <row r="127" customFormat="false" ht="23.85" hidden="false" customHeight="false" outlineLevel="0" collapsed="false">
      <c r="A127" s="22" t="s">
        <v>434</v>
      </c>
      <c r="B127" s="20" t="s">
        <v>435</v>
      </c>
      <c r="C127" s="20" t="s">
        <v>40</v>
      </c>
      <c r="D127" s="22" t="n">
        <v>219.9</v>
      </c>
      <c r="E127" s="22" t="s">
        <v>666</v>
      </c>
      <c r="F127" s="22" t="s">
        <v>670</v>
      </c>
    </row>
    <row r="128" customFormat="false" ht="15" hidden="false" customHeight="false" outlineLevel="0" collapsed="false">
      <c r="A128" s="22" t="s">
        <v>437</v>
      </c>
      <c r="B128" s="20" t="s">
        <v>438</v>
      </c>
      <c r="C128" s="20" t="s">
        <v>40</v>
      </c>
      <c r="D128" s="22" t="n">
        <v>105</v>
      </c>
      <c r="E128" s="22" t="s">
        <v>644</v>
      </c>
      <c r="F128" s="22" t="s">
        <v>671</v>
      </c>
    </row>
    <row r="129" customFormat="false" ht="15" hidden="false" customHeight="false" outlineLevel="0" collapsed="false">
      <c r="A129" s="22" t="s">
        <v>440</v>
      </c>
      <c r="B129" s="20" t="s">
        <v>441</v>
      </c>
      <c r="C129" s="20" t="s">
        <v>40</v>
      </c>
      <c r="D129" s="22" t="n">
        <v>121.2</v>
      </c>
      <c r="E129" s="22" t="s">
        <v>666</v>
      </c>
      <c r="F129" s="22" t="s">
        <v>672</v>
      </c>
    </row>
    <row r="130" customFormat="false" ht="15" hidden="false" customHeight="false" outlineLevel="0" collapsed="false">
      <c r="A130" s="22" t="s">
        <v>443</v>
      </c>
      <c r="B130" s="20" t="s">
        <v>444</v>
      </c>
      <c r="C130" s="20" t="s">
        <v>90</v>
      </c>
      <c r="D130" s="22" t="n">
        <v>285</v>
      </c>
      <c r="E130" s="22" t="s">
        <v>644</v>
      </c>
      <c r="F130" s="22" t="s">
        <v>673</v>
      </c>
    </row>
    <row r="131" customFormat="false" ht="15" hidden="false" customHeight="false" outlineLevel="0" collapsed="false">
      <c r="A131" s="22" t="s">
        <v>446</v>
      </c>
      <c r="B131" s="20" t="s">
        <v>447</v>
      </c>
      <c r="C131" s="20" t="s">
        <v>40</v>
      </c>
      <c r="D131" s="22" t="n">
        <v>263.7</v>
      </c>
      <c r="E131" s="22" t="s">
        <v>666</v>
      </c>
      <c r="F131" s="22" t="s">
        <v>674</v>
      </c>
    </row>
    <row r="132" customFormat="false" ht="15" hidden="false" customHeight="false" outlineLevel="0" collapsed="false">
      <c r="A132" s="22" t="s">
        <v>449</v>
      </c>
      <c r="B132" s="20" t="s">
        <v>450</v>
      </c>
      <c r="C132" s="20" t="s">
        <v>90</v>
      </c>
      <c r="D132" s="22" t="n">
        <v>50</v>
      </c>
      <c r="E132" s="22" t="s">
        <v>648</v>
      </c>
      <c r="F132" s="20" t="s">
        <v>675</v>
      </c>
    </row>
    <row r="133" customFormat="false" ht="15" hidden="false" customHeight="false" outlineLevel="0" collapsed="false">
      <c r="A133" s="22" t="s">
        <v>455</v>
      </c>
      <c r="B133" s="20" t="s">
        <v>456</v>
      </c>
      <c r="C133" s="20" t="s">
        <v>40</v>
      </c>
      <c r="D133" s="22" t="n">
        <v>225</v>
      </c>
      <c r="E133" s="22" t="s">
        <v>644</v>
      </c>
      <c r="F133" s="22" t="s">
        <v>676</v>
      </c>
    </row>
    <row r="134" customFormat="false" ht="15" hidden="false" customHeight="false" outlineLevel="0" collapsed="false">
      <c r="A134" s="22" t="s">
        <v>459</v>
      </c>
      <c r="B134" s="20" t="s">
        <v>460</v>
      </c>
      <c r="C134" s="20" t="s">
        <v>15</v>
      </c>
      <c r="D134" s="22" t="n">
        <v>1</v>
      </c>
      <c r="E134" s="22" t="s">
        <v>640</v>
      </c>
      <c r="F134" s="20" t="s">
        <v>641</v>
      </c>
    </row>
    <row r="135" customFormat="false" ht="15" hidden="false" customHeight="false" outlineLevel="0" collapsed="false">
      <c r="A135" s="22" t="s">
        <v>463</v>
      </c>
      <c r="B135" s="20" t="s">
        <v>464</v>
      </c>
      <c r="C135" s="20" t="s">
        <v>15</v>
      </c>
      <c r="D135" s="22" t="n">
        <v>1</v>
      </c>
      <c r="E135" s="22" t="s">
        <v>640</v>
      </c>
      <c r="F135" s="20" t="s">
        <v>641</v>
      </c>
    </row>
    <row r="136" customFormat="false" ht="26.1" hidden="false" customHeight="false" outlineLevel="0" collapsed="false">
      <c r="A136" s="22" t="s">
        <v>468</v>
      </c>
      <c r="B136" s="20" t="s">
        <v>469</v>
      </c>
      <c r="C136" s="20" t="s">
        <v>40</v>
      </c>
      <c r="D136" s="22" t="n">
        <v>254</v>
      </c>
      <c r="E136" s="22" t="s">
        <v>644</v>
      </c>
      <c r="F136" s="22" t="s">
        <v>677</v>
      </c>
    </row>
    <row r="137" customFormat="false" ht="26.1" hidden="false" customHeight="false" outlineLevel="0" collapsed="false">
      <c r="A137" s="22" t="s">
        <v>471</v>
      </c>
      <c r="B137" s="20" t="s">
        <v>472</v>
      </c>
      <c r="C137" s="20" t="s">
        <v>40</v>
      </c>
      <c r="D137" s="22" t="n">
        <v>118</v>
      </c>
      <c r="E137" s="22" t="s">
        <v>644</v>
      </c>
      <c r="F137" s="22" t="s">
        <v>677</v>
      </c>
    </row>
    <row r="138" customFormat="false" ht="26.1" hidden="false" customHeight="false" outlineLevel="0" collapsed="false">
      <c r="A138" s="22" t="s">
        <v>473</v>
      </c>
      <c r="B138" s="20" t="s">
        <v>474</v>
      </c>
      <c r="C138" s="20" t="s">
        <v>40</v>
      </c>
      <c r="D138" s="22" t="n">
        <v>204</v>
      </c>
      <c r="E138" s="22" t="s">
        <v>644</v>
      </c>
      <c r="F138" s="22" t="s">
        <v>677</v>
      </c>
    </row>
    <row r="139" customFormat="false" ht="15" hidden="false" customHeight="false" outlineLevel="0" collapsed="false">
      <c r="A139" s="22" t="s">
        <v>477</v>
      </c>
      <c r="B139" s="20" t="s">
        <v>478</v>
      </c>
      <c r="C139" s="20" t="s">
        <v>65</v>
      </c>
      <c r="D139" s="22" t="n">
        <v>26</v>
      </c>
      <c r="E139" s="22" t="s">
        <v>644</v>
      </c>
      <c r="F139" s="20" t="s">
        <v>678</v>
      </c>
    </row>
    <row r="140" customFormat="false" ht="15" hidden="false" customHeight="false" outlineLevel="0" collapsed="false">
      <c r="A140" s="22" t="s">
        <v>480</v>
      </c>
      <c r="B140" s="20" t="s">
        <v>481</v>
      </c>
      <c r="C140" s="20" t="s">
        <v>65</v>
      </c>
      <c r="D140" s="22" t="n">
        <v>10</v>
      </c>
      <c r="E140" s="22" t="s">
        <v>644</v>
      </c>
      <c r="F140" s="20" t="s">
        <v>678</v>
      </c>
    </row>
    <row r="141" customFormat="false" ht="15" hidden="false" customHeight="false" outlineLevel="0" collapsed="false">
      <c r="A141" s="22" t="s">
        <v>483</v>
      </c>
      <c r="B141" s="20" t="s">
        <v>484</v>
      </c>
      <c r="C141" s="20" t="s">
        <v>65</v>
      </c>
      <c r="D141" s="22" t="n">
        <v>3</v>
      </c>
      <c r="E141" s="22" t="s">
        <v>644</v>
      </c>
      <c r="F141" s="20" t="s">
        <v>678</v>
      </c>
    </row>
    <row r="142" customFormat="false" ht="15" hidden="false" customHeight="false" outlineLevel="0" collapsed="false">
      <c r="A142" s="22" t="s">
        <v>486</v>
      </c>
      <c r="B142" s="20" t="s">
        <v>487</v>
      </c>
      <c r="C142" s="20" t="s">
        <v>65</v>
      </c>
      <c r="D142" s="22" t="n">
        <v>1</v>
      </c>
      <c r="E142" s="22" t="s">
        <v>644</v>
      </c>
      <c r="F142" s="20" t="s">
        <v>678</v>
      </c>
    </row>
    <row r="143" customFormat="false" ht="15" hidden="false" customHeight="false" outlineLevel="0" collapsed="false">
      <c r="A143" s="22" t="s">
        <v>489</v>
      </c>
      <c r="B143" s="20" t="s">
        <v>490</v>
      </c>
      <c r="C143" s="20" t="s">
        <v>15</v>
      </c>
      <c r="D143" s="22" t="n">
        <v>1</v>
      </c>
      <c r="E143" s="22" t="s">
        <v>640</v>
      </c>
      <c r="F143" s="20" t="s">
        <v>641</v>
      </c>
    </row>
    <row r="144" customFormat="false" ht="15" hidden="false" customHeight="false" outlineLevel="0" collapsed="false">
      <c r="A144" s="22" t="s">
        <v>492</v>
      </c>
      <c r="B144" s="20" t="s">
        <v>493</v>
      </c>
      <c r="C144" s="20" t="s">
        <v>15</v>
      </c>
      <c r="D144" s="22" t="n">
        <v>1</v>
      </c>
      <c r="E144" s="22" t="s">
        <v>640</v>
      </c>
      <c r="F144" s="20" t="s">
        <v>641</v>
      </c>
    </row>
    <row r="145" customFormat="false" ht="15" hidden="false" customHeight="false" outlineLevel="0" collapsed="false">
      <c r="A145" s="22" t="s">
        <v>495</v>
      </c>
      <c r="B145" s="20" t="s">
        <v>496</v>
      </c>
      <c r="C145" s="20" t="s">
        <v>15</v>
      </c>
      <c r="D145" s="22" t="n">
        <v>1</v>
      </c>
      <c r="E145" s="22" t="s">
        <v>640</v>
      </c>
      <c r="F145" s="20" t="s">
        <v>641</v>
      </c>
    </row>
    <row r="146" customFormat="false" ht="15" hidden="false" customHeight="false" outlineLevel="0" collapsed="false">
      <c r="A146" s="22" t="s">
        <v>498</v>
      </c>
      <c r="B146" s="20" t="s">
        <v>499</v>
      </c>
      <c r="C146" s="20" t="s">
        <v>65</v>
      </c>
      <c r="D146" s="22" t="n">
        <v>18</v>
      </c>
      <c r="E146" s="22" t="s">
        <v>648</v>
      </c>
      <c r="F146" s="20" t="s">
        <v>650</v>
      </c>
    </row>
    <row r="147" customFormat="false" ht="15" hidden="false" customHeight="false" outlineLevel="0" collapsed="false">
      <c r="A147" s="22" t="s">
        <v>504</v>
      </c>
      <c r="B147" s="20" t="s">
        <v>505</v>
      </c>
      <c r="C147" s="20" t="s">
        <v>40</v>
      </c>
      <c r="D147" s="22" t="n">
        <v>65</v>
      </c>
      <c r="E147" s="22" t="s">
        <v>648</v>
      </c>
      <c r="F147" s="20" t="s">
        <v>650</v>
      </c>
    </row>
    <row r="148" customFormat="false" ht="15" hidden="false" customHeight="false" outlineLevel="0" collapsed="false">
      <c r="A148" s="22" t="s">
        <v>507</v>
      </c>
      <c r="B148" s="20" t="s">
        <v>508</v>
      </c>
      <c r="C148" s="20" t="s">
        <v>15</v>
      </c>
      <c r="D148" s="22" t="n">
        <v>1</v>
      </c>
      <c r="E148" s="22" t="s">
        <v>640</v>
      </c>
      <c r="F148" s="20" t="s">
        <v>641</v>
      </c>
    </row>
    <row r="149" customFormat="false" ht="15" hidden="false" customHeight="false" outlineLevel="0" collapsed="false">
      <c r="A149" s="22" t="s">
        <v>510</v>
      </c>
      <c r="B149" s="20" t="s">
        <v>511</v>
      </c>
      <c r="C149" s="20" t="s">
        <v>15</v>
      </c>
      <c r="D149" s="22" t="n">
        <v>1</v>
      </c>
      <c r="E149" s="22" t="s">
        <v>640</v>
      </c>
      <c r="F149" s="20" t="s">
        <v>641</v>
      </c>
    </row>
    <row r="150" customFormat="false" ht="15" hidden="false" customHeight="false" outlineLevel="0" collapsed="false">
      <c r="A150" s="22" t="s">
        <v>513</v>
      </c>
      <c r="B150" s="20" t="s">
        <v>514</v>
      </c>
      <c r="C150" s="20" t="s">
        <v>15</v>
      </c>
      <c r="D150" s="22" t="n">
        <v>1</v>
      </c>
      <c r="E150" s="22" t="s">
        <v>640</v>
      </c>
      <c r="F150" s="20" t="s">
        <v>641</v>
      </c>
    </row>
    <row r="151" customFormat="false" ht="23.85" hidden="false" customHeight="false" outlineLevel="0" collapsed="false">
      <c r="A151" s="22" t="s">
        <v>518</v>
      </c>
      <c r="B151" s="20" t="s">
        <v>519</v>
      </c>
      <c r="C151" s="20" t="s">
        <v>15</v>
      </c>
      <c r="D151" s="22" t="n">
        <v>1</v>
      </c>
      <c r="E151" s="22" t="s">
        <v>640</v>
      </c>
      <c r="F151" s="20" t="s">
        <v>641</v>
      </c>
    </row>
    <row r="152" customFormat="false" ht="15" hidden="false" customHeight="false" outlineLevel="0" collapsed="false">
      <c r="A152" s="22" t="s">
        <v>521</v>
      </c>
      <c r="B152" s="20" t="s">
        <v>522</v>
      </c>
      <c r="C152" s="20" t="s">
        <v>15</v>
      </c>
      <c r="D152" s="22" t="n">
        <v>1</v>
      </c>
      <c r="E152" s="22" t="s">
        <v>640</v>
      </c>
      <c r="F152" s="20" t="s">
        <v>641</v>
      </c>
    </row>
    <row r="153" customFormat="false" ht="15" hidden="false" customHeight="false" outlineLevel="0" collapsed="false">
      <c r="A153" s="22" t="s">
        <v>524</v>
      </c>
      <c r="B153" s="20" t="s">
        <v>525</v>
      </c>
      <c r="C153" s="20" t="s">
        <v>15</v>
      </c>
      <c r="D153" s="22" t="n">
        <v>1</v>
      </c>
      <c r="E153" s="22" t="s">
        <v>640</v>
      </c>
      <c r="F153" s="20" t="s">
        <v>641</v>
      </c>
    </row>
    <row r="154" customFormat="false" ht="15" hidden="false" customHeight="false" outlineLevel="0" collapsed="false">
      <c r="A154" s="22" t="s">
        <v>527</v>
      </c>
      <c r="B154" s="20" t="s">
        <v>528</v>
      </c>
      <c r="C154" s="20" t="s">
        <v>15</v>
      </c>
      <c r="D154" s="22" t="n">
        <v>1</v>
      </c>
      <c r="E154" s="22" t="s">
        <v>640</v>
      </c>
      <c r="F154" s="20" t="s">
        <v>641</v>
      </c>
    </row>
    <row r="155" customFormat="false" ht="23.85" hidden="false" customHeight="false" outlineLevel="0" collapsed="false">
      <c r="A155" s="22" t="s">
        <v>530</v>
      </c>
      <c r="B155" s="20" t="s">
        <v>531</v>
      </c>
      <c r="C155" s="20" t="s">
        <v>206</v>
      </c>
      <c r="D155" s="22"/>
      <c r="E155" s="22" t="s">
        <v>648</v>
      </c>
      <c r="F155" s="20" t="s">
        <v>655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2026-10-08T23:50:44Z</dcterms:created>
  <dc:creator>openpyxl</dc:creator>
  <dc:description/>
  <dc:language>en-US</dc:language>
  <cp:lastModifiedBy/>
  <dcterms:modified xsi:type="dcterms:W3CDTF">2026-10-09T10:32:40Z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