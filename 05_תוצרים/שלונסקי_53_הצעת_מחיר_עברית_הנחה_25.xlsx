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הצעת מחיר" sheetId="1" state="visible" r:id="rId1"/>
    <sheet xmlns:r="http://schemas.openxmlformats.org/officeDocument/2006/relationships" name="סיכום" sheetId="2" state="visible" r:id="rId2"/>
    <sheet xmlns:r="http://schemas.openxmlformats.org/officeDocument/2006/relationships" name="הערות והחרגות" sheetId="3" state="visible" r:id="rId3"/>
    <sheet xmlns:r="http://schemas.openxmlformats.org/officeDocument/2006/relationships" name="לוח זמנים" sheetId="4" state="visible" r:id="rId4"/>
  </sheets>
  <definedNames>
    <definedName name="_xlnm.Print_Titles" localSheetId="0">'הצעת מחיר'!$5:$5</definedName>
  </definedNames>
  <calcPr calcId="124519" fullCalcOnLoad="1"/>
</workbook>
</file>

<file path=xl/styles.xml><?xml version="1.0" encoding="utf-8"?>
<styleSheet xmlns="http://schemas.openxmlformats.org/spreadsheetml/2006/main">
  <numFmts count="3">
    <numFmt numFmtId="164" formatCode="#,##0.##"/>
    <numFmt numFmtId="165" formatCode="yyyy-mm-dd h:mm:ss"/>
    <numFmt numFmtId="166" formatCode="dd/mm/yyyy"/>
  </numFmts>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1F3864"/>
      </patternFill>
    </fill>
    <fill>
      <patternFill patternType="solid">
        <fgColor rgb="00D9E1F2"/>
      </patternFill>
    </fill>
    <fill>
      <patternFill patternType="solid">
        <fgColor rgb="00EDEDED"/>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3" borderId="0" pivotButton="0" quotePrefix="0" xfId="0"/>
    <xf numFmtId="0" fontId="0" fillId="0" borderId="1" applyAlignment="1" pivotButton="0" quotePrefix="0" xfId="0">
      <alignment horizontal="center" vertical="top" wrapText="1"/>
    </xf>
    <xf numFmtId="0" fontId="0" fillId="0" borderId="1" applyAlignment="1" pivotButton="0" quotePrefix="0" xfId="0">
      <alignment vertical="top" wrapText="1"/>
    </xf>
    <xf numFmtId="164" fontId="0" fillId="0" borderId="1" applyAlignment="1" pivotButton="0" quotePrefix="0" xfId="0">
      <alignment horizontal="center" vertical="top" wrapText="1"/>
    </xf>
    <xf numFmtId="3" fontId="0" fillId="0" borderId="1" applyAlignment="1" pivotButton="0" quotePrefix="0" xfId="0">
      <alignment vertical="top" wrapText="1"/>
    </xf>
    <xf numFmtId="0" fontId="3" fillId="4" borderId="0" pivotButton="0" quotePrefix="0" xfId="0"/>
    <xf numFmtId="3" fontId="3" fillId="4" borderId="0" pivotButton="0" quotePrefix="0" xfId="0"/>
    <xf numFmtId="0" fontId="2" fillId="2" borderId="0" pivotButton="0" quotePrefix="0" xfId="0"/>
    <xf numFmtId="3" fontId="0" fillId="0" borderId="0" pivotButton="0" quotePrefix="0" xfId="0"/>
    <xf numFmtId="0" fontId="3" fillId="0" borderId="0" pivotButton="0" quotePrefix="0" xfId="0"/>
    <xf numFmtId="3" fontId="3" fillId="0" borderId="0" pivotButton="0" quotePrefix="0" xfId="0"/>
    <xf numFmtId="9" fontId="0" fillId="0" borderId="0" pivotButton="0" quotePrefix="0" xfId="0"/>
    <xf numFmtId="0" fontId="2" fillId="2" borderId="0" applyAlignment="1" pivotButton="0" quotePrefix="0" xfId="0">
      <alignment vertical="top" wrapText="1"/>
    </xf>
    <xf numFmtId="0"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212"/>
  <sheetViews>
    <sheetView rightToLeft="1" workbookViewId="0">
      <pane ySplit="5" topLeftCell="A6" activePane="bottomLeft" state="frozen"/>
      <selection pane="bottomLeft" activeCell="A1" sqref="A1"/>
    </sheetView>
  </sheetViews>
  <sheetFormatPr baseColWidth="8" defaultRowHeight="15"/>
  <cols>
    <col width="10" customWidth="1" min="1" max="1"/>
    <col width="38" customWidth="1" min="2" max="2"/>
    <col width="64" customWidth="1" min="3" max="3"/>
    <col width="8" customWidth="1" min="4" max="4"/>
    <col width="10" customWidth="1" min="5" max="5"/>
    <col width="20" customWidth="1" min="6" max="6"/>
    <col width="13" customWidth="1" min="7" max="7"/>
    <col width="15" customWidth="1" min="8" max="8"/>
    <col width="32" customWidth="1" min="9" max="9"/>
  </cols>
  <sheetData>
    <row r="1">
      <c r="A1" s="1" t="inlineStr">
        <is>
          <t>הצעת מחיר – שיפוץ ותוספות בבית ברחוב שלונסקי 53, חיפה</t>
        </is>
      </c>
    </row>
    <row r="2">
      <c r="A2" t="inlineStr">
        <is>
          <t>מזמין: זהר מור יוסף ורמי דנה  |  קבלן: [שם הקבלן]  |  תאריך: 08/10/2026  |  מס׳ הצעה: [__]</t>
        </is>
      </c>
    </row>
    <row r="3">
      <c r="A3" t="inlineStr">
        <is>
          <t>כל הסכומים בש״ח, לפני מע״מ, בסיס מחירים אוקטובר 2026. מחירי היחידה כוללים הוצאות כלליות ורווח קבלן.</t>
        </is>
      </c>
    </row>
    <row r="5">
      <c r="A5" s="2" t="inlineStr">
        <is>
          <t>מס׳ סעיף</t>
        </is>
      </c>
      <c r="B5" s="2" t="inlineStr">
        <is>
          <t>שם הסעיף</t>
        </is>
      </c>
      <c r="C5" s="2" t="inlineStr">
        <is>
          <t>תיאור</t>
        </is>
      </c>
      <c r="D5" s="2" t="inlineStr">
        <is>
          <t>יחידה</t>
        </is>
      </c>
      <c r="E5" s="2" t="inlineStr">
        <is>
          <t>כמות</t>
        </is>
      </c>
      <c r="F5" s="2" t="inlineStr">
        <is>
          <t>בסיס הכמות</t>
        </is>
      </c>
      <c r="G5" s="2" t="inlineStr">
        <is>
          <t>מחיר יחידה (₪)</t>
        </is>
      </c>
      <c r="H5" s="2" t="inlineStr">
        <is>
          <t>סה״כ (₪)</t>
        </is>
      </c>
      <c r="I5" s="2" t="inlineStr">
        <is>
          <t>הערות</t>
        </is>
      </c>
    </row>
    <row r="6">
      <c r="A6" s="3" t="inlineStr">
        <is>
          <t>פרק 1 — הכנות והתארגנות לביצוע</t>
        </is>
      </c>
      <c r="B6" s="3" t="n"/>
      <c r="C6" s="3" t="n"/>
      <c r="D6" s="3" t="n"/>
      <c r="E6" s="3" t="n"/>
      <c r="F6" s="3" t="n"/>
      <c r="G6" s="3" t="n"/>
      <c r="H6" s="3" t="n"/>
      <c r="I6" s="3" t="n"/>
    </row>
    <row r="7">
      <c r="A7" s="4" t="inlineStr">
        <is>
          <t>01.01</t>
        </is>
      </c>
      <c r="B7" s="5" t="inlineStr">
        <is>
          <t>התארגנות אתר</t>
        </is>
      </c>
      <c r="C7" s="5" t="inlineStr">
        <is>
          <t>התארגנות לביצוע עבודות השיפוץ, לרבות הקצאת אזורי עבודה ואחסון חומרים, הסדרת שירותים לעובדים ותיאום דרכי הגישה לעבודה, בהתאם לתנאי האתר ולהנחיות המתכננת. סעיף זה אינו כולל את הגידור, החיבורים הזמניים, ההגנות ומכולת הפסולת המפורטים בנפרד.</t>
        </is>
      </c>
      <c r="D7" s="4" t="inlineStr">
        <is>
          <t>קומפ׳</t>
        </is>
      </c>
      <c r="E7" s="6" t="n">
        <v>1</v>
      </c>
      <c r="F7" s="4" t="inlineStr">
        <is>
          <t>לפי המסמכים</t>
        </is>
      </c>
      <c r="G7" s="7" t="n">
        <v>9200</v>
      </c>
      <c r="H7" s="7">
        <f>ROUND(E7*G7,2)</f>
        <v/>
      </c>
      <c r="I7" s="5" t="n"/>
    </row>
    <row r="8">
      <c r="A8" s="4" t="inlineStr">
        <is>
          <t>01.02</t>
        </is>
      </c>
      <c r="B8" s="5" t="inlineStr">
        <is>
          <t>גידור, שילוט ואמצעי בטיחות באתר</t>
        </is>
      </c>
      <c r="C8" s="5" t="inlineStr">
        <is>
          <t>הקמה והחזקה של גידור זמני מפח או מרשת תקנית, שילוט אתר ואזהרה, סימון אזורים מסוכנים ואמצעי הבטיחות הנדרשים, לאורך כל שלבי הביצוע, לרבות פירוק הגידור בתום הצורך.</t>
        </is>
      </c>
      <c r="D8" s="4" t="inlineStr">
        <is>
          <t>קומפ׳</t>
        </is>
      </c>
      <c r="E8" s="6" t="n">
        <v>1</v>
      </c>
      <c r="F8" s="4" t="inlineStr">
        <is>
          <t>לפי המסמכים</t>
        </is>
      </c>
      <c r="G8" s="7" t="n">
        <v>4600</v>
      </c>
      <c r="H8" s="7">
        <f>ROUND(E8*G8,2)</f>
        <v/>
      </c>
      <c r="I8" s="5" t="n"/>
    </row>
    <row r="9">
      <c r="A9" s="4" t="inlineStr">
        <is>
          <t>01.03</t>
        </is>
      </c>
      <c r="B9" s="5" t="inlineStr">
        <is>
          <t>חיבור מים זמני</t>
        </is>
      </c>
      <c r="C9" s="5" t="inlineStr">
        <is>
          <t>הסדרת חיבור מים זמני לצורכי ביצוע העבודות, לרבות חיבור למקור המים המאושר באתר ובדיקת תקינות החיבור.</t>
        </is>
      </c>
      <c r="D9" s="4" t="inlineStr">
        <is>
          <t>קומפ׳</t>
        </is>
      </c>
      <c r="E9" s="6" t="n">
        <v>1</v>
      </c>
      <c r="F9" s="4" t="inlineStr">
        <is>
          <t>לפי המסמכים</t>
        </is>
      </c>
      <c r="G9" s="7" t="n">
        <v>1725</v>
      </c>
      <c r="H9" s="7">
        <f>ROUND(E9*G9,2)</f>
        <v/>
      </c>
      <c r="I9" s="5" t="n"/>
    </row>
    <row r="10">
      <c r="A10" s="4" t="inlineStr">
        <is>
          <t>01.04</t>
        </is>
      </c>
      <c r="B10" s="5" t="inlineStr">
        <is>
          <t>חיבור חשמל זמני</t>
        </is>
      </c>
      <c r="C10" s="5" t="inlineStr">
        <is>
          <t>הסדרת חיבור חשמל זמני לצורכי ביצוע העבודות, באמצעות חשמלאי בעל רישיון מתאים, לרבות אמצעי ההגנה הנדרשים ובדיקת תקינות החיבור.</t>
        </is>
      </c>
      <c r="D10" s="4" t="inlineStr">
        <is>
          <t>קומפ׳</t>
        </is>
      </c>
      <c r="E10" s="6" t="n">
        <v>1</v>
      </c>
      <c r="F10" s="4" t="inlineStr">
        <is>
          <t>לפי המסמכים</t>
        </is>
      </c>
      <c r="G10" s="7" t="n">
        <v>3450</v>
      </c>
      <c r="H10" s="7">
        <f>ROUND(E10*G10,2)</f>
        <v/>
      </c>
      <c r="I10" s="5" t="n"/>
    </row>
    <row r="11">
      <c r="A11" s="4" t="inlineStr">
        <is>
          <t>01.05</t>
        </is>
      </c>
      <c r="B11" s="5" t="inlineStr">
        <is>
          <t>הגנה על אלמנטים קיימים</t>
        </is>
      </c>
      <c r="C11" s="5" t="inlineStr">
        <is>
          <t>ביצוע והחזקה של כיסויי הגנה לאלמנטים המיועדים להישאר, לרבות ריצופים, פתחים, חלונות, מדרגות, מעקות, קירות, ציוד וצמחייה לשימור, בהתאם להיקף העבודה ולמצב הקיים.</t>
        </is>
      </c>
      <c r="D11" s="4" t="inlineStr">
        <is>
          <t>קומפ׳</t>
        </is>
      </c>
      <c r="E11" s="6" t="n">
        <v>1</v>
      </c>
      <c r="F11" s="4" t="inlineStr">
        <is>
          <t>לפי המסמכים</t>
        </is>
      </c>
      <c r="G11" s="7" t="n">
        <v>5750</v>
      </c>
      <c r="H11" s="7">
        <f>ROUND(E11*G11,2)</f>
        <v/>
      </c>
      <c r="I11" s="5" t="n"/>
    </row>
    <row r="12">
      <c r="A12" s="4" t="inlineStr">
        <is>
          <t>01.06</t>
        </is>
      </c>
      <c r="B12" s="5" t="inlineStr">
        <is>
          <t>מדידות, אימות וסימון בלייזר</t>
        </is>
      </c>
      <c r="C12" s="5" t="inlineStr">
        <is>
          <t>מדידת המבנה הקיים ואימות המידות מול תוכניות האדריכלות והמערכות, סימון מיקומי העבודות ומפלסי הביצוע באמצעות פלס לייזר, תיעוד המצב הקיים ודיווח על אי־התאמות לפני תחילת העבודה.</t>
        </is>
      </c>
      <c r="D12" s="4" t="inlineStr">
        <is>
          <t>קומפ׳</t>
        </is>
      </c>
      <c r="E12" s="6" t="n">
        <v>1</v>
      </c>
      <c r="F12" s="4" t="inlineStr">
        <is>
          <t>לפי המסמכים</t>
        </is>
      </c>
      <c r="G12" s="7" t="n">
        <v>3450</v>
      </c>
      <c r="H12" s="7">
        <f>ROUND(E12*G12,2)</f>
        <v/>
      </c>
      <c r="I12" s="5" t="n"/>
    </row>
    <row r="13">
      <c r="A13" s="4" t="inlineStr">
        <is>
          <t>01.07</t>
        </is>
      </c>
      <c r="B13" s="5" t="inlineStr">
        <is>
          <t>מכולת פסולת והסדרת אזור ריכוז פסולת</t>
        </is>
      </c>
      <c r="C13" s="5" t="inlineStr">
        <is>
          <t>הצבת מכולת פסולת והסדרת מקום לריכוז פסולת הבנייה באתר, בהתאם לתנאי הגישה ולשלבי הביצוע. פינוי הפסולת לאתר מורשה מפורט בפרק ההריסות.</t>
        </is>
      </c>
      <c r="D13" s="4" t="inlineStr">
        <is>
          <t>קומפ׳</t>
        </is>
      </c>
      <c r="E13" s="6" t="n">
        <v>1</v>
      </c>
      <c r="F13" s="4" t="inlineStr">
        <is>
          <t>לפי המסמכים</t>
        </is>
      </c>
      <c r="G13" s="7" t="n">
        <v>10350</v>
      </c>
      <c r="H13" s="7">
        <f>ROUND(E13*G13,2)</f>
        <v/>
      </c>
      <c r="I13" s="5" t="n"/>
    </row>
    <row r="14">
      <c r="A14" s="4" t="inlineStr">
        <is>
          <t>01.08</t>
        </is>
      </c>
      <c r="B14" s="5" t="inlineStr">
        <is>
          <t>ניקיון שוטף בתקופת הביצוע</t>
        </is>
      </c>
      <c r="C14" s="5" t="inlineStr">
        <is>
          <t>ניקיון שוטף של שטחי העבודה והמעברים לאורך תקופת הביצוע, איסוף שאריות חומרים וריכוז הפסולת באזור המיועד לכך, לשמירת אתר מסודר ובטוח.</t>
        </is>
      </c>
      <c r="D14" s="4" t="inlineStr">
        <is>
          <t>קומפ׳</t>
        </is>
      </c>
      <c r="E14" s="6" t="n">
        <v>1</v>
      </c>
      <c r="F14" s="4" t="inlineStr">
        <is>
          <t>לפי המסמכים</t>
        </is>
      </c>
      <c r="G14" s="7" t="n">
        <v>10350</v>
      </c>
      <c r="H14" s="7">
        <f>ROUND(E14*G14,2)</f>
        <v/>
      </c>
      <c r="I14" s="5" t="n"/>
    </row>
    <row r="15">
      <c r="A15" s="4" t="inlineStr">
        <is>
          <t>01.09</t>
        </is>
      </c>
      <c r="B15" s="5" t="inlineStr">
        <is>
          <t>פיגום חיצוני לחזיתות</t>
        </is>
      </c>
      <c r="C15" s="5" t="inlineStr">
        <is>
          <t>הקמה, שכירות לתקופה, תחזוקה ופירוק של פיגום חיצוני תקני בהיקף החזיתות, לצורך ניסור ופירוק מסגרות הבטון הדקורטיביות, עבודות הפרפט וטיח החזיתות. כולל הגנות, רשת, אישור בודק ופיגום תקני לפי תקנות הבטיחות בעבודה.</t>
        </is>
      </c>
      <c r="D15" s="4" t="inlineStr">
        <is>
          <t>מ״ר</t>
        </is>
      </c>
      <c r="E15" s="6" t="n">
        <v>225</v>
      </c>
      <c r="F15" s="4" t="inlineStr">
        <is>
          <t>זמנית – תימדד בפועל</t>
        </is>
      </c>
      <c r="G15" s="7" t="n">
        <v>98</v>
      </c>
      <c r="H15" s="7">
        <f>ROUND(E15*G15,2)</f>
        <v/>
      </c>
      <c r="I15" s="5" t="inlineStr">
        <is>
          <t>כולל שכירות כ-4.5 חודשים</t>
        </is>
      </c>
    </row>
    <row r="16">
      <c r="A16" s="8" t="inlineStr">
        <is>
          <t>סה״כ פרק 1 — הכנות והתארגנות לביצוע</t>
        </is>
      </c>
      <c r="B16" s="8" t="n"/>
      <c r="C16" s="8" t="n"/>
      <c r="D16" s="8" t="n"/>
      <c r="E16" s="8" t="n"/>
      <c r="F16" s="8" t="n"/>
      <c r="G16" s="8" t="n"/>
      <c r="H16" s="9">
        <f>SUM(H7:H15)</f>
        <v/>
      </c>
      <c r="I16" s="8" t="n"/>
    </row>
    <row r="18">
      <c r="A18" s="3" t="inlineStr">
        <is>
          <t>פרק 2 — הריסות, פירוקים ופינוי</t>
        </is>
      </c>
      <c r="B18" s="3" t="n"/>
      <c r="C18" s="3" t="n"/>
      <c r="D18" s="3" t="n"/>
      <c r="E18" s="3" t="n"/>
      <c r="F18" s="3" t="n"/>
      <c r="G18" s="3" t="n"/>
      <c r="H18" s="3" t="n"/>
      <c r="I18" s="3" t="n"/>
    </row>
    <row r="19">
      <c r="A19" s="4" t="inlineStr">
        <is>
          <t>02.01</t>
        </is>
      </c>
      <c r="B19" s="5" t="inlineStr">
        <is>
          <t>פירוק קירות ומחיצות במרתף</t>
        </is>
      </c>
      <c r="C19" s="5" t="inlineStr">
        <is>
          <t>הריסה מבוקרת של כל הקירות והמחיצות המסומנים להריסה בקומת המרתף, בהתאם לתוכנית ההריסה: 10 מ״ר קירות בלוקים ו־52 מ״ר מחיצות גבס. אלמנטים נושאים – רק באישור קונסטרוקטור בכתב.</t>
        </is>
      </c>
      <c r="D19" s="4" t="inlineStr">
        <is>
          <t>מ״ר</t>
        </is>
      </c>
      <c r="E19" s="6" t="n">
        <v>62</v>
      </c>
      <c r="F19" s="4" t="inlineStr">
        <is>
          <t>לפי המסמכים</t>
        </is>
      </c>
      <c r="G19" s="7" t="n">
        <v>138</v>
      </c>
      <c r="H19" s="7">
        <f>ROUND(E19*G19,2)</f>
        <v/>
      </c>
      <c r="I19" s="5" t="n"/>
    </row>
    <row r="20">
      <c r="A20" s="4" t="inlineStr">
        <is>
          <t>02.02</t>
        </is>
      </c>
      <c r="B20" s="5" t="inlineStr">
        <is>
          <t>פירוק קירות ומחיצות בקומת הקרקע</t>
        </is>
      </c>
      <c r="C20" s="5" t="inlineStr">
        <is>
          <t>הריסה ופירוק מבוקרים של כל הקירות והמחיצות (בלוקים, בטון וגבס) המסומנים להריסה בקומת הקרקע, בהתאם לתוכנית ההריסה. קירות בטון ואלמנטים נושאים – רק לאחר אישור הקונסטרוקטור בכתב.</t>
        </is>
      </c>
      <c r="D20" s="4" t="inlineStr">
        <is>
          <t>מ״ר</t>
        </is>
      </c>
      <c r="E20" s="6" t="n">
        <v>51</v>
      </c>
      <c r="F20" s="4" t="inlineStr">
        <is>
          <t>לפי המסמכים</t>
        </is>
      </c>
      <c r="G20" s="7" t="n">
        <v>138</v>
      </c>
      <c r="H20" s="7">
        <f>ROUND(E20*G20,2)</f>
        <v/>
      </c>
      <c r="I20" s="5" t="n"/>
    </row>
    <row r="21">
      <c r="A21" s="4" t="inlineStr">
        <is>
          <t>02.03</t>
        </is>
      </c>
      <c r="B21" s="5" t="inlineStr">
        <is>
          <t>פירוק קירות ומחיצות בקומה א׳</t>
        </is>
      </c>
      <c r="C21" s="5" t="inlineStr">
        <is>
          <t>הריסה ופירוק מבוקרים של כל הקירות והמחיצות (בלוקים, בטון וגבס) המסומנים להריסה בקומה א׳, בהתאם לתוכנית ההריסה (כמות משוערת לפי התוכנית). קירות בטון ואלמנטים נושאים – רק לאחר אישור הקונסטרוקטור בכתב.</t>
        </is>
      </c>
      <c r="D21" s="4" t="inlineStr">
        <is>
          <t>מ״ר</t>
        </is>
      </c>
      <c r="E21" s="6" t="n">
        <v>85</v>
      </c>
      <c r="F21" s="4" t="inlineStr">
        <is>
          <t>לפי המסמכים</t>
        </is>
      </c>
      <c r="G21" s="7" t="n">
        <v>138</v>
      </c>
      <c r="H21" s="7">
        <f>ROUND(E21*G21,2)</f>
        <v/>
      </c>
      <c r="I21" s="5" t="n"/>
    </row>
    <row r="22">
      <c r="A22" s="4" t="inlineStr">
        <is>
          <t>02.04</t>
        </is>
      </c>
      <c r="B22" s="5" t="inlineStr">
        <is>
          <t>פירוק תקרות גבס קיימות</t>
        </is>
      </c>
      <c r="C22" s="5" t="inlineStr">
        <is>
          <t>פירוק תקרות גבס קיימות המיועדות להסרה, לרבות לוחות, פרופילים ומתלים, בתיאום עם בעלי המקצוע ולאחר ניתוק המערכות הרלוונטיות.</t>
        </is>
      </c>
      <c r="D22" s="4" t="inlineStr">
        <is>
          <t>מ״ר</t>
        </is>
      </c>
      <c r="E22" s="6" t="n">
        <v>10</v>
      </c>
      <c r="F22" s="4" t="inlineStr">
        <is>
          <t>לפי המסמכים</t>
        </is>
      </c>
      <c r="G22" s="7" t="n">
        <v>57</v>
      </c>
      <c r="H22" s="7">
        <f>ROUND(E22*G22,2)</f>
        <v/>
      </c>
      <c r="I22" s="5" t="n"/>
    </row>
    <row r="23">
      <c r="A23" s="4" t="inlineStr">
        <is>
          <t>02.05</t>
        </is>
      </c>
      <c r="B23" s="5" t="inlineStr">
        <is>
          <t>פירוק ריצופים קיימים</t>
        </is>
      </c>
      <c r="C23" s="5" t="inlineStr">
        <is>
          <t>פירוק ריצופים קיימים באזורים שיאושרו לביצוע, בהתאם להחלטה משותפת בשטח ובהתחשב במצב הריצוף הקיים. היקף הפירוק ייקבע לפני תחילת העבודה.</t>
        </is>
      </c>
      <c r="D23" s="4" t="inlineStr">
        <is>
          <t>מ״ר</t>
        </is>
      </c>
      <c r="E23" s="6" t="n">
        <v>40</v>
      </c>
      <c r="F23" s="4" t="inlineStr">
        <is>
          <t>לפי המסמכים</t>
        </is>
      </c>
      <c r="G23" s="7" t="n">
        <v>103</v>
      </c>
      <c r="H23" s="7">
        <f>ROUND(E23*G23,2)</f>
        <v/>
      </c>
      <c r="I23" s="5" t="n"/>
    </row>
    <row r="24">
      <c r="A24" s="4" t="inlineStr">
        <is>
          <t>02.06</t>
        </is>
      </c>
      <c r="B24" s="5" t="inlineStr">
        <is>
          <t>פירוק ארונות מטבח קיימים</t>
        </is>
      </c>
      <c r="C24" s="5" t="inlineStr">
        <is>
          <t>פירוק ארונות מטבח קיימים, לרבות יחידות הארונות ורכיבי החיבור שלהן למבנה, בתיאום עם המזמין לגבי פריטים המיועדים לשימור.</t>
        </is>
      </c>
      <c r="D24" s="4" t="inlineStr">
        <is>
          <t>קומפ׳</t>
        </is>
      </c>
      <c r="E24" s="6" t="n">
        <v>1</v>
      </c>
      <c r="F24" s="4" t="inlineStr">
        <is>
          <t>לפי המסמכים</t>
        </is>
      </c>
      <c r="G24" s="7" t="n">
        <v>2300</v>
      </c>
      <c r="H24" s="7">
        <f>ROUND(E24*G24,2)</f>
        <v/>
      </c>
      <c r="I24" s="5" t="n"/>
    </row>
    <row r="25">
      <c r="A25" s="4" t="inlineStr">
        <is>
          <t>02.07</t>
        </is>
      </c>
      <c r="B25" s="5" t="inlineStr">
        <is>
          <t>פירוק ארונות ונגרות קיימת אחרת</t>
        </is>
      </c>
      <c r="C25" s="5" t="inlineStr">
        <is>
          <t>פירוק ארונות הלבשה ופריטי נגרות קיימים אחרים המיועדים להסרה, לרבות רכיבי החיבור למבנה, בהתאם להחלטת המזמין בדבר שימור או פינוי.</t>
        </is>
      </c>
      <c r="D25" s="4" t="inlineStr">
        <is>
          <t>יח׳</t>
        </is>
      </c>
      <c r="E25" s="6" t="n">
        <v>1</v>
      </c>
      <c r="F25" s="4" t="inlineStr">
        <is>
          <t>לפי המסמכים</t>
        </is>
      </c>
      <c r="G25" s="7" t="n">
        <v>2875</v>
      </c>
      <c r="H25" s="7">
        <f>ROUND(E25*G25,2)</f>
        <v/>
      </c>
      <c r="I25" s="5" t="n"/>
    </row>
    <row r="26">
      <c r="A26" s="4" t="inlineStr">
        <is>
          <t>02.08</t>
        </is>
      </c>
      <c r="B26" s="5" t="inlineStr">
        <is>
          <t>פירוק חלונות אלומיניום ותריסים קיימים – קומפלט</t>
        </is>
      </c>
      <c r="C26" s="5" t="inlineStr">
        <is>
          <t>פירוק כל החלונות והתריסים הקיימים המיועדים להחלפה לפי תוכנית הבנייה, לרבות כנפיים, זיגוג, מסגרות, רכיבי הפעלה ועיגון, וניתוק הזנת תריסים חשמליים, תוך שמירה על הפתח.</t>
        </is>
      </c>
      <c r="D26" s="4" t="inlineStr">
        <is>
          <t>קומפ׳</t>
        </is>
      </c>
      <c r="E26" s="6" t="n">
        <v>1</v>
      </c>
      <c r="F26" s="4" t="inlineStr">
        <is>
          <t>לפי המסמכים</t>
        </is>
      </c>
      <c r="G26" s="7" t="n">
        <v>6900</v>
      </c>
      <c r="H26" s="7">
        <f>ROUND(E26*G26,2)</f>
        <v/>
      </c>
      <c r="I26" s="5" t="n"/>
    </row>
    <row r="27">
      <c r="A27" s="4" t="inlineStr">
        <is>
          <t>02.09</t>
        </is>
      </c>
      <c r="B27" s="5" t="inlineStr">
        <is>
          <t>פירוק דלתות פנים וכניסה ומשקופים – קומפלט</t>
        </is>
      </c>
      <c r="C27" s="5" t="inlineStr">
        <is>
          <t>פירוק כל הדלתות המסומנות בתוכניות ההריסה, לרבות כנפיים, משקופים ופרזול, ובתיאום הסדרת הגישה למבנה במהלך הביצוע.</t>
        </is>
      </c>
      <c r="D27" s="4" t="inlineStr">
        <is>
          <t>קומפ׳</t>
        </is>
      </c>
      <c r="E27" s="6" t="n">
        <v>1</v>
      </c>
      <c r="F27" s="4" t="inlineStr">
        <is>
          <t>לפי המסמכים</t>
        </is>
      </c>
      <c r="G27" s="7" t="n">
        <v>4025</v>
      </c>
      <c r="H27" s="7">
        <f>ROUND(E27*G27,2)</f>
        <v/>
      </c>
      <c r="I27" s="5" t="n"/>
    </row>
    <row r="28">
      <c r="A28" s="4" t="inlineStr">
        <is>
          <t>02.10</t>
        </is>
      </c>
      <c r="B28" s="5" t="inlineStr">
        <is>
          <t>פירוק חדרי רחצה, שירותים וכלים סניטריים – קומפלט</t>
        </is>
      </c>
      <c r="C28" s="5" t="inlineStr">
        <is>
          <t>פירוק מלא של חדרי הרחצה והשירותים הקיימים: אסלות, כיורים, אמבטיות, מקלחונים, ברזים וחיפויי קירות, לרבות ניתוק וסגירת חיבורי מים וביוב, בהתאם לתוכניות ההריסה.</t>
        </is>
      </c>
      <c r="D28" s="4" t="inlineStr">
        <is>
          <t>קומפ׳</t>
        </is>
      </c>
      <c r="E28" s="6" t="n">
        <v>1</v>
      </c>
      <c r="F28" s="4" t="inlineStr">
        <is>
          <t>לפי המסמכים</t>
        </is>
      </c>
      <c r="G28" s="7" t="n">
        <v>9200</v>
      </c>
      <c r="H28" s="7">
        <f>ROUND(E28*G28,2)</f>
        <v/>
      </c>
      <c r="I28" s="5" t="n"/>
    </row>
    <row r="29">
      <c r="A29" s="4" t="inlineStr">
        <is>
          <t>02.11</t>
        </is>
      </c>
      <c r="B29" s="5" t="inlineStr">
        <is>
          <t>פירוק נקודות, אביזרי חשמל וגופי תאורה קיימים</t>
        </is>
      </c>
      <c r="C29" s="5" t="inlineStr">
        <is>
          <t>ניתוק ופירוק נקודות, שקעים, מפסקים וגופי תאורה קיימים המיועדים לביטול או להחלפה, באמצעות חשמלאי בעל רישיון מתאים, בתיאום עם המזמין לגבי פריטים לשימור.</t>
        </is>
      </c>
      <c r="D29" s="4" t="inlineStr">
        <is>
          <t>קומפ׳</t>
        </is>
      </c>
      <c r="E29" s="6" t="n">
        <v>1</v>
      </c>
      <c r="F29" s="4" t="inlineStr">
        <is>
          <t>לפי המסמכים</t>
        </is>
      </c>
      <c r="G29" s="7" t="n">
        <v>4600</v>
      </c>
      <c r="H29" s="7">
        <f>ROUND(E29*G29,2)</f>
        <v/>
      </c>
      <c r="I29" s="5" t="n"/>
    </row>
    <row r="30">
      <c r="A30" s="4" t="inlineStr">
        <is>
          <t>02.12</t>
        </is>
      </c>
      <c r="B30" s="5" t="inlineStr">
        <is>
          <t>פירוק צנרת אינסטלציה גלויה קיימת</t>
        </is>
      </c>
      <c r="C30" s="5" t="inlineStr">
        <is>
          <t>ניתוק ופירוק צנרת אינסטלציה גלויה המיועדת להסרה, לרבות אביזרי החיבור והקיבוע הרלוונטיים, לאחר זיהוי הקווים הפעילים וסגירת החיבורים הנדרשים.</t>
        </is>
      </c>
      <c r="D30" s="4" t="inlineStr">
        <is>
          <t>קומפ׳</t>
        </is>
      </c>
      <c r="E30" s="6" t="n">
        <v>1</v>
      </c>
      <c r="F30" s="4" t="inlineStr">
        <is>
          <t>לפי המסמכים</t>
        </is>
      </c>
      <c r="G30" s="7" t="n">
        <v>3450</v>
      </c>
      <c r="H30" s="7">
        <f>ROUND(E30*G30,2)</f>
        <v/>
      </c>
      <c r="I30" s="5" t="n"/>
    </row>
    <row r="31">
      <c r="A31" s="4" t="inlineStr">
        <is>
          <t>02.13</t>
        </is>
      </c>
      <c r="B31" s="5" t="inlineStr">
        <is>
          <t>פירוק יחידות מיזוג קיימות (פנים וחוץ)</t>
        </is>
      </c>
      <c r="C31" s="5" t="inlineStr">
        <is>
          <t>ניתוק ופירוק יחידות מיזוג פנים וחוץ קיימות, בתיאום מוקדם עם המזמין לגבי יחידות תקינות לשימוש חוזר (חלקן מיועדות ליחידת המרתף), לרבות שמירתן לפי ההחלטה.</t>
        </is>
      </c>
      <c r="D31" s="4" t="inlineStr">
        <is>
          <t>קומפ׳</t>
        </is>
      </c>
      <c r="E31" s="6" t="n">
        <v>1</v>
      </c>
      <c r="F31" s="4" t="inlineStr">
        <is>
          <t>לפי המסמכים</t>
        </is>
      </c>
      <c r="G31" s="7" t="n">
        <v>2875</v>
      </c>
      <c r="H31" s="7">
        <f>ROUND(E31*G31,2)</f>
        <v/>
      </c>
      <c r="I31" s="5" t="n"/>
    </row>
    <row r="32">
      <c r="A32" s="4" t="inlineStr">
        <is>
          <t>02.14</t>
        </is>
      </c>
      <c r="B32" s="5" t="inlineStr">
        <is>
          <t>פירוק מעקה גרם המדרגות הפנימי</t>
        </is>
      </c>
      <c r="C32" s="5" t="inlineStr">
        <is>
          <t>פירוק זהיר ומבוקר של המעקה הקיים בגרם המדרגות הפנימי, בהתאם להנחיות הקונסטרוקטור ולאישורו בכתב. חיזוק גרם המדרגות מתואר בנפרד בפרק הבנייה.</t>
        </is>
      </c>
      <c r="D32" s="4" t="inlineStr">
        <is>
          <t>קומפ׳</t>
        </is>
      </c>
      <c r="E32" s="6" t="n">
        <v>1</v>
      </c>
      <c r="F32" s="4" t="inlineStr">
        <is>
          <t>לפי המסמכים</t>
        </is>
      </c>
      <c r="G32" s="7" t="n">
        <v>2300</v>
      </c>
      <c r="H32" s="7">
        <f>ROUND(E32*G32,2)</f>
        <v/>
      </c>
      <c r="I32" s="5" t="n"/>
    </row>
    <row r="33">
      <c r="A33" s="4" t="inlineStr">
        <is>
          <t>02.15</t>
        </is>
      </c>
      <c r="B33" s="5" t="inlineStr">
        <is>
          <t>ניסור ופירוק מסגרות בטון דקורטיביות סביב חלונות</t>
        </is>
      </c>
      <c r="C33" s="5" t="inlineStr">
        <is>
          <t>ניסור ופירוק מבוקר של מסגרות הבטון הדקורטיביות סביב פתחי החלונות בחזיתות, בהתאם להנחיות ולאישור הקונסטרוקטור, עד להסרת הבליטות והכנת האזור להשלמת גמר חזית אחיד. עבודות הטיח והגמר מתוארות בפרק טיח החוץ.</t>
        </is>
      </c>
      <c r="D33" s="4" t="inlineStr">
        <is>
          <t>מ״א</t>
        </is>
      </c>
      <c r="E33" s="6" t="n">
        <v>45</v>
      </c>
      <c r="F33" s="4" t="inlineStr">
        <is>
          <t>לפי המסמכים</t>
        </is>
      </c>
      <c r="G33" s="7" t="n">
        <v>195</v>
      </c>
      <c r="H33" s="7">
        <f>ROUND(E33*G33,2)</f>
        <v/>
      </c>
      <c r="I33" s="5" t="n"/>
    </row>
    <row r="34">
      <c r="A34" s="4" t="inlineStr">
        <is>
          <t>02.16</t>
        </is>
      </c>
      <c r="B34" s="5" t="inlineStr">
        <is>
          <t>מיון ופינוי פסולת לאתר מורשה</t>
        </is>
      </c>
      <c r="C34" s="5" t="inlineStr">
        <is>
          <t>מיון פסולת ההריסה והפירוק לפי סוגי החומרים, העמסה והובלה לאתר מורשה, לרבות מסירת אישורי הפינוי הנדרשים.</t>
        </is>
      </c>
      <c r="D34" s="4" t="inlineStr">
        <is>
          <t>קומפ׳</t>
        </is>
      </c>
      <c r="E34" s="6" t="n">
        <v>1</v>
      </c>
      <c r="F34" s="4" t="inlineStr">
        <is>
          <t>לפי המסמכים</t>
        </is>
      </c>
      <c r="G34" s="7" t="n">
        <v>32200</v>
      </c>
      <c r="H34" s="7">
        <f>ROUND(E34*G34,2)</f>
        <v/>
      </c>
      <c r="I34" s="5" t="n"/>
    </row>
    <row r="35">
      <c r="A35" s="4" t="inlineStr">
        <is>
          <t>02.17</t>
        </is>
      </c>
      <c r="B35" s="5" t="inlineStr">
        <is>
          <t>ניקיון יסודי לאחר ההריסות</t>
        </is>
      </c>
      <c r="C35" s="5" t="inlineStr">
        <is>
          <t>ניקיון יסודי של שטחי ההריסה והפירוק לאחר השלמתם, הסרת שאריות וריכוז פסולת שנותרה, והכנת השטחים לתחילת עבודות הבנייה.</t>
        </is>
      </c>
      <c r="D35" s="4" t="inlineStr">
        <is>
          <t>קומפ׳</t>
        </is>
      </c>
      <c r="E35" s="6" t="n">
        <v>1</v>
      </c>
      <c r="F35" s="4" t="inlineStr">
        <is>
          <t>לפי המסמכים</t>
        </is>
      </c>
      <c r="G35" s="7" t="n">
        <v>3450</v>
      </c>
      <c r="H35" s="7">
        <f>ROUND(E35*G35,2)</f>
        <v/>
      </c>
      <c r="I35" s="5" t="n"/>
    </row>
    <row r="36">
      <c r="A36" s="4" t="inlineStr">
        <is>
          <t>02.18</t>
        </is>
      </c>
      <c r="B36" s="5" t="inlineStr">
        <is>
          <t>פירוק פנלים קיימים בכל הבית</t>
        </is>
      </c>
      <c r="C36" s="5" t="inlineStr">
        <is>
          <t>פירוק פנלים קיימים בכל שטחי הבית, כולל ניקוי הקיר ושאריות הדבק, לפי הערות תוכניות ההריסה.</t>
        </is>
      </c>
      <c r="D36" s="4" t="inlineStr">
        <is>
          <t>קומפ׳</t>
        </is>
      </c>
      <c r="E36" s="6" t="n">
        <v>1</v>
      </c>
      <c r="F36" s="4" t="inlineStr">
        <is>
          <t>לפי המסמכים</t>
        </is>
      </c>
      <c r="G36" s="7" t="n">
        <v>5175</v>
      </c>
      <c r="H36" s="7">
        <f>ROUND(E36*G36,2)</f>
        <v/>
      </c>
      <c r="I36" s="5" t="n"/>
    </row>
    <row r="37">
      <c r="A37" s="4" t="inlineStr">
        <is>
          <t>02.19</t>
        </is>
      </c>
      <c r="B37" s="5" t="inlineStr">
        <is>
          <t>פירוק מדרגות חוץ</t>
        </is>
      </c>
      <c r="C37" s="5" t="inlineStr">
        <is>
          <t xml:space="preserve">פירוק והריסת מדרגות בטון בגמר גרנוליט, לרבות פירוק המעקות ועיגוניהם, חיתוך הזיון לפי הצורך, איסוף הפסולת, העמסתה ,הובלתה לאתר מורשה, כולל אגרות פינוי וניקוי שטח העבודה בגמר הביצוע. </t>
        </is>
      </c>
      <c r="D37" s="4" t="inlineStr">
        <is>
          <t>קומפ׳</t>
        </is>
      </c>
      <c r="E37" s="6" t="n">
        <v>1</v>
      </c>
      <c r="F37" s="4" t="inlineStr">
        <is>
          <t>לפי המסמכים</t>
        </is>
      </c>
      <c r="G37" s="7" t="n">
        <v>3450</v>
      </c>
      <c r="H37" s="7">
        <f>ROUND(E37*G37,2)</f>
        <v/>
      </c>
      <c r="I37" s="5" t="n"/>
    </row>
    <row r="38">
      <c r="A38" s="4" t="inlineStr">
        <is>
          <t>02.20</t>
        </is>
      </c>
      <c r="B38" s="5" t="inlineStr">
        <is>
          <t>פירוק רצפת גרנוליט בחניה, בכניסה ובשבילים</t>
        </is>
      </c>
      <c r="C38" s="5" t="inlineStr">
        <is>
          <t>פירוק רצפת גרנוליט ומצעה באזור החניה, הכניסה לבית והשבילים, כמפורט בתכולת פרק 2 בחוברת, לרבות ריכוז הפסולת.</t>
        </is>
      </c>
      <c r="D38" s="4" t="inlineStr">
        <is>
          <t>מ״ר</t>
        </is>
      </c>
      <c r="E38" s="6" t="n">
        <v>100</v>
      </c>
      <c r="F38" s="4" t="inlineStr">
        <is>
          <t>לפי המסמכים</t>
        </is>
      </c>
      <c r="G38" s="7" t="n">
        <v>115</v>
      </c>
      <c r="H38" s="7">
        <f>ROUND(E38*G38,2)</f>
        <v/>
      </c>
      <c r="I38" s="5" t="n"/>
    </row>
    <row r="39">
      <c r="A39" s="8" t="inlineStr">
        <is>
          <t>סה״כ פרק 2 — הריסות, פירוקים ופינוי</t>
        </is>
      </c>
      <c r="B39" s="8" t="n"/>
      <c r="C39" s="8" t="n"/>
      <c r="D39" s="8" t="n"/>
      <c r="E39" s="8" t="n"/>
      <c r="F39" s="8" t="n"/>
      <c r="G39" s="8" t="n"/>
      <c r="H39" s="9">
        <f>SUM(H19:H38)</f>
        <v/>
      </c>
      <c r="I39" s="8" t="n"/>
    </row>
    <row r="41">
      <c r="A41" s="3" t="inlineStr">
        <is>
          <t>פרק 3 — בנייה ותוספות מבניות</t>
        </is>
      </c>
      <c r="B41" s="3" t="n"/>
      <c r="C41" s="3" t="n"/>
      <c r="D41" s="3" t="n"/>
      <c r="E41" s="3" t="n"/>
      <c r="F41" s="3" t="n"/>
      <c r="G41" s="3" t="n"/>
      <c r="H41" s="3" t="n"/>
      <c r="I41" s="3" t="n"/>
    </row>
    <row r="42">
      <c r="A42" s="4" t="inlineStr">
        <is>
          <t>03.01</t>
        </is>
      </c>
      <c r="B42" s="5" t="inlineStr">
        <is>
          <t>הגדלת מרפסת הסלון ותוספת פרגולה</t>
        </is>
      </c>
      <c r="C42" s="5" t="inlineStr">
        <is>
          <t>ביצוע הגדלת מרפסת הסלון ותוספת הפרגולה, קומפלט בתחום העבודות המבניות ובהתאם לתוכניות ולמפרט הקונסטרוקטור, לרבות ביסוס, רכיבי בטון וזיון, שלד פלדה מפרופילי RHS, לוחות בסיס, עיגונים, חיבורים וריתוכים, ככל שנדרשים בתכנון. העבודה כוללת את הבדיקות, אישורי הביצוע ותוכנית העדות הנדרשים במפרט. עבודות האיטום והגמר יבוצעו במסגרת הפרקים הייעודיים.</t>
        </is>
      </c>
      <c r="D42" s="4" t="inlineStr">
        <is>
          <t>קומפ׳</t>
        </is>
      </c>
      <c r="E42" s="6" t="n">
        <v>1</v>
      </c>
      <c r="F42" s="4" t="inlineStr">
        <is>
          <t>אומדן – לפי קונסטרוקטור</t>
        </is>
      </c>
      <c r="G42" s="7" t="n">
        <v>80500</v>
      </c>
      <c r="H42" s="7">
        <f>ROUND(E42*G42,2)</f>
        <v/>
      </c>
      <c r="I42" s="5" t="inlineStr">
        <is>
          <t>סכום זמני עד קבלת תוכניות</t>
        </is>
      </c>
    </row>
    <row r="43">
      <c r="A43" s="4" t="inlineStr">
        <is>
          <t>03.02</t>
        </is>
      </c>
      <c r="B43" s="5" t="inlineStr">
        <is>
          <t>תוספת חדר בקומת הגלריה</t>
        </is>
      </c>
      <c r="C43" s="5" t="inlineStr">
        <is>
          <t>ביצוע העבודות המבניות לתוספת החדר בקומת הגלריה, קומפלט לפי תוכניות הקונסטרוקטור והאדריכלות, לרבות רכיבי השלד, החיבורים והעיגונים למבנה הקיים, פתחים והכנות מבניות למערכות, בהתאם לתכנון. העבודה כוללת בדיקות, אישורים ותוכנית עדות; גמרים ומערכות מפורטים בפרקים הייעודיים.</t>
        </is>
      </c>
      <c r="D43" s="4" t="inlineStr">
        <is>
          <t>קומפ׳</t>
        </is>
      </c>
      <c r="E43" s="6" t="n">
        <v>1</v>
      </c>
      <c r="F43" s="4" t="inlineStr">
        <is>
          <t>אומדן – לפי קונסטרוקטור</t>
        </is>
      </c>
      <c r="G43" s="7" t="n">
        <v>138000</v>
      </c>
      <c r="H43" s="7">
        <f>ROUND(E43*G43,2)</f>
        <v/>
      </c>
      <c r="I43" s="5" t="inlineStr">
        <is>
          <t>סכום זמני עד קבלת תוכניות</t>
        </is>
      </c>
    </row>
    <row r="44">
      <c r="A44" s="4" t="inlineStr">
        <is>
          <t>03.03</t>
        </is>
      </c>
      <c r="B44" s="5" t="inlineStr">
        <is>
          <t>כניסה חדשה וגרם מדרגות חדש</t>
        </is>
      </c>
      <c r="C44" s="5" t="inlineStr">
        <is>
          <t>ביצוע העבודות המבניות לכניסה החדשה ולגרם המדרגות החדש, קומפלט לפי תוכניות הקונסטרוקטור והאדריכלות, לרבות ביסוס, רכיבי השלד, זיון, יציקות, חיבורים ועיגונים, וכן אלמנטי מעקה ככל שנכללים בתכנון המבני. גמרים יבוצעו במסגרת הפרקים הייעודיים.</t>
        </is>
      </c>
      <c r="D44" s="4" t="inlineStr">
        <is>
          <t>קומפ׳</t>
        </is>
      </c>
      <c r="E44" s="6" t="n">
        <v>1</v>
      </c>
      <c r="F44" s="4" t="inlineStr">
        <is>
          <t>אומדן – לפי קונסטרוקטור</t>
        </is>
      </c>
      <c r="G44" s="7" t="n">
        <v>43700</v>
      </c>
      <c r="H44" s="7">
        <f>ROUND(E44*G44,2)</f>
        <v/>
      </c>
      <c r="I44" s="5" t="inlineStr">
        <is>
          <t>סכום זמני עד קבלת תוכניות</t>
        </is>
      </c>
    </row>
    <row r="45">
      <c r="A45" s="4" t="inlineStr">
        <is>
          <t>03.04</t>
        </is>
      </c>
      <c r="B45" s="5" t="inlineStr">
        <is>
          <t>חיזוק גרם המדרגות הפנימי הקיים</t>
        </is>
      </c>
      <c r="C45" s="5" t="inlineStr">
        <is>
          <t>חיזוק גרם המדרגות הפנימי לאחר פירוק המעקה הקיים, קומפלט לפי פרטי הקונסטרוקטור, לרבות רכיבי החיזוק, החיבורים והעיגונים המוגדרים בתכנון, בדיקות וקבלת אישור הקונסטרוקטור לביצוע.</t>
        </is>
      </c>
      <c r="D45" s="4" t="inlineStr">
        <is>
          <t>קומפ׳</t>
        </is>
      </c>
      <c r="E45" s="6" t="n">
        <v>1</v>
      </c>
      <c r="F45" s="4" t="inlineStr">
        <is>
          <t>אומדן – לפי קונסטרוקטור</t>
        </is>
      </c>
      <c r="G45" s="7" t="n">
        <v>20700</v>
      </c>
      <c r="H45" s="7">
        <f>ROUND(E45*G45,2)</f>
        <v/>
      </c>
      <c r="I45" s="5" t="inlineStr">
        <is>
          <t>סכום זמני עד קבלת תוכניות</t>
        </is>
      </c>
    </row>
    <row r="46">
      <c r="A46" s="8" t="inlineStr">
        <is>
          <t>סה״כ פרק 3 — בנייה ותוספות מבניות</t>
        </is>
      </c>
      <c r="B46" s="8" t="n"/>
      <c r="C46" s="8" t="n"/>
      <c r="D46" s="8" t="n"/>
      <c r="E46" s="8" t="n"/>
      <c r="F46" s="8" t="n"/>
      <c r="G46" s="8" t="n"/>
      <c r="H46" s="9">
        <f>SUM(H42:H45)</f>
        <v/>
      </c>
      <c r="I46" s="8" t="n"/>
    </row>
    <row r="48">
      <c r="A48" s="3" t="inlineStr">
        <is>
          <t>פרק 4 — חלוקה חדשה בקירות בלוקים</t>
        </is>
      </c>
      <c r="B48" s="3" t="n"/>
      <c r="C48" s="3" t="n"/>
      <c r="D48" s="3" t="n"/>
      <c r="E48" s="3" t="n"/>
      <c r="F48" s="3" t="n"/>
      <c r="G48" s="3" t="n"/>
      <c r="H48" s="3" t="n"/>
      <c r="I48" s="3" t="n"/>
    </row>
    <row r="49">
      <c r="A49" s="4" t="inlineStr">
        <is>
          <t>04.01</t>
        </is>
      </c>
      <c r="B49" s="5" t="inlineStr">
        <is>
          <t>קירות בלוקים במרתף</t>
        </is>
      </c>
      <c r="C49" s="5" t="inlineStr">
        <is>
          <t>בניית קירות בלוקים בעובי 20 ס״מ בקומת המרתף, במיקומים המסומנים בתוכנית הבנייה החדשה, בהתאם לפרטי הקונסטרוקטור, לרבות חומרי החיבור, חיבור למבנה הקיים ורכיבי זיון או חיזוק ככל שנדרשים בפרטים. טיח וגמר אינם כלולים בסעיף זה.</t>
        </is>
      </c>
      <c r="D49" s="4" t="inlineStr">
        <is>
          <t>מ״ר</t>
        </is>
      </c>
      <c r="E49" s="6" t="n">
        <v>6.3</v>
      </c>
      <c r="F49" s="4" t="inlineStr">
        <is>
          <t>לפי המסמכים</t>
        </is>
      </c>
      <c r="G49" s="7" t="n">
        <v>345</v>
      </c>
      <c r="H49" s="7">
        <f>ROUND(E49*G49,2)</f>
        <v/>
      </c>
      <c r="I49" s="5" t="n"/>
    </row>
    <row r="50">
      <c r="A50" s="4" t="inlineStr">
        <is>
          <t>04.02</t>
        </is>
      </c>
      <c r="B50" s="5" t="inlineStr">
        <is>
          <t>קירות בלוקים בקומת הקרקע</t>
        </is>
      </c>
      <c r="C50" s="5" t="inlineStr">
        <is>
          <t>בניית קירות בלוקים בעובי 20 ס״מ בקומת הקרקע, במיקומים המסומנים בתוכנית הבנייה החדשה, בהתאם לפרטי הקונסטרוקטור, לרבות חומרי החיבור, חיבור למבנה הקיים ורכיבי זיון או חיזוק ככל שנדרשים בפרטים. טיח וגמר אינם כלולים בסעיף זה.</t>
        </is>
      </c>
      <c r="D50" s="4" t="inlineStr">
        <is>
          <t>מ״ר</t>
        </is>
      </c>
      <c r="E50" s="6" t="n">
        <v>17.7</v>
      </c>
      <c r="F50" s="4" t="inlineStr">
        <is>
          <t>לפי המסמכים</t>
        </is>
      </c>
      <c r="G50" s="7" t="n">
        <v>345</v>
      </c>
      <c r="H50" s="7">
        <f>ROUND(E50*G50,2)</f>
        <v/>
      </c>
      <c r="I50" s="5" t="n"/>
    </row>
    <row r="51">
      <c r="A51" s="4" t="inlineStr">
        <is>
          <t>04.03</t>
        </is>
      </c>
      <c r="B51" s="5" t="inlineStr">
        <is>
          <t>קירות בלוקים בקומה א׳ ובגלריה</t>
        </is>
      </c>
      <c r="C51" s="5" t="inlineStr">
        <is>
          <t>בניית קירות בלוקים בעובי 20 ס״מ בקומה א׳ ובגלריה, במיקומים המסומנים בתוכנית הבנייה החדשה, בהתאם לפרטי הקונסטרוקטור, לרבות חומרי החיבור, חיבור למבנה הקיים ורכיבי זיון או חיזוק ככל שנדרשים בפרטים. טיח וגמר אינם כלולים בסעיף זה.</t>
        </is>
      </c>
      <c r="D51" s="4" t="inlineStr">
        <is>
          <t>מ״ר</t>
        </is>
      </c>
      <c r="E51" s="6" t="n">
        <v>2.08</v>
      </c>
      <c r="F51" s="4" t="inlineStr">
        <is>
          <t>לפי המסמכים</t>
        </is>
      </c>
      <c r="G51" s="7" t="n">
        <v>345</v>
      </c>
      <c r="H51" s="7">
        <f>ROUND(E51*G51,2)</f>
        <v/>
      </c>
      <c r="I51" s="5" t="n"/>
    </row>
    <row r="52">
      <c r="A52" s="8" t="inlineStr">
        <is>
          <t>סה״כ פרק 4 — חלוקה חדשה בקירות בלוקים</t>
        </is>
      </c>
      <c r="B52" s="8" t="n"/>
      <c r="C52" s="8" t="n"/>
      <c r="D52" s="8" t="n"/>
      <c r="E52" s="8" t="n"/>
      <c r="F52" s="8" t="n"/>
      <c r="G52" s="8" t="n"/>
      <c r="H52" s="9">
        <f>SUM(H49:H51)</f>
        <v/>
      </c>
      <c r="I52" s="8" t="n"/>
    </row>
    <row r="54">
      <c r="A54" s="3" t="inlineStr">
        <is>
          <t>פרק 5 — אינסטלציה, התקנת כלים סניטריים וברזים</t>
        </is>
      </c>
      <c r="B54" s="3" t="n"/>
      <c r="C54" s="3" t="n"/>
      <c r="D54" s="3" t="n"/>
      <c r="E54" s="3" t="n"/>
      <c r="F54" s="3" t="n"/>
      <c r="G54" s="3" t="n"/>
      <c r="H54" s="3" t="n"/>
      <c r="I54" s="3" t="n"/>
    </row>
    <row r="55">
      <c r="A55" s="4" t="inlineStr">
        <is>
          <t>05.01</t>
        </is>
      </c>
      <c r="B55" s="5" t="inlineStr">
        <is>
          <t>התקנת אסלה תלויה</t>
        </is>
      </c>
      <c r="C55" s="5" t="inlineStr">
        <is>
          <t>התקנת אסלה תלויה במיקום המתוכנן, לרבות קיבוע למערכת הנשיאה, חיבור למערכת ההדחה והביוב, אטימת החיבורים ובדיקת יציבות ותפקוד. מכל ההדחה, הלחצן והמושב מתוארים בנפרד.</t>
        </is>
      </c>
      <c r="D55" s="4" t="inlineStr">
        <is>
          <t>יח׳</t>
        </is>
      </c>
      <c r="E55" s="6" t="n">
        <v>7</v>
      </c>
      <c r="F55" s="4" t="inlineStr">
        <is>
          <t>לפי המסמכים</t>
        </is>
      </c>
      <c r="G55" s="7" t="n">
        <v>920</v>
      </c>
      <c r="H55" s="7">
        <f>ROUND(E55*G55,2)</f>
        <v/>
      </c>
      <c r="I55" s="5" t="inlineStr">
        <is>
          <t>התקנה בלבד; אספקה על המזמין</t>
        </is>
      </c>
    </row>
    <row r="56">
      <c r="A56" s="4" t="inlineStr">
        <is>
          <t>05.02</t>
        </is>
      </c>
      <c r="B56" s="5" t="inlineStr">
        <is>
          <t>התקנת מכל הדחה סמוי</t>
        </is>
      </c>
      <c r="C56" s="5" t="inlineStr">
        <is>
          <t>התקנת מכל הדחה סמוי ומערכת הנשיאה הנלווית לפי המוצר שנבחר, לרבות עיגון, חיבור למים ולאסלה, התאמת מיקום פתח השירות ובדיקת אטימות ותפקוד לפני סגירת החיפוי.</t>
        </is>
      </c>
      <c r="D56" s="4" t="inlineStr">
        <is>
          <t>יח׳</t>
        </is>
      </c>
      <c r="E56" s="6" t="n">
        <v>7</v>
      </c>
      <c r="F56" s="4" t="inlineStr">
        <is>
          <t>לפי המסמכים</t>
        </is>
      </c>
      <c r="G56" s="7" t="n">
        <v>1265</v>
      </c>
      <c r="H56" s="7">
        <f>ROUND(E56*G56,2)</f>
        <v/>
      </c>
      <c r="I56" s="5" t="inlineStr">
        <is>
          <t>התקנה בלבד; אספקה על המזמין</t>
        </is>
      </c>
    </row>
    <row r="57">
      <c r="A57" s="4" t="inlineStr">
        <is>
          <t>05.03</t>
        </is>
      </c>
      <c r="B57" s="5" t="inlineStr">
        <is>
          <t>התקנת לחצן הדחה</t>
        </is>
      </c>
      <c r="C57" s="5" t="inlineStr">
        <is>
          <t>התקנת לחצן הדחה התואם למכל הסמוי, התאמתו למישור הגמר ובדיקת פעולת מנגנון ההדחה.</t>
        </is>
      </c>
      <c r="D57" s="4" t="inlineStr">
        <is>
          <t>יח׳</t>
        </is>
      </c>
      <c r="E57" s="6" t="n">
        <v>7</v>
      </c>
      <c r="F57" s="4" t="inlineStr">
        <is>
          <t>לפי המסמכים</t>
        </is>
      </c>
      <c r="G57" s="7" t="n">
        <v>172</v>
      </c>
      <c r="H57" s="7">
        <f>ROUND(E57*G57,2)</f>
        <v/>
      </c>
      <c r="I57" s="5" t="inlineStr">
        <is>
          <t>התקנה בלבד; אספקה על המזמין</t>
        </is>
      </c>
    </row>
    <row r="58">
      <c r="A58" s="4" t="inlineStr">
        <is>
          <t>05.04</t>
        </is>
      </c>
      <c r="B58" s="5" t="inlineStr">
        <is>
          <t>התקנת מושב אסלה הידראולי</t>
        </is>
      </c>
      <c r="C58" s="5" t="inlineStr">
        <is>
          <t>התקנת מושב אסלה בעל מנגנון סגירה הידראולי, התואם לדגם האסלה, לרבות קיבוע, כיוון ובדיקת פעולת המנגנון.</t>
        </is>
      </c>
      <c r="D58" s="4" t="inlineStr">
        <is>
          <t>יח׳</t>
        </is>
      </c>
      <c r="E58" s="6" t="n">
        <v>7</v>
      </c>
      <c r="F58" s="4" t="inlineStr">
        <is>
          <t>לפי המסמכים</t>
        </is>
      </c>
      <c r="G58" s="7" t="n">
        <v>172</v>
      </c>
      <c r="H58" s="7">
        <f>ROUND(E58*G58,2)</f>
        <v/>
      </c>
      <c r="I58" s="5" t="inlineStr">
        <is>
          <t>התקנה בלבד; אספקה על המזמין</t>
        </is>
      </c>
    </row>
    <row r="59">
      <c r="A59" s="4" t="inlineStr">
        <is>
          <t>05.05</t>
        </is>
      </c>
      <c r="B59" s="5" t="inlineStr">
        <is>
          <t>התקנת כיור עומד</t>
        </is>
      </c>
      <c r="C59" s="5" t="inlineStr">
        <is>
          <t>התקנת כיור עומד לפי הדגם שנבחר, לרבות העמדה וקיבוע בהתאם להוראות היצרן, חיבור לניקוז ואטימת המפגשים הנדרשים.</t>
        </is>
      </c>
      <c r="D59" s="4" t="inlineStr">
        <is>
          <t>יח׳</t>
        </is>
      </c>
      <c r="E59" s="6" t="n">
        <v>1</v>
      </c>
      <c r="F59" s="4" t="inlineStr">
        <is>
          <t>לפי המסמכים</t>
        </is>
      </c>
      <c r="G59" s="7" t="n">
        <v>690</v>
      </c>
      <c r="H59" s="7">
        <f>ROUND(E59*G59,2)</f>
        <v/>
      </c>
      <c r="I59" s="5" t="inlineStr">
        <is>
          <t>התקנה בלבד; אספקה על המזמין</t>
        </is>
      </c>
    </row>
    <row r="60">
      <c r="A60" s="4" t="inlineStr">
        <is>
          <t>05.06</t>
        </is>
      </c>
      <c r="B60" s="5" t="inlineStr">
        <is>
          <t>התקנת ברז קיר</t>
        </is>
      </c>
      <c r="C60" s="5" t="inlineStr">
        <is>
          <t>התקנת ברז קיר במיקום ובגובה המתוכננים, לרבות חיבור לנקודות המים, התאמה לעומק הגמר, אטימת החיבורים ובדיקת פעולה.</t>
        </is>
      </c>
      <c r="D60" s="4" t="inlineStr">
        <is>
          <t>יח׳</t>
        </is>
      </c>
      <c r="E60" s="6" t="n">
        <v>6</v>
      </c>
      <c r="F60" s="4" t="inlineStr">
        <is>
          <t>לפי המסמכים</t>
        </is>
      </c>
      <c r="G60" s="7" t="n">
        <v>345</v>
      </c>
      <c r="H60" s="7">
        <f>ROUND(E60*G60,2)</f>
        <v/>
      </c>
      <c r="I60" s="5" t="inlineStr">
        <is>
          <t>התקנה בלבד; אספקה על המזמין</t>
        </is>
      </c>
    </row>
    <row r="61">
      <c r="A61" s="4" t="inlineStr">
        <is>
          <t>05.07</t>
        </is>
      </c>
      <c r="B61" s="5" t="inlineStr">
        <is>
          <t>התקנת ראש גשם</t>
        </is>
      </c>
      <c r="C61" s="5" t="inlineStr">
        <is>
          <t>התקנת ראש גשם ורכיב החיבור התואם למוצר שנבחר, לרבות חיבור לנקודת המים, קיבוע ובדיקת זרימה ואטימות.</t>
        </is>
      </c>
      <c r="D61" s="4" t="inlineStr">
        <is>
          <t>יח׳</t>
        </is>
      </c>
      <c r="E61" s="6" t="n">
        <v>6</v>
      </c>
      <c r="F61" s="4" t="inlineStr">
        <is>
          <t>לפי המסמכים</t>
        </is>
      </c>
      <c r="G61" s="7" t="n">
        <v>518</v>
      </c>
      <c r="H61" s="7">
        <f>ROUND(E61*G61,2)</f>
        <v/>
      </c>
      <c r="I61" s="5" t="inlineStr">
        <is>
          <t>התקנה בלבד; אספקה על המזמין</t>
        </is>
      </c>
    </row>
    <row r="62">
      <c r="A62" s="4" t="inlineStr">
        <is>
          <t>05.08</t>
        </is>
      </c>
      <c r="B62" s="5" t="inlineStr">
        <is>
          <t>התקנת אינטרפוץ תלת־דרכי</t>
        </is>
      </c>
      <c r="C62" s="5" t="inlineStr">
        <is>
          <t>התקנת מערכת אינטרפוץ תלת־דרכית, לרבות הגוף הסמוי ורכיבי הגמר של המוצר שנבחר, חיבור לקווי המים וליציאות המתוכננות, התאמת עומק ההתקנה ובדיקת אטימות ותפקוד לפני סגירה ובגמר ההתקנה.</t>
        </is>
      </c>
      <c r="D62" s="4" t="inlineStr">
        <is>
          <t>יח׳</t>
        </is>
      </c>
      <c r="E62" s="6" t="n">
        <v>10</v>
      </c>
      <c r="F62" s="4" t="inlineStr">
        <is>
          <t>לפי המסמכים</t>
        </is>
      </c>
      <c r="G62" s="7" t="n">
        <v>518</v>
      </c>
      <c r="H62" s="7">
        <f>ROUND(E62*G62,2)</f>
        <v/>
      </c>
      <c r="I62" s="5" t="inlineStr">
        <is>
          <t>התקנה בלבד; אספקה על המזמין</t>
        </is>
      </c>
    </row>
    <row r="63">
      <c r="A63" s="4" t="inlineStr">
        <is>
          <t>05.09</t>
        </is>
      </c>
      <c r="B63" s="5" t="inlineStr">
        <is>
          <t>התקנת אינטרפוץ ארבע־דרכי</t>
        </is>
      </c>
      <c r="C63" s="5" t="inlineStr">
        <is>
          <t>התקנת מערכת אינטרפוץ ארבע־דרכית, לרבות הגוף הסמוי ורכיבי הגמר של המוצר שנבחר, חיבור לקווי המים וליציאות המתוכננות, התאמת עומק ההתקנה ובדיקת אטימות ותפקוד לפני סגירה ובגמר ההתקנה.</t>
        </is>
      </c>
      <c r="D63" s="4" t="inlineStr">
        <is>
          <t>יח׳</t>
        </is>
      </c>
      <c r="E63" s="6" t="n">
        <v>2</v>
      </c>
      <c r="F63" s="4" t="inlineStr">
        <is>
          <t>לפי המסמכים</t>
        </is>
      </c>
      <c r="G63" s="7" t="n">
        <v>690</v>
      </c>
      <c r="H63" s="7">
        <f>ROUND(E63*G63,2)</f>
        <v/>
      </c>
      <c r="I63" s="5" t="inlineStr">
        <is>
          <t>התקנה בלבד; אספקה על המזמין</t>
        </is>
      </c>
    </row>
    <row r="64">
      <c r="A64" s="4" t="inlineStr">
        <is>
          <t>05.10</t>
        </is>
      </c>
      <c r="B64" s="5" t="inlineStr">
        <is>
          <t>התקנת מאחז מזלף</t>
        </is>
      </c>
      <c r="C64" s="5" t="inlineStr">
        <is>
          <t>התקנת מאחז מזלף במיקום המתוכנן, לרבות קיבוע לתשתית ואטימת נקודות העיגון באזור הרטוב.</t>
        </is>
      </c>
      <c r="D64" s="4" t="inlineStr">
        <is>
          <t>יח׳</t>
        </is>
      </c>
      <c r="E64" s="6" t="n">
        <v>7</v>
      </c>
      <c r="F64" s="4" t="inlineStr">
        <is>
          <t>לפי המסמכים</t>
        </is>
      </c>
      <c r="G64" s="7" t="n">
        <v>288</v>
      </c>
      <c r="H64" s="7">
        <f>ROUND(E64*G64,2)</f>
        <v/>
      </c>
      <c r="I64" s="5" t="inlineStr">
        <is>
          <t>התקנה בלבד; אספקה על המזמין</t>
        </is>
      </c>
    </row>
    <row r="65">
      <c r="A65" s="4" t="inlineStr">
        <is>
          <t>05.11</t>
        </is>
      </c>
      <c r="B65" s="5" t="inlineStr">
        <is>
          <t>התקנת אביזר ניקוז המסומן 10/10</t>
        </is>
      </c>
      <c r="C65" s="5" t="inlineStr">
        <is>
          <t>התקנת אביזר הניקוז המסומן במקור „תעלת ניקוז 10/10”, לרבות חיבור למערכת הניקוז, התאמה למפלס הריצוף ושילוב אטום עם מערכת האיטום. סוג האביזר המדויק ייקבע לפי התוכנית והמוצר המאושר.</t>
        </is>
      </c>
      <c r="D65" s="4" t="inlineStr">
        <is>
          <t>יח׳</t>
        </is>
      </c>
      <c r="E65" s="6" t="n">
        <v>5</v>
      </c>
      <c r="F65" s="4" t="inlineStr">
        <is>
          <t>לפי המסמכים</t>
        </is>
      </c>
      <c r="G65" s="7" t="n">
        <v>747</v>
      </c>
      <c r="H65" s="7">
        <f>ROUND(E65*G65,2)</f>
        <v/>
      </c>
      <c r="I65" s="5" t="inlineStr">
        <is>
          <t>התקנה בלבד; אספקה על המזמין</t>
        </is>
      </c>
    </row>
    <row r="66">
      <c r="A66" s="4" t="inlineStr">
        <is>
          <t>05.12</t>
        </is>
      </c>
      <c r="B66" s="5" t="inlineStr">
        <is>
          <t>התקנת תעלת גלישה המסומנת 110</t>
        </is>
      </c>
      <c r="C66" s="5" t="inlineStr">
        <is>
          <t>התקנת תעלת הגלישה המסומנת במקור „110”, לרבות העמדה במיקום המתוכנן, חיבור לניקוז, התאמה למפלסי הגמר ושילוב עם מערכת האיטום, בהתאם לפרט ולמוצר שנבחר.</t>
        </is>
      </c>
      <c r="D66" s="4" t="inlineStr">
        <is>
          <t>יח׳</t>
        </is>
      </c>
      <c r="E66" s="6" t="n">
        <v>1</v>
      </c>
      <c r="F66" s="4" t="inlineStr">
        <is>
          <t>לפי המסמכים</t>
        </is>
      </c>
      <c r="G66" s="7" t="n">
        <v>1725</v>
      </c>
      <c r="H66" s="7">
        <f>ROUND(E66*G66,2)</f>
        <v/>
      </c>
      <c r="I66" s="5" t="inlineStr">
        <is>
          <t>התקנה בלבד; אספקה על המזמין</t>
        </is>
      </c>
    </row>
    <row r="67">
      <c r="A67" s="4" t="inlineStr">
        <is>
          <t>05.13</t>
        </is>
      </c>
      <c r="B67" s="5" t="inlineStr">
        <is>
          <t>התקנת אמבטיה עצמאית</t>
        </is>
      </c>
      <c r="C67" s="5" t="inlineStr">
        <is>
          <t>התקנת אמבטיה עצמאית מסוג Free Standing, לרבות העמדה במיקום המתוכנן, התאמת מפלס, חיבור לניקוז ובדיקת אטימות. ברז המילוי מתואר בנפרד.</t>
        </is>
      </c>
      <c r="D67" s="4" t="inlineStr">
        <is>
          <t>יח׳</t>
        </is>
      </c>
      <c r="E67" s="6" t="n">
        <v>1</v>
      </c>
      <c r="F67" s="4" t="inlineStr">
        <is>
          <t>לפי המסמכים</t>
        </is>
      </c>
      <c r="G67" s="7" t="n">
        <v>2530</v>
      </c>
      <c r="H67" s="7">
        <f>ROUND(E67*G67,2)</f>
        <v/>
      </c>
      <c r="I67" s="5" t="inlineStr">
        <is>
          <t>התקנה בלבד; אספקה על המזמין</t>
        </is>
      </c>
    </row>
    <row r="68">
      <c r="A68" s="4" t="inlineStr">
        <is>
          <t>05.15</t>
        </is>
      </c>
      <c r="B68" s="5" t="inlineStr">
        <is>
          <t>התקנת ברז מילוי לאמבטיה</t>
        </is>
      </c>
      <c r="C68" s="5" t="inlineStr">
        <is>
          <t>התקנת ברז מילוי אמבטיה לפי הדגם ושיטת ההתקנה שנבחרו, לרבות חיבור למים, קיבוע, אטימת החיבורים ובדיקת פעולה.</t>
        </is>
      </c>
      <c r="D68" s="4" t="inlineStr">
        <is>
          <t>יח׳</t>
        </is>
      </c>
      <c r="E68" s="6" t="n">
        <v>1</v>
      </c>
      <c r="F68" s="4" t="inlineStr">
        <is>
          <t>לפי המסמכים</t>
        </is>
      </c>
      <c r="G68" s="7" t="n">
        <v>1150</v>
      </c>
      <c r="H68" s="7">
        <f>ROUND(E68*G68,2)</f>
        <v/>
      </c>
      <c r="I68" s="5" t="inlineStr">
        <is>
          <t>התקנה בלבד; אספקה על המזמין</t>
        </is>
      </c>
    </row>
    <row r="69">
      <c r="A69" s="4" t="inlineStr">
        <is>
          <t>05.16</t>
        </is>
      </c>
      <c r="B69" s="5" t="inlineStr">
        <is>
          <t>התקנת כיור מטבח</t>
        </is>
      </c>
      <c r="C69" s="5" t="inlineStr">
        <is>
          <t>התקנת כיור מטבח לפי הדגם ושיטת ההתקנה שנבחרו, בתיאום עם ספק משטח העבודה, לרבות קיבוע, אטימת המפגש וחיבור לניקוז. ברז המטבח מתואר בנפרד.</t>
        </is>
      </c>
      <c r="D69" s="4" t="inlineStr">
        <is>
          <t>יח׳</t>
        </is>
      </c>
      <c r="E69" s="6" t="n">
        <v>3</v>
      </c>
      <c r="F69" s="4" t="inlineStr">
        <is>
          <t>לפי המסמכים</t>
        </is>
      </c>
      <c r="G69" s="7" t="n">
        <v>747</v>
      </c>
      <c r="H69" s="7">
        <f>ROUND(E69*G69,2)</f>
        <v/>
      </c>
      <c r="I69" s="5" t="inlineStr">
        <is>
          <t>התקנה בלבד; אספקה על המזמין</t>
        </is>
      </c>
    </row>
    <row r="70">
      <c r="A70" s="4" t="inlineStr">
        <is>
          <t>05.17</t>
        </is>
      </c>
      <c r="B70" s="5" t="inlineStr">
        <is>
          <t>התקנת ברז מטבח פרח נשלף</t>
        </is>
      </c>
      <c r="C70" s="5" t="inlineStr">
        <is>
          <t>התקנת ברז מטבח מסוג פרח בעל פייה נשלפת, לרבות קיבוע, חיבור למים, התקנת רכיבי מנגנון השליפה ובדיקת תפקוד ואטימות.</t>
        </is>
      </c>
      <c r="D70" s="4" t="inlineStr">
        <is>
          <t>יח׳</t>
        </is>
      </c>
      <c r="E70" s="6" t="n">
        <v>5</v>
      </c>
      <c r="F70" s="4" t="inlineStr">
        <is>
          <t>לפי המסמכים</t>
        </is>
      </c>
      <c r="G70" s="7" t="n">
        <v>518</v>
      </c>
      <c r="H70" s="7">
        <f>ROUND(E70*G70,2)</f>
        <v/>
      </c>
      <c r="I70" s="5" t="inlineStr">
        <is>
          <t>התקנה בלבד; אספקה על המזמין</t>
        </is>
      </c>
    </row>
    <row r="71">
      <c r="A71" s="4" t="inlineStr">
        <is>
          <t>05.18</t>
        </is>
      </c>
      <c r="B71" s="5" t="inlineStr">
        <is>
          <t>התקנת כיור במטבח חוץ</t>
        </is>
      </c>
      <c r="C71" s="5" t="inlineStr">
        <is>
          <t>התקנת כיור במטבח החוץ, לפי הדגם שנבחר ובתיאום עם משטח העבודה, לרבות קיבוע, איטום וחיבור לניקוז.</t>
        </is>
      </c>
      <c r="D71" s="4" t="inlineStr">
        <is>
          <t>יח׳</t>
        </is>
      </c>
      <c r="E71" s="6" t="n">
        <v>2</v>
      </c>
      <c r="F71" s="4" t="inlineStr">
        <is>
          <t>לפי המסמכים</t>
        </is>
      </c>
      <c r="G71" s="7" t="n">
        <v>747</v>
      </c>
      <c r="H71" s="7">
        <f>ROUND(E71*G71,2)</f>
        <v/>
      </c>
      <c r="I71" s="5" t="inlineStr">
        <is>
          <t>התקנה בלבד; אספקה על המזמין</t>
        </is>
      </c>
    </row>
    <row r="72">
      <c r="A72" s="4" t="inlineStr">
        <is>
          <t>05.19</t>
        </is>
      </c>
      <c r="B72" s="5" t="inlineStr">
        <is>
          <t>התקנת ברז פרח נשלף במטבח חוץ</t>
        </is>
      </c>
      <c r="C72" s="5" t="inlineStr">
        <is>
          <t>התקנת ברז פרח נשלף במטבח החוץ, לרבות קיבוע, חיבור למים ובדיקת תפקוד ואטימות, בהתאם למוצר שנבחר.</t>
        </is>
      </c>
      <c r="D72" s="4" t="inlineStr">
        <is>
          <t>יח׳</t>
        </is>
      </c>
      <c r="E72" s="6" t="n">
        <v>2</v>
      </c>
      <c r="F72" s="4" t="inlineStr">
        <is>
          <t>לפי המסמכים</t>
        </is>
      </c>
      <c r="G72" s="7" t="n">
        <v>518</v>
      </c>
      <c r="H72" s="7">
        <f>ROUND(E72*G72,2)</f>
        <v/>
      </c>
      <c r="I72" s="5" t="inlineStr">
        <is>
          <t>התקנה בלבד; אספקה על המזמין</t>
        </is>
      </c>
    </row>
    <row r="73">
      <c r="A73" s="4" t="inlineStr">
        <is>
          <t>05.20</t>
        </is>
      </c>
      <c r="B73" s="5" t="inlineStr">
        <is>
          <t>התקנת כיור מונח או שוקת בשירותי אורחים</t>
        </is>
      </c>
      <c r="C73" s="5" t="inlineStr">
        <is>
          <t>התקנת כיור מונח או שוקת בשירותי האורחים, בהתאם לבחירה המאושרת, לרבות העמדה, קיבוע, אטימת המפגש עם המשטח וחיבור לניקוז.</t>
        </is>
      </c>
      <c r="D73" s="4" t="inlineStr">
        <is>
          <t>יח׳</t>
        </is>
      </c>
      <c r="E73" s="6" t="n">
        <v>1</v>
      </c>
      <c r="F73" s="4" t="inlineStr">
        <is>
          <t>לפי המסמכים</t>
        </is>
      </c>
      <c r="G73" s="7" t="n">
        <v>747</v>
      </c>
      <c r="H73" s="7">
        <f>ROUND(E73*G73,2)</f>
        <v/>
      </c>
      <c r="I73" s="5" t="inlineStr">
        <is>
          <t>התקנה בלבד; אספקה על המזמין</t>
        </is>
      </c>
    </row>
    <row r="74">
      <c r="A74" s="4" t="inlineStr">
        <is>
          <t>05.21</t>
        </is>
      </c>
      <c r="B74" s="5" t="inlineStr">
        <is>
          <t>התקנת ברז ניל</t>
        </is>
      </c>
      <c r="C74" s="5" t="inlineStr">
        <is>
          <t>התקנת ברז ניל בנקודת המים המיועדת, לרבות אטימת החיבור ובדיקת תקינות ויכולת סגירה.</t>
        </is>
      </c>
      <c r="D74" s="4" t="inlineStr">
        <is>
          <t>יח׳</t>
        </is>
      </c>
      <c r="E74" s="6" t="n">
        <v>11</v>
      </c>
      <c r="F74" s="4" t="inlineStr">
        <is>
          <t>לפי המסמכים</t>
        </is>
      </c>
      <c r="G74" s="7" t="n">
        <v>207</v>
      </c>
      <c r="H74" s="7">
        <f>ROUND(E74*G74,2)</f>
        <v/>
      </c>
      <c r="I74" s="5" t="inlineStr">
        <is>
          <t>התקנה בלבד; אספקה על המזמין</t>
        </is>
      </c>
    </row>
    <row r="75">
      <c r="A75" s="4" t="inlineStr">
        <is>
          <t>05.22</t>
        </is>
      </c>
      <c r="B75" s="5" t="inlineStr">
        <is>
          <t>התקנת ברז פרח וארון רחצה – מכלול</t>
        </is>
      </c>
      <c r="C75" s="5" t="inlineStr">
        <is>
          <t>התקנת מכלול "ברז פרח + ארון קומפלט": העמדה, פילוס וקיבוע הארון לפי הוראות הספק, התקנת הברז, חיבור למים ובדיקת תפקוד. תכולת המכלול המדויקת טעונה אישור לפני תמחור.</t>
        </is>
      </c>
      <c r="D75" s="4" t="inlineStr">
        <is>
          <t>יח׳</t>
        </is>
      </c>
      <c r="E75" s="6" t="n">
        <v>1</v>
      </c>
      <c r="F75" s="4" t="inlineStr">
        <is>
          <t>לפי המסמכים</t>
        </is>
      </c>
      <c r="G75" s="7" t="n">
        <v>2070</v>
      </c>
      <c r="H75" s="7">
        <f>ROUND(E75*G75,2)</f>
        <v/>
      </c>
      <c r="I75" s="5" t="inlineStr">
        <is>
          <t>התקנה בלבד; אספקה על המזמין</t>
        </is>
      </c>
    </row>
    <row r="76">
      <c r="A76" s="4" t="inlineStr">
        <is>
          <t>05.23</t>
        </is>
      </c>
      <c r="B76" s="5" t="inlineStr">
        <is>
          <t>התקנת תעלת גלישה חיצונית המסומנת 60</t>
        </is>
      </c>
      <c r="C76" s="5" t="inlineStr">
        <is>
          <t>התקנת תעלת הגלישה החיצונית המסומנת במקור „60”, לרבות חיבור לניקוז, התאמה למפלסי הגמר ושילוב אטום עם התשתית, בהתאם לתוכנית ולמוצר המאושר.</t>
        </is>
      </c>
      <c r="D76" s="4" t="inlineStr">
        <is>
          <t>יח׳</t>
        </is>
      </c>
      <c r="E76" s="6" t="n">
        <v>1</v>
      </c>
      <c r="F76" s="4" t="inlineStr">
        <is>
          <t>לפי המסמכים</t>
        </is>
      </c>
      <c r="G76" s="7" t="n">
        <v>1380</v>
      </c>
      <c r="H76" s="7">
        <f>ROUND(E76*G76,2)</f>
        <v/>
      </c>
      <c r="I76" s="5" t="inlineStr">
        <is>
          <t>התקנה בלבד; אספקה על המזמין</t>
        </is>
      </c>
    </row>
    <row r="77">
      <c r="A77" s="4" t="inlineStr">
        <is>
          <t>05.24</t>
        </is>
      </c>
      <c r="B77" s="5" t="inlineStr">
        <is>
          <t>התקנת כיור בר</t>
        </is>
      </c>
      <c r="C77" s="5" t="inlineStr">
        <is>
          <t>התקנת כיור בר במיקום המתוכנן, לרבות קיבוע, איטום המפגש עם המשטח וחיבור לניקוז, בתיאום עם ספק המשטח או הנגרות.</t>
        </is>
      </c>
      <c r="D77" s="4" t="inlineStr">
        <is>
          <t>יח׳</t>
        </is>
      </c>
      <c r="E77" s="6" t="n">
        <v>2</v>
      </c>
      <c r="F77" s="4" t="inlineStr">
        <is>
          <t>לפי המסמכים</t>
        </is>
      </c>
      <c r="G77" s="7" t="n">
        <v>632</v>
      </c>
      <c r="H77" s="7">
        <f>ROUND(E77*G77,2)</f>
        <v/>
      </c>
      <c r="I77" s="5" t="inlineStr">
        <is>
          <t>התקנה בלבד; אספקה על המזמין</t>
        </is>
      </c>
    </row>
    <row r="78">
      <c r="A78" s="4" t="inlineStr">
        <is>
          <t>05.25</t>
        </is>
      </c>
      <c r="B78" s="5" t="inlineStr">
        <is>
          <t>נקודת מים חמים וקרים לברז או סוללה</t>
        </is>
      </c>
      <c r="C78" s="5" t="inlineStr">
        <is>
          <t>נקודת מים חמים וקרים ממערכת אחידה, מהרכזת הקומתית ועד היציאה בקיר, כולל מעברים, שרוולים, ברז ניל ובדיקת לחץ.</t>
        </is>
      </c>
      <c r="D78" s="4" t="inlineStr">
        <is>
          <t>נק׳</t>
        </is>
      </c>
      <c r="E78" s="6" t="n">
        <v>23</v>
      </c>
      <c r="F78" s="4" t="inlineStr">
        <is>
          <t>לפי המסמכים</t>
        </is>
      </c>
      <c r="G78" s="7" t="n">
        <v>1380</v>
      </c>
      <c r="H78" s="7">
        <f>ROUND(E78*G78,2)</f>
        <v/>
      </c>
      <c r="I78" s="5" t="n"/>
    </row>
    <row r="79">
      <c r="A79" s="4" t="inlineStr">
        <is>
          <t>05.26</t>
        </is>
      </c>
      <c r="B79" s="5" t="inlineStr">
        <is>
          <t>נקודת מים קרים למכל הדחה</t>
        </is>
      </c>
      <c r="C79" s="5" t="inlineStr">
        <is>
          <t>נקודת מים קרים   למכל הדחה סמוי, כולל ברז ניל ובדיקת לחץ.</t>
        </is>
      </c>
      <c r="D79" s="4" t="inlineStr">
        <is>
          <t>נק׳</t>
        </is>
      </c>
      <c r="E79" s="6" t="n">
        <v>7</v>
      </c>
      <c r="F79" s="4" t="inlineStr">
        <is>
          <t>לפי המסמכים</t>
        </is>
      </c>
      <c r="G79" s="7" t="n">
        <v>575</v>
      </c>
      <c r="H79" s="7">
        <f>ROUND(E79*G79,2)</f>
        <v/>
      </c>
      <c r="I79" s="5" t="n"/>
    </row>
    <row r="80">
      <c r="A80" s="4" t="inlineStr">
        <is>
          <t>05.27</t>
        </is>
      </c>
      <c r="B80" s="5" t="inlineStr">
        <is>
          <t>נקודת ביוב לאסלה</t>
        </is>
      </c>
      <c r="C80" s="5" t="inlineStr">
        <is>
          <t>נקודת ביוב 110 מ״מ לאסלה תלויה, כולל חיבור לקו הביוב בשיפוע תקני ובדיקת אטימות.</t>
        </is>
      </c>
      <c r="D80" s="4" t="inlineStr">
        <is>
          <t>נק׳</t>
        </is>
      </c>
      <c r="E80" s="6" t="n">
        <v>7</v>
      </c>
      <c r="F80" s="4" t="inlineStr">
        <is>
          <t>לפי המסמכים</t>
        </is>
      </c>
      <c r="G80" s="7" t="n">
        <v>805</v>
      </c>
      <c r="H80" s="7">
        <f>ROUND(E80*G80,2)</f>
        <v/>
      </c>
      <c r="I80" s="5" t="n"/>
    </row>
    <row r="81">
      <c r="A81" s="4" t="inlineStr">
        <is>
          <t>05.28</t>
        </is>
      </c>
      <c r="B81" s="5" t="inlineStr">
        <is>
          <t>נקודת ניקוז לכיור ולאמבטיה</t>
        </is>
      </c>
      <c r="C81" s="5" t="inlineStr">
        <is>
          <t>נקודת ניקוז לכיורי רחצה, מטבח, בר, מטבח חוץ ואמבטיה, כולל סיפון/מחסום, חיבור לקו בשיפוע תקני ובדיקת אטימות.</t>
        </is>
      </c>
      <c r="D81" s="4" t="inlineStr">
        <is>
          <t>נק׳</t>
        </is>
      </c>
      <c r="E81" s="6" t="n">
        <v>15</v>
      </c>
      <c r="F81" s="4" t="inlineStr">
        <is>
          <t>לפי המסמכים</t>
        </is>
      </c>
      <c r="G81" s="7" t="n">
        <v>518</v>
      </c>
      <c r="H81" s="7">
        <f>ROUND(E81*G81,2)</f>
        <v/>
      </c>
      <c r="I81" s="5" t="n"/>
    </row>
    <row r="82">
      <c r="A82" s="4" t="inlineStr">
        <is>
          <t>05.29</t>
        </is>
      </c>
      <c r="B82" s="5" t="inlineStr">
        <is>
          <t>נקודת מים וניקוז למכונת כביסה</t>
        </is>
      </c>
      <c r="C82" s="5" t="inlineStr">
        <is>
          <t>נקודת מים קרים וניקוז עם ברז ניל להכנה למכונת כביסה (מקרא אינסטלציה, פריט 5).</t>
        </is>
      </c>
      <c r="D82" s="4" t="inlineStr">
        <is>
          <t>נק׳</t>
        </is>
      </c>
      <c r="E82" s="6" t="n">
        <v>2</v>
      </c>
      <c r="F82" s="4" t="inlineStr">
        <is>
          <t>לפי המסמכים</t>
        </is>
      </c>
      <c r="G82" s="7" t="n">
        <v>1035</v>
      </c>
      <c r="H82" s="7">
        <f>ROUND(E82*G82,2)</f>
        <v/>
      </c>
      <c r="I82" s="5" t="n"/>
    </row>
    <row r="83">
      <c r="A83" s="4" t="inlineStr">
        <is>
          <t>05.30</t>
        </is>
      </c>
      <c r="B83" s="5" t="inlineStr">
        <is>
          <t>ברז דלי</t>
        </is>
      </c>
      <c r="C83" s="5" t="inlineStr">
        <is>
          <t>ברז דלי למים קרים לניקיון או השקיה בגובה 40 ס״מ (מקרא אינסטלציה, פריט 7).</t>
        </is>
      </c>
      <c r="D83" s="4" t="inlineStr">
        <is>
          <t>יח׳</t>
        </is>
      </c>
      <c r="E83" s="6" t="n">
        <v>2</v>
      </c>
      <c r="F83" s="4" t="inlineStr">
        <is>
          <t>לפי המסמכים</t>
        </is>
      </c>
      <c r="G83" s="7" t="n">
        <v>207</v>
      </c>
      <c r="H83" s="7">
        <f>ROUND(E83*G83,2)</f>
        <v/>
      </c>
      <c r="I83" s="5" t="n"/>
    </row>
    <row r="84">
      <c r="A84" s="4" t="inlineStr">
        <is>
          <t>05.32</t>
        </is>
      </c>
      <c r="B84" s="5" t="inlineStr">
        <is>
          <t>קווי אספקה ראשיים ורכזות מים קומתיות</t>
        </is>
      </c>
      <c r="C84" s="5" t="inlineStr">
        <is>
          <t>קווי מים ראשיים מהמונה ועד רכזות המים הקומתיות (מקרא אינסטלציה, פריט 10), כולל מגופים, ווסת לחץ ובידוד צנרת חמה.</t>
        </is>
      </c>
      <c r="D84" s="4" t="inlineStr">
        <is>
          <t>קומפ׳</t>
        </is>
      </c>
      <c r="E84" s="6" t="n">
        <v>1</v>
      </c>
      <c r="F84" s="4" t="inlineStr">
        <is>
          <t>לפי המסמכים</t>
        </is>
      </c>
      <c r="G84" s="7" t="n">
        <v>23000</v>
      </c>
      <c r="H84" s="7">
        <f>ROUND(E84*G84,2)</f>
        <v/>
      </c>
      <c r="I84" s="5" t="n"/>
    </row>
    <row r="85">
      <c r="A85" s="4" t="inlineStr">
        <is>
          <t>05.33</t>
        </is>
      </c>
      <c r="B85" s="5" t="inlineStr">
        <is>
          <t>מערכת ביוב וניקוז ראשית</t>
        </is>
      </c>
      <c r="C85" s="5" t="inlineStr">
        <is>
          <t>קווי ביוב וניקוז ראשיים בכל הקומות עד חיבור למערכת הקיימת או לשוחה, כולל ביקורות, אוורור ובדיקות אטימות.</t>
        </is>
      </c>
      <c r="D85" s="4" t="inlineStr">
        <is>
          <t>קומפ׳</t>
        </is>
      </c>
      <c r="E85" s="6" t="n">
        <v>1</v>
      </c>
      <c r="F85" s="4" t="inlineStr">
        <is>
          <t>לפי המסמכים</t>
        </is>
      </c>
      <c r="G85" s="7" t="n">
        <v>20700</v>
      </c>
      <c r="H85" s="7">
        <f>ROUND(E85*G85,2)</f>
        <v/>
      </c>
      <c r="I85" s="5" t="n"/>
    </row>
    <row r="86">
      <c r="A86" s="4" t="inlineStr">
        <is>
          <t>05.34</t>
        </is>
      </c>
      <c r="B86" s="5" t="inlineStr">
        <is>
          <t>דוד מים חמים – התקנה וחיבור</t>
        </is>
      </c>
      <c r="C86" s="5" t="inlineStr">
        <is>
          <t>התקנת דוד מים חמים וחיבורו למערכת, כולל ברזים, שסתום בטיחות ומפסק זרם (סוג הדוד ומיקומו לפי תוכנית).</t>
        </is>
      </c>
      <c r="D86" s="4" t="inlineStr">
        <is>
          <t>יח׳</t>
        </is>
      </c>
      <c r="E86" s="6" t="n">
        <v>2</v>
      </c>
      <c r="F86" s="4" t="inlineStr">
        <is>
          <t>זמנית – תימדד בפועל</t>
        </is>
      </c>
      <c r="G86" s="7" t="n">
        <v>1380</v>
      </c>
      <c r="H86" s="7">
        <f>ROUND(E86*G86,2)</f>
        <v/>
      </c>
      <c r="I86" s="5" t="inlineStr">
        <is>
          <t>התקנה בלבד; אספקה על המזמין</t>
        </is>
      </c>
    </row>
    <row r="87">
      <c r="A87" s="4" t="inlineStr">
        <is>
          <t>05.35</t>
        </is>
      </c>
      <c r="B87" s="5" t="inlineStr">
        <is>
          <t>בדיקות לחץ ואטימות ותוכנית עדות</t>
        </is>
      </c>
      <c r="C87" s="5" t="inlineStr">
        <is>
          <t>בדיקות לחץ לכל קווי המים ובדיקות אטימות לקווי הביוב לפני כיסוי, בנוכחות המתכננת, כולל דוחות חתומים ותוכנית עדות.</t>
        </is>
      </c>
      <c r="D87" s="4" t="inlineStr">
        <is>
          <t>קומפ׳</t>
        </is>
      </c>
      <c r="E87" s="6" t="n">
        <v>1</v>
      </c>
      <c r="F87" s="4" t="inlineStr">
        <is>
          <t>לפי המסמכים</t>
        </is>
      </c>
      <c r="G87" s="7" t="n">
        <v>2875</v>
      </c>
      <c r="H87" s="7">
        <f>ROUND(E87*G87,2)</f>
        <v/>
      </c>
      <c r="I87" s="5" t="n"/>
    </row>
    <row r="88">
      <c r="A88" s="8" t="inlineStr">
        <is>
          <t>סה״כ פרק 5 — אינסטלציה, התקנת כלים סניטריים וברזים</t>
        </is>
      </c>
      <c r="B88" s="8" t="n"/>
      <c r="C88" s="8" t="n"/>
      <c r="D88" s="8" t="n"/>
      <c r="E88" s="8" t="n"/>
      <c r="F88" s="8" t="n"/>
      <c r="G88" s="8" t="n"/>
      <c r="H88" s="9">
        <f>SUM(H55:H87)</f>
        <v/>
      </c>
      <c r="I88" s="8" t="n"/>
    </row>
    <row r="90">
      <c r="A90" s="3" t="inlineStr">
        <is>
          <t>פרק 6 — חשמל</t>
        </is>
      </c>
      <c r="B90" s="3" t="n"/>
      <c r="C90" s="3" t="n"/>
      <c r="D90" s="3" t="n"/>
      <c r="E90" s="3" t="n"/>
      <c r="F90" s="3" t="n"/>
      <c r="G90" s="3" t="n"/>
      <c r="H90" s="3" t="n"/>
      <c r="I90" s="3" t="n"/>
    </row>
    <row r="91">
      <c r="A91" s="4" t="inlineStr">
        <is>
          <t>06.01</t>
        </is>
      </c>
      <c r="B91" s="5" t="inlineStr">
        <is>
          <t>נקודת שקע רגיל</t>
        </is>
      </c>
      <c r="C91" s="5" t="inlineStr">
        <is>
          <t>ביצוע נקודת שקע רגיל במיקום ובגובה המתוכננים, לרבות תשתית וחיווט למעגל המתאים, התקנת אביזר הגמר ובדיקת תקינות הנקודה.</t>
        </is>
      </c>
      <c r="D91" s="4" t="inlineStr">
        <is>
          <t>יח׳</t>
        </is>
      </c>
      <c r="E91" s="6" t="n">
        <v>119</v>
      </c>
      <c r="F91" s="4" t="inlineStr">
        <is>
          <t>לפי המסמכים</t>
        </is>
      </c>
      <c r="G91" s="7" t="n">
        <v>310</v>
      </c>
      <c r="H91" s="7">
        <f>ROUND(E91*G91,2)</f>
        <v/>
      </c>
      <c r="I91" s="5" t="n"/>
    </row>
    <row r="92">
      <c r="A92" s="4" t="inlineStr">
        <is>
          <t>06.02</t>
        </is>
      </c>
      <c r="B92" s="5" t="inlineStr">
        <is>
          <t>נקודת שקע מוגן מים</t>
        </is>
      </c>
      <c r="C92" s="5" t="inlineStr">
        <is>
          <t>ביצוע נקודת שקע מוגן מים באזור רטוב או חיצוני, בדרגת הגנה המתאימה למיקום ולדרישות המפרט, לרבות תשתית, חיווט, אביזר הגמר וחיבור למעגל בעל ההגנות הנדרשות.</t>
        </is>
      </c>
      <c r="D92" s="4" t="inlineStr">
        <is>
          <t>יח׳</t>
        </is>
      </c>
      <c r="E92" s="6" t="n">
        <v>51</v>
      </c>
      <c r="F92" s="4" t="inlineStr">
        <is>
          <t>לפי המסמכים</t>
        </is>
      </c>
      <c r="G92" s="7" t="n">
        <v>368</v>
      </c>
      <c r="H92" s="7">
        <f>ROUND(E92*G92,2)</f>
        <v/>
      </c>
      <c r="I92" s="5" t="n"/>
    </row>
    <row r="93">
      <c r="A93" s="4" t="inlineStr">
        <is>
          <t>06.03</t>
        </is>
      </c>
      <c r="B93" s="5" t="inlineStr">
        <is>
          <t>תשתית להפעלת תריס חשמלי</t>
        </is>
      </c>
      <c r="C93" s="5" t="inlineStr">
        <is>
          <t>ביצוע תשתית חשמל להפעלת תריס חשמלי, בהתאם לתוכנית ולשיטת הבקרה שתאושר בכתב בידי המזמין, לרבות צנרת, חיווט וקופסאות הנדרשים לשיטה שנבחרה. מנוע התריס אינו נכלל בסעיף התשתית.</t>
        </is>
      </c>
      <c r="D93" s="4" t="inlineStr">
        <is>
          <t>יח׳</t>
        </is>
      </c>
      <c r="E93" s="6" t="n">
        <v>18</v>
      </c>
      <c r="F93" s="4" t="inlineStr">
        <is>
          <t>לפי המסמכים</t>
        </is>
      </c>
      <c r="G93" s="7" t="n">
        <v>437</v>
      </c>
      <c r="H93" s="7">
        <f>ROUND(E93*G93,2)</f>
        <v/>
      </c>
      <c r="I93" s="5" t="n"/>
    </row>
    <row r="94">
      <c r="A94" s="4" t="inlineStr">
        <is>
          <t>06.04</t>
        </is>
      </c>
      <c r="B94" s="5" t="inlineStr">
        <is>
          <t>שקע מנוע תריס</t>
        </is>
      </c>
      <c r="C94" s="5" t="inlineStr">
        <is>
          <t>ביצוע נקודת שקע למנוע תריס במיקום המתוכנן, לרבות חיווט, קופסה וחיבור למעגל המתאים. יש לתאם את גבול התכולה עם סעיף תשתית התריס כדי למנוע כפל.</t>
        </is>
      </c>
      <c r="D94" s="4" t="inlineStr">
        <is>
          <t>יח׳</t>
        </is>
      </c>
      <c r="E94" s="6" t="n">
        <v>9</v>
      </c>
      <c r="F94" s="4" t="inlineStr">
        <is>
          <t>לפי המסמכים</t>
        </is>
      </c>
      <c r="G94" s="7" t="n">
        <v>253</v>
      </c>
      <c r="H94" s="7">
        <f>ROUND(E94*G94,2)</f>
        <v/>
      </c>
      <c r="I94" s="5" t="n"/>
    </row>
    <row r="95">
      <c r="A95" s="4" t="inlineStr">
        <is>
          <t>06.05</t>
        </is>
      </c>
      <c r="B95" s="5" t="inlineStr">
        <is>
          <t>נקודת שקע תלת־פאזי</t>
        </is>
      </c>
      <c r="C95" s="5" t="inlineStr">
        <is>
          <t>ביצוע נקודת שקע תלת־פאזי בהתאם לייעוד ולעומס המתוכננים, לרבות תשתית, מוליכים, אביזר מתאים, חיבור למעגל ובדיקת תקינות.</t>
        </is>
      </c>
      <c r="D95" s="4" t="inlineStr">
        <is>
          <t>יח׳</t>
        </is>
      </c>
      <c r="E95" s="6" t="n">
        <v>1</v>
      </c>
      <c r="F95" s="4" t="inlineStr">
        <is>
          <t>לפי המסמכים</t>
        </is>
      </c>
      <c r="G95" s="7" t="n">
        <v>1035</v>
      </c>
      <c r="H95" s="7">
        <f>ROUND(E95*G95,2)</f>
        <v/>
      </c>
      <c r="I95" s="5" t="n"/>
    </row>
    <row r="96">
      <c r="A96" s="4" t="inlineStr">
        <is>
          <t>06.06</t>
        </is>
      </c>
      <c r="B96" s="5" t="inlineStr">
        <is>
          <t>הרחבת לוח החשמל הראשי</t>
        </is>
      </c>
      <c r="C96" s="5" t="inlineStr">
        <is>
          <t>הרחבת והתאמת לוח החשמל הראשי לעומסי הבית והתוספות, בהתאם לתכנון החשמל, לרבות רכיבי הלוח, אמצעי ההגנה, חיבור המעגלים, סימונם ובדיקת תקינות.</t>
        </is>
      </c>
      <c r="D96" s="4" t="inlineStr">
        <is>
          <t>קומפ׳</t>
        </is>
      </c>
      <c r="E96" s="6" t="n">
        <v>1</v>
      </c>
      <c r="F96" s="4" t="inlineStr">
        <is>
          <t>לפי המסמכים</t>
        </is>
      </c>
      <c r="G96" s="7" t="n">
        <v>9775</v>
      </c>
      <c r="H96" s="7">
        <f>ROUND(E96*G96,2)</f>
        <v/>
      </c>
      <c r="I96" s="5" t="n"/>
    </row>
    <row r="97">
      <c r="A97" s="4" t="inlineStr">
        <is>
          <t>06.07</t>
        </is>
      </c>
      <c r="B97" s="5" t="inlineStr">
        <is>
          <t>אספקה והתקנת פילר חברת החשמל</t>
        </is>
      </c>
      <c r="C97" s="5" t="inlineStr">
        <is>
          <t>אספקה והתקנת פילר חדש בכניסה למגרש, בהתאם למיקום ולמפרט שיאושרו בידי חברת החשמל, לרבות עבודות ההתקנה וההתאמות הנדרשות במסגרת הסעיף.</t>
        </is>
      </c>
      <c r="D97" s="4" t="inlineStr">
        <is>
          <t>קומפ׳</t>
        </is>
      </c>
      <c r="E97" s="6" t="n">
        <v>1</v>
      </c>
      <c r="F97" s="4" t="inlineStr">
        <is>
          <t>לפי המסמכים</t>
        </is>
      </c>
      <c r="G97" s="7" t="n">
        <v>8050</v>
      </c>
      <c r="H97" s="7">
        <f>ROUND(E97*G97,2)</f>
        <v/>
      </c>
      <c r="I97" s="5" t="n"/>
    </row>
    <row r="98">
      <c r="A98" s="4" t="inlineStr">
        <is>
          <t>06.08</t>
        </is>
      </c>
      <c r="B98" s="5" t="inlineStr">
        <is>
          <t>טיפול בהגדלת חיבור החשמל</t>
        </is>
      </c>
      <c r="C98" s="5" t="inlineStr">
        <is>
          <t>הכנת והגשת תוכניות ומסמכים לחברת החשמל לצורך הגדלת החיבור ל־3×40 אמפר, טיפול בהליך וקבלת האישורים הנדרשים, באמצעות חשמלאי בעל רישיון מתאים. התשלום לחברת החשמל בעבור הגדלת החיבור עצמה יחול על המזמין, בהתאם למפרט.</t>
        </is>
      </c>
      <c r="D98" s="4" t="inlineStr">
        <is>
          <t>קומפ׳</t>
        </is>
      </c>
      <c r="E98" s="6" t="n">
        <v>1</v>
      </c>
      <c r="F98" s="4" t="inlineStr">
        <is>
          <t>לפי המסמכים</t>
        </is>
      </c>
      <c r="G98" s="7" t="n">
        <v>5175</v>
      </c>
      <c r="H98" s="7">
        <f>ROUND(E98*G98,2)</f>
        <v/>
      </c>
      <c r="I98" s="5" t="n"/>
    </row>
    <row r="99">
      <c r="A99" s="4" t="inlineStr">
        <is>
          <t>06.09</t>
        </is>
      </c>
      <c r="B99" s="5" t="inlineStr">
        <is>
          <t>בדיקת חשמל סופית</t>
        </is>
      </c>
      <c r="C99" s="5" t="inlineStr">
        <is>
          <t>ביצוע בדיקה סופית של מתקן החשמל באמצעות חשמלאי בודק בעל רישיון מתאים, לרבות בדיקות הארקה, בידוד ואמצעי הגנה, והמצאת דוח הבדיקה והאישורים הנדרשים.</t>
        </is>
      </c>
      <c r="D99" s="4" t="inlineStr">
        <is>
          <t>קומפ׳</t>
        </is>
      </c>
      <c r="E99" s="6" t="n">
        <v>1</v>
      </c>
      <c r="F99" s="4" t="inlineStr">
        <is>
          <t>לפי המסמכים</t>
        </is>
      </c>
      <c r="G99" s="7" t="n">
        <v>2875</v>
      </c>
      <c r="H99" s="7">
        <f>ROUND(E99*G99,2)</f>
        <v/>
      </c>
      <c r="I99" s="5" t="n"/>
    </row>
    <row r="100">
      <c r="A100" s="4" t="inlineStr">
        <is>
          <t>06.10</t>
        </is>
      </c>
      <c r="B100" s="5" t="inlineStr">
        <is>
          <t>נקודת שקע כוח</t>
        </is>
      </c>
      <c r="C100" s="5" t="inlineStr">
        <is>
          <t>ביצוע נקודת שקע כוח בהתאם לייעוד המסומן בתוכנית, לרבות תשתית, חיווט, אביזר הגמר וחיבור למעגל המתאים לעומס. ייעוד הנקודה וההבחנה בינה לבין שקע רגיל יוגדרו לפי המקרא.</t>
        </is>
      </c>
      <c r="D100" s="4" t="inlineStr">
        <is>
          <t>יח׳</t>
        </is>
      </c>
      <c r="E100" s="6" t="n">
        <v>9</v>
      </c>
      <c r="F100" s="4" t="inlineStr">
        <is>
          <t>לפי המסמכים</t>
        </is>
      </c>
      <c r="G100" s="7" t="n">
        <v>437</v>
      </c>
      <c r="H100" s="7">
        <f>ROUND(E100*G100,2)</f>
        <v/>
      </c>
      <c r="I100" s="5" t="n"/>
    </row>
    <row r="101">
      <c r="A101" s="4" t="inlineStr">
        <is>
          <t>06.11</t>
        </is>
      </c>
      <c r="B101" s="5" t="inlineStr">
        <is>
          <t>נקודת הזנה ליחידת מיזוג</t>
        </is>
      </c>
      <c r="C101" s="5" t="inlineStr">
        <is>
          <t>נקודת הזנה ייעודית ליחידת מיזוג, כולל מעגל, מפסק והגנות לפי התקן.</t>
        </is>
      </c>
      <c r="D101" s="4" t="inlineStr">
        <is>
          <t>נק׳</t>
        </is>
      </c>
      <c r="E101" s="6" t="n">
        <v>8</v>
      </c>
      <c r="F101" s="4" t="inlineStr">
        <is>
          <t>זמנית – תימדד בפועל</t>
        </is>
      </c>
      <c r="G101" s="7" t="n">
        <v>862</v>
      </c>
      <c r="H101" s="7">
        <f>ROUND(E101*G101,2)</f>
        <v/>
      </c>
      <c r="I101" s="5" t="n"/>
    </row>
    <row r="102">
      <c r="A102" s="4" t="inlineStr">
        <is>
          <t>06.12</t>
        </is>
      </c>
      <c r="B102" s="5" t="inlineStr">
        <is>
          <t>נקודת חיבור ישיר</t>
        </is>
      </c>
      <c r="C102" s="5" t="inlineStr">
        <is>
          <t>נקודת חיבור ישיר לתנור, כיריים, קולט אדים או תנור חימום (לפי מקרא החשמל).</t>
        </is>
      </c>
      <c r="D102" s="4" t="inlineStr">
        <is>
          <t>נק׳</t>
        </is>
      </c>
      <c r="E102" s="6" t="n">
        <v>6</v>
      </c>
      <c r="F102" s="4" t="inlineStr">
        <is>
          <t>זמנית – תימדד בפועל</t>
        </is>
      </c>
      <c r="G102" s="7" t="n">
        <v>598</v>
      </c>
      <c r="H102" s="7">
        <f>ROUND(E102*G102,2)</f>
        <v/>
      </c>
      <c r="I102" s="5" t="n"/>
    </row>
    <row r="103">
      <c r="A103" s="4" t="inlineStr">
        <is>
          <t>06.13</t>
        </is>
      </c>
      <c r="B103" s="5" t="inlineStr">
        <is>
          <t>מפסק זרם לדוד עם נורת סימון</t>
        </is>
      </c>
      <c r="C103" s="5" t="inlineStr">
        <is>
          <t>נקודת מפסק זרם לדוד מים חמים עם נורת סימון (מקרא החשמל).</t>
        </is>
      </c>
      <c r="D103" s="4" t="inlineStr">
        <is>
          <t>יח׳</t>
        </is>
      </c>
      <c r="E103" s="6" t="n">
        <v>2</v>
      </c>
      <c r="F103" s="4" t="inlineStr">
        <is>
          <t>זמנית – תימדד בפועל</t>
        </is>
      </c>
      <c r="G103" s="7" t="n">
        <v>402</v>
      </c>
      <c r="H103" s="7">
        <f>ROUND(E103*G103,2)</f>
        <v/>
      </c>
      <c r="I103" s="5" t="n"/>
    </row>
    <row r="104">
      <c r="A104" s="4" t="inlineStr">
        <is>
          <t>06.14</t>
        </is>
      </c>
      <c r="B104" s="5" t="inlineStr">
        <is>
          <t>נקודת תרמוסטט למזגן</t>
        </is>
      </c>
      <c r="C104" s="5" t="inlineStr">
        <is>
          <t>נקודת הכנה לתרמוסטט מזגן (מקרא החשמל).</t>
        </is>
      </c>
      <c r="D104" s="4" t="inlineStr">
        <is>
          <t>נק׳</t>
        </is>
      </c>
      <c r="E104" s="6" t="n">
        <v>8</v>
      </c>
      <c r="F104" s="4" t="inlineStr">
        <is>
          <t>זמנית – תימדד בפועל</t>
        </is>
      </c>
      <c r="G104" s="7" t="n">
        <v>460</v>
      </c>
      <c r="H104" s="7">
        <f>ROUND(E104*G104,2)</f>
        <v/>
      </c>
      <c r="I104" s="5" t="n"/>
    </row>
    <row r="105">
      <c r="A105" s="4" t="inlineStr">
        <is>
          <t>06.15</t>
        </is>
      </c>
      <c r="B105" s="5" t="inlineStr">
        <is>
          <t>פעמון ולחצן פעמון</t>
        </is>
      </c>
      <c r="C105" s="5" t="inlineStr">
        <is>
          <t>התקנת פעמון בגובה 230 ס״מ ולחצן פעמון בגובה 130 ס״מ, כולל חיווט (מקרא החשמל).</t>
        </is>
      </c>
      <c r="D105" s="4" t="inlineStr">
        <is>
          <t>קומפ׳</t>
        </is>
      </c>
      <c r="E105" s="6" t="n">
        <v>1</v>
      </c>
      <c r="F105" s="4" t="inlineStr">
        <is>
          <t>לפי המסמכים</t>
        </is>
      </c>
      <c r="G105" s="7" t="n">
        <v>747</v>
      </c>
      <c r="H105" s="7">
        <f>ROUND(E105*G105,2)</f>
        <v/>
      </c>
      <c r="I105" s="5" t="n"/>
    </row>
    <row r="106">
      <c r="A106" s="8" t="inlineStr">
        <is>
          <t>סה״כ פרק 6 — חשמל</t>
        </is>
      </c>
      <c r="B106" s="8" t="n"/>
      <c r="C106" s="8" t="n"/>
      <c r="D106" s="8" t="n"/>
      <c r="E106" s="8" t="n"/>
      <c r="F106" s="8" t="n"/>
      <c r="G106" s="8" t="n"/>
      <c r="H106" s="9">
        <f>SUM(H91:H105)</f>
        <v/>
      </c>
      <c r="I106" s="8" t="n"/>
    </row>
    <row r="108">
      <c r="A108" s="3" t="inlineStr">
        <is>
          <t>פרק 7 — תאורה ומפסקי תאורה</t>
        </is>
      </c>
      <c r="B108" s="3" t="n"/>
      <c r="C108" s="3" t="n"/>
      <c r="D108" s="3" t="n"/>
      <c r="E108" s="3" t="n"/>
      <c r="F108" s="3" t="n"/>
      <c r="G108" s="3" t="n"/>
      <c r="H108" s="3" t="n"/>
      <c r="I108" s="3" t="n"/>
    </row>
    <row r="109">
      <c r="A109" s="4" t="inlineStr">
        <is>
          <t>07.01</t>
        </is>
      </c>
      <c r="B109" s="5" t="inlineStr">
        <is>
          <t>מפסקי הדלקת תאורה (יחיד/כפול/משולש/רביעייה)</t>
        </is>
      </c>
      <c r="C109" s="5" t="inlineStr">
        <is>
          <t>ביצוע והתקנת נקודות מפסקי תאורה מכל הסוגים, במיקום ובגובה המתוכננים, לרבות תשתית, חיווט ואביזר גמר, בהתאם לחלוקת ההדלקות בתוכנית.</t>
        </is>
      </c>
      <c r="D109" s="4" t="inlineStr">
        <is>
          <t>יח׳</t>
        </is>
      </c>
      <c r="E109" s="6" t="n">
        <v>55</v>
      </c>
      <c r="F109" s="4" t="inlineStr">
        <is>
          <t>זמנית – תימדד בפועל</t>
        </is>
      </c>
      <c r="G109" s="7" t="n">
        <v>172</v>
      </c>
      <c r="H109" s="7">
        <f>ROUND(E109*G109,2)</f>
        <v/>
      </c>
      <c r="I109" s="5" t="n"/>
    </row>
    <row r="110">
      <c r="A110" s="4" t="inlineStr">
        <is>
          <t>07.02</t>
        </is>
      </c>
      <c r="B110" s="5" t="inlineStr">
        <is>
          <t>מפסקי מחלף (יחיד/משולש)</t>
        </is>
      </c>
      <c r="C110" s="5" t="inlineStr">
        <is>
          <t>ביצוע והתקנת נקודות מפסקי מחלף להפעלת מעגלי תאורה ממיקומים שונים, לרבות תשתית, חיווט ואביזר גמר התואמים לחלוקת המעגלים.</t>
        </is>
      </c>
      <c r="D110" s="4" t="inlineStr">
        <is>
          <t>יח׳</t>
        </is>
      </c>
      <c r="E110" s="6" t="n">
        <v>12</v>
      </c>
      <c r="F110" s="4" t="inlineStr">
        <is>
          <t>זמנית – תימדד בפועל</t>
        </is>
      </c>
      <c r="G110" s="7" t="n">
        <v>230</v>
      </c>
      <c r="H110" s="7">
        <f>ROUND(E110*G110,2)</f>
        <v/>
      </c>
      <c r="I110" s="5" t="n"/>
    </row>
    <row r="111">
      <c r="A111" s="4" t="inlineStr">
        <is>
          <t>07.03</t>
        </is>
      </c>
      <c r="B111" s="5" t="inlineStr">
        <is>
          <t>התקנת גוף תאורה צמוד תקרה</t>
        </is>
      </c>
      <c r="C111" s="5" t="inlineStr">
        <is>
          <t>התקנת גוף תאורה צמוד תקרה במיקום המתוכנן, לרבות קיבוע לתשתית, חיבור חשמלי ובדיקת פעולה.</t>
        </is>
      </c>
      <c r="D111" s="4" t="inlineStr">
        <is>
          <t>יח׳</t>
        </is>
      </c>
      <c r="E111" s="6" t="n">
        <v>15</v>
      </c>
      <c r="F111" s="4" t="inlineStr">
        <is>
          <t>לפי המסמכים</t>
        </is>
      </c>
      <c r="G111" s="7" t="n">
        <v>253</v>
      </c>
      <c r="H111" s="7">
        <f>ROUND(E111*G111,2)</f>
        <v/>
      </c>
      <c r="I111" s="5" t="inlineStr">
        <is>
          <t>התקנה בלבד; אספקה על המזמין</t>
        </is>
      </c>
    </row>
    <row r="112">
      <c r="A112" s="4" t="inlineStr">
        <is>
          <t>07.04</t>
        </is>
      </c>
      <c r="B112" s="5" t="inlineStr">
        <is>
          <t>התקנת גוף תאורה תלוי</t>
        </is>
      </c>
      <c r="C112" s="5" t="inlineStr">
        <is>
          <t>התקנת גוף תאורה תלוי, לרבות קיבוע מערכת התלייה, התאמת גובה התלייה לפי התוכנית והנחיות המתכננת, חיבור חשמלי ובדיקת פעולה.</t>
        </is>
      </c>
      <c r="D112" s="4" t="inlineStr">
        <is>
          <t>יח׳</t>
        </is>
      </c>
      <c r="E112" s="6" t="n">
        <v>22</v>
      </c>
      <c r="F112" s="4" t="inlineStr">
        <is>
          <t>לפי המסמכים</t>
        </is>
      </c>
      <c r="G112" s="7" t="n">
        <v>368</v>
      </c>
      <c r="H112" s="7">
        <f>ROUND(E112*G112,2)</f>
        <v/>
      </c>
      <c r="I112" s="5" t="inlineStr">
        <is>
          <t>התקנה בלבד; אספקה על המזמין</t>
        </is>
      </c>
    </row>
    <row r="113">
      <c r="A113" s="4" t="inlineStr">
        <is>
          <t>07.05</t>
        </is>
      </c>
      <c r="B113" s="5" t="inlineStr">
        <is>
          <t>התקנת גוף תאורה קירי מוגן</t>
        </is>
      </c>
      <c r="C113" s="5" t="inlineStr">
        <is>
          <t>התקנת גוף תאורה קירי מוגן במיקום ובגובה המסומנים בתוכנית, לרבות קיבוע, חיבור חשמלי ואטימת מפגש ההתקנה בהתאם למוצר ולמיקום.</t>
        </is>
      </c>
      <c r="D113" s="4" t="inlineStr">
        <is>
          <t>יח׳</t>
        </is>
      </c>
      <c r="E113" s="6" t="n">
        <v>30</v>
      </c>
      <c r="F113" s="4" t="inlineStr">
        <is>
          <t>לפי המסמכים</t>
        </is>
      </c>
      <c r="G113" s="7" t="n">
        <v>253</v>
      </c>
      <c r="H113" s="7">
        <f>ROUND(E113*G113,2)</f>
        <v/>
      </c>
      <c r="I113" s="5" t="inlineStr">
        <is>
          <t>התקנה בלבד; אספקה על המזמין</t>
        </is>
      </c>
    </row>
    <row r="114">
      <c r="A114" s="4" t="inlineStr">
        <is>
          <t>07.06</t>
        </is>
      </c>
      <c r="B114" s="5" t="inlineStr">
        <is>
          <t>התקנת גוף תאורה שקוע בקיר, מוגן</t>
        </is>
      </c>
      <c r="C114" s="5" t="inlineStr">
        <is>
          <t>התקנת גוף תאורה מוגן השקוע בקיר, לרבות שילוב רכיבי ההתקנה של הגוף במיקום המתוכנן, התאמה למישור הגמר, חיבור ובדיקת פעולה.</t>
        </is>
      </c>
      <c r="D114" s="4" t="inlineStr">
        <is>
          <t>יח׳</t>
        </is>
      </c>
      <c r="E114" s="6" t="n">
        <v>35</v>
      </c>
      <c r="F114" s="4" t="inlineStr">
        <is>
          <t>לפי המסמכים</t>
        </is>
      </c>
      <c r="G114" s="7" t="n">
        <v>345</v>
      </c>
      <c r="H114" s="7">
        <f>ROUND(E114*G114,2)</f>
        <v/>
      </c>
      <c r="I114" s="5" t="inlineStr">
        <is>
          <t>התקנה בלבד; אספקה על המזמין</t>
        </is>
      </c>
    </row>
    <row r="115">
      <c r="A115" s="4" t="inlineStr">
        <is>
          <t>07.07</t>
        </is>
      </c>
      <c r="B115" s="5" t="inlineStr">
        <is>
          <t>התקנת ספוט שקוע בתקרת גבס</t>
        </is>
      </c>
      <c r="C115" s="5" t="inlineStr">
        <is>
          <t>התקנת ספוט שקוע בתקרת גבס, בתיאום מוקדם עם עבודות הגבס, לרבות התאמת הפתח לגוף, קיבוע, חיבור חשמלי ובדיקת פעולה.</t>
        </is>
      </c>
      <c r="D115" s="4" t="inlineStr">
        <is>
          <t>יח׳</t>
        </is>
      </c>
      <c r="E115" s="6" t="n">
        <v>25</v>
      </c>
      <c r="F115" s="4" t="inlineStr">
        <is>
          <t>לפי המסמכים</t>
        </is>
      </c>
      <c r="G115" s="7" t="n">
        <v>98</v>
      </c>
      <c r="H115" s="7">
        <f>ROUND(E115*G115,2)</f>
        <v/>
      </c>
      <c r="I115" s="5" t="inlineStr">
        <is>
          <t>התקנה בלבד; אספקה על המזמין</t>
        </is>
      </c>
    </row>
    <row r="116">
      <c r="A116" s="4" t="inlineStr">
        <is>
          <t>07.08</t>
        </is>
      </c>
      <c r="B116" s="5" t="inlineStr">
        <is>
          <t>התקנת פס תאורת לד נסתר</t>
        </is>
      </c>
      <c r="C116" s="5" t="inlineStr">
        <is>
          <t>התקנת פס תאורת לד נסתר במיקום המתוכנן, לרבות רכיבי ההתקנה וההפעלה שסופקו עם המערכת, חיבור לנקודת ההזנה ובדיקת רציפות ופעולה.</t>
        </is>
      </c>
      <c r="D116" s="4" t="inlineStr">
        <is>
          <t>יח׳</t>
        </is>
      </c>
      <c r="E116" s="6" t="n">
        <v>11</v>
      </c>
      <c r="F116" s="4" t="inlineStr">
        <is>
          <t>לפי המסמכים</t>
        </is>
      </c>
      <c r="G116" s="7" t="n">
        <v>402</v>
      </c>
      <c r="H116" s="7">
        <f>ROUND(E116*G116,2)</f>
        <v/>
      </c>
      <c r="I116" s="5" t="inlineStr">
        <is>
          <t>התקנה בלבד; אספקה על המזמין</t>
        </is>
      </c>
    </row>
    <row r="117">
      <c r="A117" s="4" t="inlineStr">
        <is>
          <t>07.09</t>
        </is>
      </c>
      <c r="B117" s="5" t="inlineStr">
        <is>
          <t>התקנת פס תאורה שקוע בגבס</t>
        </is>
      </c>
      <c r="C117" s="5" t="inlineStr">
        <is>
          <t>התקנת פס תאורה שקוע בגבס, לרבות שילוב פרופיל ההתקנה התואם למוצר, תיאום עם קבלן הגבס, התאמה למישור הגמר, חיבור ובדיקת פעולה.</t>
        </is>
      </c>
      <c r="D117" s="4" t="inlineStr">
        <is>
          <t>יח׳</t>
        </is>
      </c>
      <c r="E117" s="6" t="n">
        <v>2</v>
      </c>
      <c r="F117" s="4" t="inlineStr">
        <is>
          <t>לפי המסמכים</t>
        </is>
      </c>
      <c r="G117" s="7" t="n">
        <v>518</v>
      </c>
      <c r="H117" s="7">
        <f>ROUND(E117*G117,2)</f>
        <v/>
      </c>
      <c r="I117" s="5" t="inlineStr">
        <is>
          <t>התקנה בלבד; אספקה על המזמין</t>
        </is>
      </c>
    </row>
    <row r="118">
      <c r="A118" s="4" t="inlineStr">
        <is>
          <t>07.10</t>
        </is>
      </c>
      <c r="B118" s="5" t="inlineStr">
        <is>
          <t>התקנת פס תאורה צמוד תקרה</t>
        </is>
      </c>
      <c r="C118" s="5" t="inlineStr">
        <is>
          <t>התקנת פס תאורה צמוד תקרה, לרבות קיבוע ישר ואחיד, התקנת רכיבי המערכת שסופקו, חיבור לנקודת ההזנה ובדיקת פעולה.</t>
        </is>
      </c>
      <c r="D118" s="4" t="inlineStr">
        <is>
          <t>יח׳</t>
        </is>
      </c>
      <c r="E118" s="6" t="n">
        <v>9</v>
      </c>
      <c r="F118" s="4" t="inlineStr">
        <is>
          <t>לפי המסמכים</t>
        </is>
      </c>
      <c r="G118" s="7" t="n">
        <v>345</v>
      </c>
      <c r="H118" s="7">
        <f>ROUND(E118*G118,2)</f>
        <v/>
      </c>
      <c r="I118" s="5" t="inlineStr">
        <is>
          <t>התקנה בלבד; אספקה על המזמין</t>
        </is>
      </c>
    </row>
    <row r="119">
      <c r="A119" s="4" t="inlineStr">
        <is>
          <t>07.11</t>
        </is>
      </c>
      <c r="B119" s="5" t="inlineStr">
        <is>
          <t>נקודת הזנה לפס לד</t>
        </is>
      </c>
      <c r="C119" s="5" t="inlineStr">
        <is>
          <t>ביצוע נקודת הזנה ייעודית לפס לד, לרבות צנרת, חיווט וחיבור למעגל המתוכנן, במיקום מתואם עם גוף התאורה ועם רכיבי ההפעלה שלו.</t>
        </is>
      </c>
      <c r="D119" s="4" t="inlineStr">
        <is>
          <t>יח׳</t>
        </is>
      </c>
      <c r="E119" s="6" t="n">
        <v>25</v>
      </c>
      <c r="F119" s="4" t="inlineStr">
        <is>
          <t>לפי המסמכים</t>
        </is>
      </c>
      <c r="G119" s="7" t="n">
        <v>322</v>
      </c>
      <c r="H119" s="7">
        <f>ROUND(E119*G119,2)</f>
        <v/>
      </c>
      <c r="I119" s="5" t="inlineStr">
        <is>
          <t>התקנה בלבד; אספקה על המזמין</t>
        </is>
      </c>
    </row>
    <row r="120">
      <c r="A120" s="4" t="inlineStr">
        <is>
          <t>07.12</t>
        </is>
      </c>
      <c r="B120" s="5" t="inlineStr">
        <is>
          <t>התקנת גוף תאורה מוגן מים</t>
        </is>
      </c>
      <c r="C120" s="5" t="inlineStr">
        <is>
          <t>התקנת גוף תאורה מוגן מים באזור רטוב או חיצוני, בהתאם לסוג ולמיקום המסומנים במקרא, לרבות קיבוע, חיבור ובדיקת פעולה.</t>
        </is>
      </c>
      <c r="D120" s="4" t="inlineStr">
        <is>
          <t>יח׳</t>
        </is>
      </c>
      <c r="E120" s="6" t="n">
        <v>8</v>
      </c>
      <c r="F120" s="4" t="inlineStr">
        <is>
          <t>לפי המסמכים</t>
        </is>
      </c>
      <c r="G120" s="7" t="n">
        <v>276</v>
      </c>
      <c r="H120" s="7">
        <f>ROUND(E120*G120,2)</f>
        <v/>
      </c>
      <c r="I120" s="5" t="inlineStr">
        <is>
          <t>התקנה בלבד; אספקה על המזמין</t>
        </is>
      </c>
    </row>
    <row r="121">
      <c r="A121" s="4" t="inlineStr">
        <is>
          <t>07.13</t>
        </is>
      </c>
      <c r="B121" s="5" t="inlineStr">
        <is>
          <t>התקנת גוף תאורה קירי</t>
        </is>
      </c>
      <c r="C121" s="5" t="inlineStr">
        <is>
          <t>התקנת גוף תאורה קירי במיקום ובגובה המתוכננים, לרבות קיבוע לתשתית, חיבור חשמלי ובדיקת פעולה.</t>
        </is>
      </c>
      <c r="D121" s="4" t="inlineStr">
        <is>
          <t>יח׳</t>
        </is>
      </c>
      <c r="E121" s="6" t="n">
        <v>5</v>
      </c>
      <c r="F121" s="4" t="inlineStr">
        <is>
          <t>לפי המסמכים</t>
        </is>
      </c>
      <c r="G121" s="7" t="n">
        <v>230</v>
      </c>
      <c r="H121" s="7">
        <f>ROUND(E121*G121,2)</f>
        <v/>
      </c>
      <c r="I121" s="5" t="inlineStr">
        <is>
          <t>התקנה בלבד; אספקה על המזמין</t>
        </is>
      </c>
    </row>
    <row r="122">
      <c r="A122" s="4" t="inlineStr">
        <is>
          <t>07.14</t>
        </is>
      </c>
      <c r="B122" s="5" t="inlineStr">
        <is>
          <t>התקנת גוף תאורה שקוע בקיר</t>
        </is>
      </c>
      <c r="C122" s="5" t="inlineStr">
        <is>
          <t>התקנת גוף תאורה שקוע בקיר, לרבות שילוב רכיבי ההתקנה, התאמה למישור הגמר, חיבור חשמלי ובדיקת פעולה.</t>
        </is>
      </c>
      <c r="D122" s="4" t="inlineStr">
        <is>
          <t>יח׳</t>
        </is>
      </c>
      <c r="E122" s="6" t="n">
        <v>10</v>
      </c>
      <c r="F122" s="4" t="inlineStr">
        <is>
          <t>לפי המסמכים</t>
        </is>
      </c>
      <c r="G122" s="7" t="n">
        <v>345</v>
      </c>
      <c r="H122" s="7">
        <f>ROUND(E122*G122,2)</f>
        <v/>
      </c>
      <c r="I122" s="5" t="inlineStr">
        <is>
          <t>התקנה בלבד; אספקה על המזמין</t>
        </is>
      </c>
    </row>
    <row r="123">
      <c r="A123" s="4" t="inlineStr">
        <is>
          <t>07.15</t>
        </is>
      </c>
      <c r="B123" s="5" t="inlineStr">
        <is>
          <t>התקנת מאוורר תקרה משולב תאורה</t>
        </is>
      </c>
      <c r="C123" s="5" t="inlineStr">
        <is>
          <t>התקנת מאוורר תקרה הכולל גוף תאורה, לרבות קיבוע לתשתית המתאימה למוצר, הרכבה, חיבור חשמלי, כיוון ובדיקת פעולת המאוורר והתאורה.</t>
        </is>
      </c>
      <c r="D123" s="4" t="inlineStr">
        <is>
          <t>יח׳</t>
        </is>
      </c>
      <c r="E123" s="6" t="n">
        <v>6</v>
      </c>
      <c r="F123" s="4" t="inlineStr">
        <is>
          <t>לפי המסמכים</t>
        </is>
      </c>
      <c r="G123" s="7" t="n">
        <v>598</v>
      </c>
      <c r="H123" s="7">
        <f>ROUND(E123*G123,2)</f>
        <v/>
      </c>
      <c r="I123" s="5" t="inlineStr">
        <is>
          <t>התקנה בלבד; אספקה על המזמין</t>
        </is>
      </c>
    </row>
    <row r="124">
      <c r="A124" s="4" t="inlineStr">
        <is>
          <t>07.16</t>
        </is>
      </c>
      <c r="B124" s="5" t="inlineStr">
        <is>
          <t>התקנת מאוורר משולב תאורה, מוגן מים</t>
        </is>
      </c>
      <c r="C124" s="5" t="inlineStr">
        <is>
          <t>התקנת מאוורר משולב תאורה בעל התאמה למיקום הרטוב או החיצוני המתוכנן, לרבות קיבוע, הרכבה, חיבור ובדיקת פעולה בהתאם להוראות היצרן.</t>
        </is>
      </c>
      <c r="D124" s="4" t="inlineStr">
        <is>
          <t>יח׳</t>
        </is>
      </c>
      <c r="E124" s="6" t="n">
        <v>6</v>
      </c>
      <c r="F124" s="4" t="inlineStr">
        <is>
          <t>לפי המסמכים</t>
        </is>
      </c>
      <c r="G124" s="7" t="n">
        <v>690</v>
      </c>
      <c r="H124" s="7">
        <f>ROUND(E124*G124,2)</f>
        <v/>
      </c>
      <c r="I124" s="5" t="inlineStr">
        <is>
          <t>התקנה בלבד; אספקה על המזמין</t>
        </is>
      </c>
    </row>
    <row r="125">
      <c r="A125" s="4" t="inlineStr">
        <is>
          <t>07.17</t>
        </is>
      </c>
      <c r="B125" s="5" t="inlineStr">
        <is>
          <t>התקנת ספוט צילינדר צמוד תקרה</t>
        </is>
      </c>
      <c r="C125" s="5" t="inlineStr">
        <is>
          <t>התקנת גוף תאורה מסוג ספוט צילינדר צמוד תקרה, במיקום המתוכנן, לרבות קיבוע, חיבור ובדיקת פעולה.</t>
        </is>
      </c>
      <c r="D125" s="4" t="inlineStr">
        <is>
          <t>יח׳</t>
        </is>
      </c>
      <c r="E125" s="6" t="n">
        <v>111</v>
      </c>
      <c r="F125" s="4" t="inlineStr">
        <is>
          <t>לפי המסמכים</t>
        </is>
      </c>
      <c r="G125" s="7" t="n">
        <v>115</v>
      </c>
      <c r="H125" s="7">
        <f>ROUND(E125*G125,2)</f>
        <v/>
      </c>
      <c r="I125" s="5" t="inlineStr">
        <is>
          <t>התקנה בלבד; אספקה על המזמין</t>
        </is>
      </c>
    </row>
    <row r="126">
      <c r="A126" s="4" t="inlineStr">
        <is>
          <t>07.18</t>
        </is>
      </c>
      <c r="B126" s="5" t="inlineStr">
        <is>
          <t>התקנת תאורת חירום דו־תכליתית</t>
        </is>
      </c>
      <c r="C126" s="5" t="inlineStr">
        <is>
          <t>התקנת גוף תאורת חירום דו־תכליתי, לרבות חיבור ישיר ללוח בהתאם לתוכנית, ובדיקת פעולתו בעת ניתוק מבוקר של אספקת החשמל.</t>
        </is>
      </c>
      <c r="D126" s="4" t="inlineStr">
        <is>
          <t>יח׳</t>
        </is>
      </c>
      <c r="E126" s="6" t="n">
        <v>8</v>
      </c>
      <c r="F126" s="4" t="inlineStr">
        <is>
          <t>זמנית – תימדד בפועל</t>
        </is>
      </c>
      <c r="G126" s="7" t="n">
        <v>322</v>
      </c>
      <c r="H126" s="7">
        <f>ROUND(E126*G126,2)</f>
        <v/>
      </c>
      <c r="I126" s="5" t="inlineStr">
        <is>
          <t>התקנה בלבד; אספקה על המזמין</t>
        </is>
      </c>
    </row>
    <row r="127">
      <c r="A127" s="4" t="inlineStr">
        <is>
          <t>07.19</t>
        </is>
      </c>
      <c r="B127" s="5" t="inlineStr">
        <is>
          <t>התקנת מקבץ ספוטים „נצנצים” שקוע בגבס</t>
        </is>
      </c>
      <c r="C127" s="5" t="inlineStr">
        <is>
          <t>התקנת מקבץ ספוטים מסוג „נצנצים” השקוע בגבס, בהתאם לפריסה המאושרת, לרבות תיאום הפתחים, קיבוע רכיבי המערכת, חיבור ובדיקת פעולה.</t>
        </is>
      </c>
      <c r="D127" s="4" t="inlineStr">
        <is>
          <t>יח׳</t>
        </is>
      </c>
      <c r="E127" s="6" t="n">
        <v>28</v>
      </c>
      <c r="F127" s="4" t="inlineStr">
        <is>
          <t>לפי המסמכים</t>
        </is>
      </c>
      <c r="G127" s="7" t="n">
        <v>195</v>
      </c>
      <c r="H127" s="7">
        <f>ROUND(E127*G127,2)</f>
        <v/>
      </c>
      <c r="I127" s="5" t="inlineStr">
        <is>
          <t>התקנה בלבד; אספקה על המזמין</t>
        </is>
      </c>
    </row>
    <row r="128">
      <c r="A128" s="4" t="inlineStr">
        <is>
          <t>07.20</t>
        </is>
      </c>
      <c r="B128" s="5" t="inlineStr">
        <is>
          <t>נקודת הזנה כללית לתאורה</t>
        </is>
      </c>
      <c r="C128" s="5" t="inlineStr">
        <is>
          <t>ביצוע נקודת הזנה כללית לתאורה בהתאם לתוכנית, לרבות צנרת, חיווט וחיבור למעגל המתוכנן, ללא התקנת גוף התאורה.</t>
        </is>
      </c>
      <c r="D128" s="4" t="inlineStr">
        <is>
          <t>יח׳</t>
        </is>
      </c>
      <c r="E128" s="6" t="n">
        <v>14</v>
      </c>
      <c r="F128" s="4" t="inlineStr">
        <is>
          <t>לפי המסמכים</t>
        </is>
      </c>
      <c r="G128" s="7" t="n">
        <v>345</v>
      </c>
      <c r="H128" s="7">
        <f>ROUND(E128*G128,2)</f>
        <v/>
      </c>
      <c r="I128" s="5" t="n"/>
    </row>
    <row r="129">
      <c r="A129" s="8" t="inlineStr">
        <is>
          <t>סה״כ פרק 7 — תאורה ומפסקי תאורה</t>
        </is>
      </c>
      <c r="B129" s="8" t="n"/>
      <c r="C129" s="8" t="n"/>
      <c r="D129" s="8" t="n"/>
      <c r="E129" s="8" t="n"/>
      <c r="F129" s="8" t="n"/>
      <c r="G129" s="8" t="n"/>
      <c r="H129" s="9">
        <f>SUM(H109:H128)</f>
        <v/>
      </c>
      <c r="I129" s="8" t="n"/>
    </row>
    <row r="131">
      <c r="A131" s="3" t="inlineStr">
        <is>
          <t>פרק 8 — מיזוג אוויר</t>
        </is>
      </c>
      <c r="B131" s="3" t="n"/>
      <c r="C131" s="3" t="n"/>
      <c r="D131" s="3" t="n"/>
      <c r="E131" s="3" t="n"/>
      <c r="F131" s="3" t="n"/>
      <c r="G131" s="3" t="n"/>
      <c r="H131" s="3" t="n"/>
      <c r="I131" s="3" t="n"/>
    </row>
    <row r="132">
      <c r="A132" s="4" t="inlineStr">
        <is>
          <t>08.01</t>
        </is>
      </c>
      <c r="B132" s="5" t="inlineStr">
        <is>
          <t>התקנת יחידת מיזוג פנימית</t>
        </is>
      </c>
      <c r="C132" s="5" t="inlineStr">
        <is>
          <t>התקנת יחידת מיזוג פנימית במיקום המאושר בתוכנית, לרבות קיבוע וחיבור לתשתיות הקירור, הניקוז והחשמל שהוכנו עבורה, ובדיקת פעולה. היחידה תהיה בהתאם למפרט הציוד שיימסר; במרתף נדרש אישור המתכננת לאזור המסומן בהערה.</t>
        </is>
      </c>
      <c r="D132" s="4" t="inlineStr">
        <is>
          <t>יח׳</t>
        </is>
      </c>
      <c r="E132" s="6" t="n">
        <v>8</v>
      </c>
      <c r="F132" s="4" t="inlineStr">
        <is>
          <t>זמנית – תימדד בפועל</t>
        </is>
      </c>
      <c r="G132" s="7" t="n">
        <v>805</v>
      </c>
      <c r="H132" s="7">
        <f>ROUND(E132*G132,2)</f>
        <v/>
      </c>
      <c r="I132" s="5" t="inlineStr">
        <is>
          <t>התקנה בלבד; אספקה על המזמין</t>
        </is>
      </c>
    </row>
    <row r="133">
      <c r="A133" s="4" t="inlineStr">
        <is>
          <t>08.02</t>
        </is>
      </c>
      <c r="B133" s="5" t="inlineStr">
        <is>
          <t>צנרת קירור וניקוז ליחידות המיזוג</t>
        </is>
      </c>
      <c r="C133" s="5" t="inlineStr">
        <is>
          <t>אספקה והתקנה של צנרת נחושת מבודדת לפי הספק היחידה, כולל ניקוז עיבוי בשיפוע תקין, תוואי לאזור מטבח חוץ/פרגולה, קופסאות וכיסויים.</t>
        </is>
      </c>
      <c r="D133" s="4" t="inlineStr">
        <is>
          <t>מ״א</t>
        </is>
      </c>
      <c r="E133" s="6" t="n">
        <v>100</v>
      </c>
      <c r="F133" s="4" t="inlineStr">
        <is>
          <t>זמנית – תימדד בפועל</t>
        </is>
      </c>
      <c r="G133" s="7" t="n">
        <v>172</v>
      </c>
      <c r="H133" s="7">
        <f>ROUND(E133*G133,2)</f>
        <v/>
      </c>
      <c r="I133" s="5" t="n"/>
    </row>
    <row r="134">
      <c r="A134" s="4" t="inlineStr">
        <is>
          <t>08.03</t>
        </is>
      </c>
      <c r="B134" s="5" t="inlineStr">
        <is>
          <t>בדיקות ואקום ולחץ</t>
        </is>
      </c>
      <c r="C134" s="5" t="inlineStr">
        <is>
          <t>ביצוע בדיקות ואקום ולחץ לצנרת הקירור לפני הפעלת המערכת ובהתאם להוראות היצרן, לרבות מסירת דוח בדיקה.</t>
        </is>
      </c>
      <c r="D134" s="4" t="inlineStr">
        <is>
          <t>קומפ׳</t>
        </is>
      </c>
      <c r="E134" s="6" t="n">
        <v>1</v>
      </c>
      <c r="F134" s="4" t="inlineStr">
        <is>
          <t>לפי המסמכים</t>
        </is>
      </c>
      <c r="G134" s="7" t="n">
        <v>2530</v>
      </c>
      <c r="H134" s="7">
        <f>ROUND(E134*G134,2)</f>
        <v/>
      </c>
      <c r="I134" s="5" t="n"/>
    </row>
    <row r="135">
      <c r="A135" s="4" t="inlineStr">
        <is>
          <t>08.04</t>
        </is>
      </c>
      <c r="B135" s="5" t="inlineStr">
        <is>
          <t>התקנת יחידות מיזוג חיצוניות</t>
        </is>
      </c>
      <c r="C135" s="5" t="inlineStr">
        <is>
          <t>התקנת יחידות מיזוג חיצוניות במיקום שיאושר, כולל מתלים או בסיס, חיבור לצנרת ולחשמל ובדיקת פעולה.</t>
        </is>
      </c>
      <c r="D135" s="4" t="inlineStr">
        <is>
          <t>יח׳</t>
        </is>
      </c>
      <c r="E135" s="6" t="n">
        <v>5</v>
      </c>
      <c r="F135" s="4" t="inlineStr">
        <is>
          <t>זמנית – תימדד בפועל</t>
        </is>
      </c>
      <c r="G135" s="7" t="n">
        <v>977</v>
      </c>
      <c r="H135" s="7">
        <f>ROUND(E135*G135,2)</f>
        <v/>
      </c>
      <c r="I135" s="5" t="inlineStr">
        <is>
          <t>התקנה בלבד; אספקה על המזמין</t>
        </is>
      </c>
    </row>
    <row r="136">
      <c r="A136" s="8" t="inlineStr">
        <is>
          <t>סה״כ פרק 8 — מיזוג אוויר</t>
        </is>
      </c>
      <c r="B136" s="8" t="n"/>
      <c r="C136" s="8" t="n"/>
      <c r="D136" s="8" t="n"/>
      <c r="E136" s="8" t="n"/>
      <c r="F136" s="8" t="n"/>
      <c r="G136" s="8" t="n"/>
      <c r="H136" s="9">
        <f>SUM(H132:H135)</f>
        <v/>
      </c>
      <c r="I136" s="8" t="n"/>
    </row>
    <row r="138">
      <c r="A138" s="3" t="inlineStr">
        <is>
          <t>פרק 9 — מחיצות ותקרות גבס</t>
        </is>
      </c>
      <c r="B138" s="3" t="n"/>
      <c r="C138" s="3" t="n"/>
      <c r="D138" s="3" t="n"/>
      <c r="E138" s="3" t="n"/>
      <c r="F138" s="3" t="n"/>
      <c r="G138" s="3" t="n"/>
      <c r="H138" s="3" t="n"/>
      <c r="I138" s="3" t="n"/>
    </row>
    <row r="139">
      <c r="A139" s="4" t="inlineStr">
        <is>
          <t>09.01</t>
        </is>
      </c>
      <c r="B139" s="5" t="inlineStr">
        <is>
          <t>מחיצות גבס במרתף</t>
        </is>
      </c>
      <c r="C139" s="5" t="inlineStr">
        <is>
          <t>ביצוע מחיצות וקירות גבס בקומת המרתף בהתאם לתוכנית ולסוג המערכת המסומן במקרא, לרבות מסלולים וניצבים, לוחות, סרטי הפרדה, בידוד אקוסטי וחיבורי המערכת למבנה. באזורים רטובים יבוצעו לוחות עמידי מים וחיזוקים לתליית הכלים בהתאם למפרט. כולל לוח צמנטי, חיזוק מפגשים והכנה לאיטום באזורי התזה ישירה.</t>
        </is>
      </c>
      <c r="D139" s="4" t="inlineStr">
        <is>
          <t>מ״ר</t>
        </is>
      </c>
      <c r="E139" s="6" t="n">
        <v>64</v>
      </c>
      <c r="F139" s="4" t="inlineStr">
        <is>
          <t>לפי המסמכים</t>
        </is>
      </c>
      <c r="G139" s="7" t="n">
        <v>437</v>
      </c>
      <c r="H139" s="7">
        <f>ROUND(E139*G139,2)</f>
        <v/>
      </c>
      <c r="I139" s="5" t="n"/>
    </row>
    <row r="140">
      <c r="A140" s="4" t="inlineStr">
        <is>
          <t>09.02</t>
        </is>
      </c>
      <c r="B140" s="5" t="inlineStr">
        <is>
          <t>מחיצות גבס בקומת הקרקע</t>
        </is>
      </c>
      <c r="C140" s="5" t="inlineStr">
        <is>
          <t>ביצוע מחיצות וקירות גבס בקומת הקרקע בהתאם לתוכנית ולסוג המערכת המסומן במקרא, לרבות שלד, לוחות, סרטי הפרדה, בידוד אקוסטי וחיבורי המערכת למבנה, והתאמה ייעודית לאזורים הרטובים. כולל לוח צמנטי, חיזוק מפגשים והכנה לאיטום באזורי התזה ישירה.</t>
        </is>
      </c>
      <c r="D140" s="4" t="inlineStr">
        <is>
          <t>מ״ר</t>
        </is>
      </c>
      <c r="E140" s="6" t="n">
        <v>17</v>
      </c>
      <c r="F140" s="4" t="inlineStr">
        <is>
          <t>לפי המסמכים</t>
        </is>
      </c>
      <c r="G140" s="7" t="n">
        <v>437</v>
      </c>
      <c r="H140" s="7">
        <f>ROUND(E140*G140,2)</f>
        <v/>
      </c>
      <c r="I140" s="5" t="n"/>
    </row>
    <row r="141">
      <c r="A141" s="4" t="inlineStr">
        <is>
          <t>09.03</t>
        </is>
      </c>
      <c r="B141" s="5" t="inlineStr">
        <is>
          <t>מחיצות גבס בקומה א׳ ובגלריה</t>
        </is>
      </c>
      <c r="C141" s="5" t="inlineStr">
        <is>
          <t>ביצוע מחיצות וקירות גבס בקומה א׳ ובגלריה בהתאם לתוכנית ולסוג המערכת המסומן במקרא, לרבות שלד, לוחות, סרטי הפרדה, בידוד אקוסטי וחיבורי המערכת למבנה, והתאמה ייעודית לאזורים הרטובים. כולל לוח צמנטי, חיזוק מפגשים והכנה לאיטום באזורי התזה ישירה.</t>
        </is>
      </c>
      <c r="D141" s="4" t="inlineStr">
        <is>
          <t>מ״ר</t>
        </is>
      </c>
      <c r="E141" s="6" t="n">
        <v>52</v>
      </c>
      <c r="F141" s="4" t="inlineStr">
        <is>
          <t>לפי המסמכים</t>
        </is>
      </c>
      <c r="G141" s="7" t="n">
        <v>437</v>
      </c>
      <c r="H141" s="7">
        <f>ROUND(E141*G141,2)</f>
        <v/>
      </c>
      <c r="I141" s="5" t="n"/>
    </row>
    <row r="142">
      <c r="A142" s="4" t="inlineStr">
        <is>
          <t>09.04</t>
        </is>
      </c>
      <c r="B142" s="5" t="inlineStr">
        <is>
          <t>תקרות גבס תלויות</t>
        </is>
      </c>
      <c r="C142" s="5" t="inlineStr">
        <is>
          <t>ביצוע תקרות גבס תלויות או מונמכות באזורים המסומנים בתוכנית וככל שנדרש, לרבות מתלים, פרופילי נשיאה, לוחות ותיאום פתחים לתאורה ולמיזוג לפני הסגירה, בהתאם להוראות מערכת הגבס. שפכטל וצבע מתוארים בפרק 15.</t>
        </is>
      </c>
      <c r="D142" s="4" t="inlineStr">
        <is>
          <t>מ״ר</t>
        </is>
      </c>
      <c r="E142" s="6" t="n">
        <v>33.3</v>
      </c>
      <c r="F142" s="4" t="inlineStr">
        <is>
          <t>לפי המסמכים</t>
        </is>
      </c>
      <c r="G142" s="7" t="n">
        <v>379</v>
      </c>
      <c r="H142" s="7">
        <f>ROUND(E142*G142,2)</f>
        <v/>
      </c>
      <c r="I142" s="5" t="n"/>
    </row>
    <row r="143">
      <c r="A143" s="8" t="inlineStr">
        <is>
          <t>סה״כ פרק 9 — מחיצות ותקרות גבס</t>
        </is>
      </c>
      <c r="B143" s="8" t="n"/>
      <c r="C143" s="8" t="n"/>
      <c r="D143" s="8" t="n"/>
      <c r="E143" s="8" t="n"/>
      <c r="F143" s="8" t="n"/>
      <c r="G143" s="8" t="n"/>
      <c r="H143" s="9">
        <f>SUM(H139:H142)</f>
        <v/>
      </c>
      <c r="I143" s="8" t="n"/>
    </row>
    <row r="145">
      <c r="A145" s="3" t="inlineStr">
        <is>
          <t>פרק 10 — איטום פנים</t>
        </is>
      </c>
      <c r="B145" s="3" t="n"/>
      <c r="C145" s="3" t="n"/>
      <c r="D145" s="3" t="n"/>
      <c r="E145" s="3" t="n"/>
      <c r="F145" s="3" t="n"/>
      <c r="G145" s="3" t="n"/>
      <c r="H145" s="3" t="n"/>
      <c r="I145" s="3" t="n"/>
    </row>
    <row r="146">
      <c r="A146" s="4" t="inlineStr">
        <is>
          <t>10.01</t>
        </is>
      </c>
      <c r="B146" s="5" t="inlineStr">
        <is>
          <t>איטום רצפות חדרים רטובים</t>
        </is>
      </c>
      <c r="C146" s="5" t="inlineStr">
        <is>
          <t>ביצוע מערכת איטום רציפה לרצפות חדרי הרחצה והאזורים הרטובים, לרבות הכנת התשתית, טיפול במפגשי רצפה וקיר, הרמות איטום היקפיות ושילוב אטום סביב מעברי הצנרת ואביזרי הניקוז, בהתאם להנחיות ולאישור יועץ האיטום.</t>
        </is>
      </c>
      <c r="D146" s="4" t="inlineStr">
        <is>
          <t>מ״ר</t>
        </is>
      </c>
      <c r="E146" s="6" t="n">
        <v>40</v>
      </c>
      <c r="F146" s="4" t="inlineStr">
        <is>
          <t>לפי המסמכים</t>
        </is>
      </c>
      <c r="G146" s="7" t="n">
        <v>161</v>
      </c>
      <c r="H146" s="7">
        <f>ROUND(E146*G146,2)</f>
        <v/>
      </c>
      <c r="I146" s="5" t="n"/>
    </row>
    <row r="147">
      <c r="A147" s="4" t="inlineStr">
        <is>
          <t>10.02</t>
        </is>
      </c>
      <c r="B147" s="5" t="inlineStr">
        <is>
          <t>איטום קירות חדרים רטובים</t>
        </is>
      </c>
      <c r="C147" s="5" t="inlineStr">
        <is>
          <t>ביצוע מערכת איטום לקירות באזורים הרטובים, בשטחים ובגבהים שיאושרו, לרבות התאמה לתשתית בלוקים, בטון או לוחות, טיפול בפינות ובמפגשים ואיטום סביב חדירות ואביזרים, בהתאם להנחיות יועץ האיטום.</t>
        </is>
      </c>
      <c r="D147" s="4" t="inlineStr">
        <is>
          <t>מ״ר</t>
        </is>
      </c>
      <c r="E147" s="6" t="n">
        <v>186</v>
      </c>
      <c r="F147" s="4" t="inlineStr">
        <is>
          <t>לפי המסמכים</t>
        </is>
      </c>
      <c r="G147" s="7" t="n">
        <v>126</v>
      </c>
      <c r="H147" s="7">
        <f>ROUND(E147*G147,2)</f>
        <v/>
      </c>
      <c r="I147" s="5" t="n"/>
    </row>
    <row r="148">
      <c r="A148" s="4" t="inlineStr">
        <is>
          <t>10.03</t>
        </is>
      </c>
      <c r="B148" s="5" t="inlineStr">
        <is>
          <t>בדיקות הצפה לחדרים רטובים</t>
        </is>
      </c>
      <c r="C148" s="5" t="inlineStr">
        <is>
          <t>ביצוע בדיקות הצפה נפרדות לחדרים הרטובים לאחר השלמת האיטום, למשך הזמן שיאשר יועץ האיטום, לרבות תיעוד הבדיקות וקבלת אישור בכתב לפני הריצוף.</t>
        </is>
      </c>
      <c r="D148" s="4" t="inlineStr">
        <is>
          <t>קומפ׳</t>
        </is>
      </c>
      <c r="E148" s="6" t="n">
        <v>5</v>
      </c>
      <c r="F148" s="4" t="inlineStr">
        <is>
          <t>לפי המסמכים</t>
        </is>
      </c>
      <c r="G148" s="7" t="n">
        <v>575</v>
      </c>
      <c r="H148" s="7">
        <f>ROUND(E148*G148,2)</f>
        <v/>
      </c>
      <c r="I148" s="5" t="n"/>
    </row>
    <row r="149">
      <c r="A149" s="4" t="inlineStr">
        <is>
          <t>10.04</t>
        </is>
      </c>
      <c r="B149" s="5" t="inlineStr">
        <is>
          <t>איטום מרפסות</t>
        </is>
      </c>
      <c r="C149" s="5" t="inlineStr">
        <is>
          <t>איטום רצפות המרפסות מעל חללים מבונים, כולל הרמות איטום, טיפול בספים ובנקודות ניקוז ובדיקת הצפה, בהנחיית יועץ האיטום.</t>
        </is>
      </c>
      <c r="D149" s="4" t="inlineStr">
        <is>
          <t>מ״ר</t>
        </is>
      </c>
      <c r="E149" s="6" t="n">
        <v>52.7</v>
      </c>
      <c r="F149" s="4" t="inlineStr">
        <is>
          <t>לפי המסמכים</t>
        </is>
      </c>
      <c r="G149" s="7" t="n">
        <v>195</v>
      </c>
      <c r="H149" s="7">
        <f>ROUND(E149*G149,2)</f>
        <v/>
      </c>
      <c r="I149" s="5" t="n"/>
    </row>
    <row r="150">
      <c r="A150" s="8" t="inlineStr">
        <is>
          <t>סה״כ פרק 10 — איטום פנים</t>
        </is>
      </c>
      <c r="B150" s="8" t="n"/>
      <c r="C150" s="8" t="n"/>
      <c r="D150" s="8" t="n"/>
      <c r="E150" s="8" t="n"/>
      <c r="F150" s="8" t="n"/>
      <c r="G150" s="8" t="n"/>
      <c r="H150" s="9">
        <f>SUM(H146:H149)</f>
        <v/>
      </c>
      <c r="I150" s="8" t="n"/>
    </row>
    <row r="152">
      <c r="A152" s="3" t="inlineStr">
        <is>
          <t>פרק 11 — איטום גג ופרפט</t>
        </is>
      </c>
      <c r="B152" s="3" t="n"/>
      <c r="C152" s="3" t="n"/>
      <c r="D152" s="3" t="n"/>
      <c r="E152" s="3" t="n"/>
      <c r="F152" s="3" t="n"/>
      <c r="G152" s="3" t="n"/>
      <c r="H152" s="3" t="n"/>
      <c r="I152" s="3" t="n"/>
    </row>
    <row r="153">
      <c r="A153" s="4" t="inlineStr">
        <is>
          <t>11.01</t>
        </is>
      </c>
      <c r="B153" s="5" t="inlineStr">
        <is>
          <t>בדיקת קונסטרוקטור למבנה הגג החשוף</t>
        </is>
      </c>
      <c r="C153" s="5" t="inlineStr">
        <is>
          <t>בדיקת מצב מבנה הגג לאחר פירוק הרעפים וארגזי הרוח, וקבלת אישור בכתב לפני ביצוע.</t>
        </is>
      </c>
      <c r="D153" s="4" t="inlineStr">
        <is>
          <t>קומפ׳</t>
        </is>
      </c>
      <c r="E153" s="6" t="n">
        <v>1</v>
      </c>
      <c r="F153" s="4" t="inlineStr">
        <is>
          <t>לפי המסמכים</t>
        </is>
      </c>
      <c r="G153" s="7" t="n">
        <v>2875</v>
      </c>
      <c r="H153" s="7">
        <f>ROUND(E153*G153,2)</f>
        <v/>
      </c>
      <c r="I153" s="5" t="n"/>
    </row>
    <row r="154">
      <c r="A154" s="4" t="inlineStr">
        <is>
          <t>11.02</t>
        </is>
      </c>
      <c r="B154" s="5" t="inlineStr">
        <is>
          <t>בניית פרפט חדש להסתרת שיפוע הגג</t>
        </is>
      </c>
      <c r="C154" s="5" t="inlineStr">
        <is>
          <t>בניית דופן אנכית חדשה בהיקף הגג, בגובה אחיד המסתיר את קו השיפוע הישן.</t>
        </is>
      </c>
      <c r="D154" s="4" t="inlineStr">
        <is>
          <t>מ״א</t>
        </is>
      </c>
      <c r="E154" s="6" t="n">
        <v>55</v>
      </c>
      <c r="F154" s="4" t="inlineStr">
        <is>
          <t>זמנית – תימדד בפועל</t>
        </is>
      </c>
      <c r="G154" s="7" t="n">
        <v>598</v>
      </c>
      <c r="H154" s="7">
        <f>ROUND(E154*G154,2)</f>
        <v/>
      </c>
      <c r="I154" s="5" t="n"/>
    </row>
    <row r="155">
      <c r="A155" s="4" t="inlineStr">
        <is>
          <t>11.03</t>
        </is>
      </c>
      <c r="B155" s="5" t="inlineStr">
        <is>
          <t>איטום מלא של הגג והפרפט</t>
        </is>
      </c>
      <c r="C155" s="5" t="inlineStr">
        <is>
          <t>מערכת איטום רציפה חדשה על כל משטח הגג כולל הרמה על הפרפט, בהנחיית יועץ איטום, כולל בדיקת הצפה 48–72 שעות.</t>
        </is>
      </c>
      <c r="D155" s="4" t="inlineStr">
        <is>
          <t>מ״ר</t>
        </is>
      </c>
      <c r="E155" s="6" t="n">
        <v>180</v>
      </c>
      <c r="F155" s="4" t="inlineStr">
        <is>
          <t>זמנית – תימדד בפועל</t>
        </is>
      </c>
      <c r="G155" s="7" t="n">
        <v>218</v>
      </c>
      <c r="H155" s="7">
        <f>ROUND(E155*G155,2)</f>
        <v/>
      </c>
      <c r="I155" s="5" t="n"/>
    </row>
    <row r="156">
      <c r="A156" s="4" t="inlineStr">
        <is>
          <t>11.04</t>
        </is>
      </c>
      <c r="B156" s="5" t="inlineStr">
        <is>
          <t>פח קופינג עליון</t>
        </is>
      </c>
      <c r="C156" s="5" t="inlineStr">
        <is>
          <t>אספקה והתקנת פח קופינג מגולוון/אלומיניום בגוון הבית, עם שיפוע פנימי ותפרי התפשטות.</t>
        </is>
      </c>
      <c r="D156" s="4" t="inlineStr">
        <is>
          <t>מ״א</t>
        </is>
      </c>
      <c r="E156" s="6" t="n">
        <v>55</v>
      </c>
      <c r="F156" s="4" t="inlineStr">
        <is>
          <t>זמנית – תימדד בפועל</t>
        </is>
      </c>
      <c r="G156" s="7" t="n">
        <v>264</v>
      </c>
      <c r="H156" s="7">
        <f>ROUND(E156*G156,2)</f>
        <v/>
      </c>
      <c r="I156" s="5" t="n"/>
    </row>
    <row r="157">
      <c r="A157" s="4" t="inlineStr">
        <is>
          <t>11.05</t>
        </is>
      </c>
      <c r="B157" s="5" t="inlineStr">
        <is>
          <t>בדיקה ושימור מערכת ניקוז קיימת</t>
        </is>
      </c>
      <c r="C157" s="5" t="inlineStr">
        <is>
          <t>בדיקת תפקוד מערכת הניקוז הקיימת בזרימת מים מבוקרת ושימור השיפועים.</t>
        </is>
      </c>
      <c r="D157" s="4" t="inlineStr">
        <is>
          <t>קומפ׳</t>
        </is>
      </c>
      <c r="E157" s="6" t="n">
        <v>1</v>
      </c>
      <c r="F157" s="4" t="inlineStr">
        <is>
          <t>לפי המסמכים</t>
        </is>
      </c>
      <c r="G157" s="7" t="n">
        <v>4025</v>
      </c>
      <c r="H157" s="7">
        <f>ROUND(E157*G157,2)</f>
        <v/>
      </c>
      <c r="I157" s="5" t="n"/>
    </row>
    <row r="158">
      <c r="A158" s="8" t="inlineStr">
        <is>
          <t>סה״כ פרק 11 — איטום גג ופרפט</t>
        </is>
      </c>
      <c r="B158" s="8" t="n"/>
      <c r="C158" s="8" t="n"/>
      <c r="D158" s="8" t="n"/>
      <c r="E158" s="8" t="n"/>
      <c r="F158" s="8" t="n"/>
      <c r="G158" s="8" t="n"/>
      <c r="H158" s="9">
        <f>SUM(H153:H157)</f>
        <v/>
      </c>
      <c r="I158" s="8" t="n"/>
    </row>
    <row r="160">
      <c r="A160" s="3" t="inlineStr">
        <is>
          <t>פרק 12 — אדני חלונות וספי פתחים</t>
        </is>
      </c>
      <c r="B160" s="3" t="n"/>
      <c r="C160" s="3" t="n"/>
      <c r="D160" s="3" t="n"/>
      <c r="E160" s="3" t="n"/>
      <c r="F160" s="3" t="n"/>
      <c r="G160" s="3" t="n"/>
      <c r="H160" s="3" t="n"/>
      <c r="I160" s="3" t="n"/>
    </row>
    <row r="161">
      <c r="A161" s="4" t="inlineStr">
        <is>
          <t>12.01</t>
        </is>
      </c>
      <c r="B161" s="5" t="inlineStr">
        <is>
          <t>התקנת אדני חלונות פנימיים</t>
        </is>
      </c>
      <c r="C161" s="5" t="inlineStr">
        <is>
          <t>התקנת אדני חלונות פנימיים מאבן, שיש או חומר אחר שאושר במפרט, לאחר מדידה סופית של הפתחים, לרבות התאמה, מצע התקנה וקיבוע, בגמר ישר ואחיד וללא שברים או סדקים.</t>
        </is>
      </c>
      <c r="D161" s="4" t="inlineStr">
        <is>
          <t>מ״א</t>
        </is>
      </c>
      <c r="E161" s="6" t="n">
        <v>33.23</v>
      </c>
      <c r="F161" s="4" t="inlineStr">
        <is>
          <t>לפי המסמכים</t>
        </is>
      </c>
      <c r="G161" s="7" t="n">
        <v>391</v>
      </c>
      <c r="H161" s="7">
        <f>ROUND(E161*G161,2)</f>
        <v/>
      </c>
      <c r="I161" s="5" t="n"/>
    </row>
    <row r="162">
      <c r="A162" s="4" t="inlineStr">
        <is>
          <t>12.02</t>
        </is>
      </c>
      <c r="B162" s="5" t="inlineStr">
        <is>
          <t>התקנת ספי חלונות חיצוניים</t>
        </is>
      </c>
      <c r="C162" s="5" t="inlineStr">
        <is>
          <t>התקנת ספי חלונות חיצוניים מהחומר המאושר, לאחר מדידה סופית, לרבות התאמה וקיבוע בשיפוע כלפי חוץ ותיאום עם מסגרות האלומיניום ועם מערכת האיטום.</t>
        </is>
      </c>
      <c r="D162" s="4" t="inlineStr">
        <is>
          <t>מ״א</t>
        </is>
      </c>
      <c r="E162" s="6" t="n">
        <v>35</v>
      </c>
      <c r="F162" s="4" t="inlineStr">
        <is>
          <t>לפי המסמכים</t>
        </is>
      </c>
      <c r="G162" s="7" t="n">
        <v>345</v>
      </c>
      <c r="H162" s="7">
        <f>ROUND(E162*G162,2)</f>
        <v/>
      </c>
      <c r="I162" s="5" t="n"/>
    </row>
    <row r="163">
      <c r="A163" s="4" t="inlineStr">
        <is>
          <t>12.03</t>
        </is>
      </c>
      <c r="B163" s="5" t="inlineStr">
        <is>
          <t>התקנת ספי דלתות</t>
        </is>
      </c>
      <c r="C163" s="5" t="inlineStr">
        <is>
          <t>התקנת ספי דלתות ופתחי יציאה בהתאם לפרטים המאושרים, לרבות התאמה למפלסי הריצוף ולמשקופים, מצע התקנה וקיבוע.</t>
        </is>
      </c>
      <c r="D163" s="4" t="inlineStr">
        <is>
          <t>מ״א</t>
        </is>
      </c>
      <c r="E163" s="6" t="n">
        <v>19</v>
      </c>
      <c r="F163" s="4" t="inlineStr">
        <is>
          <t>לפי המסמכים</t>
        </is>
      </c>
      <c r="G163" s="7" t="n">
        <v>230</v>
      </c>
      <c r="H163" s="7">
        <f>ROUND(E163*G163,2)</f>
        <v/>
      </c>
      <c r="I163" s="5" t="n"/>
    </row>
    <row r="164">
      <c r="A164" s="4" t="inlineStr">
        <is>
          <t>12.04</t>
        </is>
      </c>
      <c r="B164" s="5" t="inlineStr">
        <is>
          <t>איטום סביב אדנים וספים</t>
        </is>
      </c>
      <c r="C164" s="5" t="inlineStr">
        <is>
          <t>איטום המפגשים סביב אדני החלונות וספי הפתחים, ובינם לבין מסגרות האלומיניום והמעטפת, באמצעות מערכת וחומר גמיש מאושרים, לרבות בדיקת מים בספי החוץ בהתאם למפרט. עבודה זו לא תיכלל פעם נוספת בסעיפי התקנת הספים.</t>
        </is>
      </c>
      <c r="D164" s="4" t="inlineStr">
        <is>
          <t>מ״א</t>
        </is>
      </c>
      <c r="E164" s="6" t="n">
        <v>125.62</v>
      </c>
      <c r="F164" s="4" t="inlineStr">
        <is>
          <t>לפי המסמכים</t>
        </is>
      </c>
      <c r="G164" s="7" t="n">
        <v>40</v>
      </c>
      <c r="H164" s="7">
        <f>ROUND(E164*G164,2)</f>
        <v/>
      </c>
      <c r="I164" s="5" t="n"/>
    </row>
    <row r="165">
      <c r="A165" s="8" t="inlineStr">
        <is>
          <t>סה״כ פרק 12 — אדני חלונות וספי פתחים</t>
        </is>
      </c>
      <c r="B165" s="8" t="n"/>
      <c r="C165" s="8" t="n"/>
      <c r="D165" s="8" t="n"/>
      <c r="E165" s="8" t="n"/>
      <c r="F165" s="8" t="n"/>
      <c r="G165" s="8" t="n"/>
      <c r="H165" s="9">
        <f>SUM(H161:H164)</f>
        <v/>
      </c>
      <c r="I165" s="8" t="n"/>
    </row>
    <row r="167">
      <c r="A167" s="3" t="inlineStr">
        <is>
          <t>פרק 13 — ריצופים, חיפויים ופנלים</t>
        </is>
      </c>
      <c r="B167" s="3" t="n"/>
      <c r="C167" s="3" t="n"/>
      <c r="D167" s="3" t="n"/>
      <c r="E167" s="3" t="n"/>
      <c r="F167" s="3" t="n"/>
      <c r="G167" s="3" t="n"/>
      <c r="H167" s="3" t="n"/>
      <c r="I167" s="3" t="n"/>
    </row>
    <row r="168">
      <c r="A168" s="4" t="inlineStr">
        <is>
          <t>13.01</t>
        </is>
      </c>
      <c r="B168" s="5" t="inlineStr">
        <is>
          <t>ריצוף פנים באריחים 120×120 ס״מ, כולל רצפות מקלחות</t>
        </is>
      </c>
      <c r="C168" s="5" t="inlineStr">
        <is>
          <t>הנחת אריחי 120×120 ס״מ בשטחי הפנים, כולל רצפות המקלחות (28.90 מ״ר) לאחר אישור האיטום, לרבות הכנת תשתית, הדבקה, חיתוכים, התאמת שיפועים לניקוזים ומילוי פוגות.</t>
        </is>
      </c>
      <c r="D168" s="4" t="inlineStr">
        <is>
          <t>מ״ר</t>
        </is>
      </c>
      <c r="E168" s="6" t="n">
        <v>219.9</v>
      </c>
      <c r="F168" s="4" t="inlineStr">
        <is>
          <t>לפי המסמכים</t>
        </is>
      </c>
      <c r="G168" s="7" t="n">
        <v>322</v>
      </c>
      <c r="H168" s="7">
        <f>ROUND(E168*G168,2)</f>
        <v/>
      </c>
      <c r="I168" s="5" t="inlineStr">
        <is>
          <t>התקנה בלבד; אספקה על המזמין</t>
        </is>
      </c>
    </row>
    <row r="169">
      <c r="A169" s="4" t="inlineStr">
        <is>
          <t>13.02</t>
        </is>
      </c>
      <c r="B169" s="5" t="inlineStr">
        <is>
          <t>ריצוף פנים במרתף באריחים 120×60 ס״מ</t>
        </is>
      </c>
      <c r="C169" s="5" t="inlineStr">
        <is>
          <t>הנחת אריחי ריצוף במידות 120×60 ס״מ בשטחי הפנים של המרתף, ללא רצפות המקלחות, לרבות הכנת תשתית ההתקנה, חיתוכים, התאמות ומילוי פוגות.</t>
        </is>
      </c>
      <c r="D169" s="4" t="inlineStr">
        <is>
          <t>מ״ר</t>
        </is>
      </c>
      <c r="E169" s="6" t="n">
        <v>105</v>
      </c>
      <c r="F169" s="4" t="inlineStr">
        <is>
          <t>לפי המסמכים</t>
        </is>
      </c>
      <c r="G169" s="7" t="n">
        <v>264</v>
      </c>
      <c r="H169" s="7">
        <f>ROUND(E169*G169,2)</f>
        <v/>
      </c>
      <c r="I169" s="5" t="inlineStr">
        <is>
          <t>התקנה בלבד; אספקה על המזמין</t>
        </is>
      </c>
    </row>
    <row r="170">
      <c r="A170" s="4" t="inlineStr">
        <is>
          <t>13.03</t>
        </is>
      </c>
      <c r="B170" s="5" t="inlineStr">
        <is>
          <t>חיפוי קירות מקלחות באריחים 120×60 ס״מ</t>
        </is>
      </c>
      <c r="C170" s="5" t="inlineStr">
        <is>
          <t>חיפוי קירות המקלחות באריחים במידות 120×60 ס״מ, לאחר אישור מערכת האיטום, לרבות הדבקה בחומר מתאים, חיתוכים סביב אביזרים ופתחים, פרופילי גמר לפי התוכנית ומילוי פוגות.</t>
        </is>
      </c>
      <c r="D170" s="4" t="inlineStr">
        <is>
          <t>מ״ר</t>
        </is>
      </c>
      <c r="E170" s="6" t="n">
        <v>121.2</v>
      </c>
      <c r="F170" s="4" t="inlineStr">
        <is>
          <t>לפי המסמכים</t>
        </is>
      </c>
      <c r="G170" s="7" t="n">
        <v>483</v>
      </c>
      <c r="H170" s="7">
        <f>ROUND(E170*G170,2)</f>
        <v/>
      </c>
      <c r="I170" s="5" t="inlineStr">
        <is>
          <t>התקנה בלבד; אספקה על המזמין</t>
        </is>
      </c>
    </row>
    <row r="171">
      <c r="A171" s="4" t="inlineStr">
        <is>
          <t>13.04</t>
        </is>
      </c>
      <c r="B171" s="5" t="inlineStr">
        <is>
          <t>התקנת פנלים</t>
        </is>
      </c>
      <c r="C171" s="5" t="inlineStr">
        <is>
          <t>חיתוך והתקנת פנלים מאריחי הגמר שנבחרו, בגובה ובהתאם לפרט המאושר, לרבות הדבקה, התאמות בפינות ובפתחים ומילוי המישקים.</t>
        </is>
      </c>
      <c r="D171" s="4" t="inlineStr">
        <is>
          <t>מ״א</t>
        </is>
      </c>
      <c r="E171" s="6" t="n">
        <v>285</v>
      </c>
      <c r="F171" s="4" t="inlineStr">
        <is>
          <t>לפי המסמכים</t>
        </is>
      </c>
      <c r="G171" s="7" t="n">
        <v>86</v>
      </c>
      <c r="H171" s="7">
        <f>ROUND(E171*G171,2)</f>
        <v/>
      </c>
      <c r="I171" s="5" t="inlineStr">
        <is>
          <t>התקנה בלבד; אספקה על המזמין</t>
        </is>
      </c>
    </row>
    <row r="172">
      <c r="A172" s="4" t="inlineStr">
        <is>
          <t>13.05</t>
        </is>
      </c>
      <c r="B172" s="5" t="inlineStr">
        <is>
          <t>ריצוף חוץ ומרפסות באריחים 120×60 ס״מ, R11</t>
        </is>
      </c>
      <c r="C172" s="5" t="inlineStr">
        <is>
          <t>הנחת אריחי חוץ 120×60 ס״מ R11 בשטחי החוץ ובמרפסות, לאחר אישור התשתית והאיטום, לרבות התאמה למפלסים, לשיפועי ניקוז ולספי הפתחים, חיתוכים ומילוי פוגות.</t>
        </is>
      </c>
      <c r="D172" s="4" t="inlineStr">
        <is>
          <t>מ״ר</t>
        </is>
      </c>
      <c r="E172" s="6" t="n">
        <v>263.7</v>
      </c>
      <c r="F172" s="4" t="inlineStr">
        <is>
          <t>לפי המסמכים</t>
        </is>
      </c>
      <c r="G172" s="7" t="n">
        <v>299</v>
      </c>
      <c r="H172" s="7">
        <f>ROUND(E172*G172,2)</f>
        <v/>
      </c>
      <c r="I172" s="5" t="inlineStr">
        <is>
          <t>התקנה בלבד; אספקה על המזמין</t>
        </is>
      </c>
    </row>
    <row r="173">
      <c r="A173" s="4" t="inlineStr">
        <is>
          <t>13.07</t>
        </is>
      </c>
      <c r="B173" s="5" t="inlineStr">
        <is>
          <t>חיפוי מדרגות פנים (שלח ורום)</t>
        </is>
      </c>
      <c r="C173" s="5" t="inlineStr">
        <is>
          <t>חיפוי מדרגות פנים באבן או באריחים לפי בחירה, שלח ורום, כולל פסי החלקה ופרופילי גמר.</t>
        </is>
      </c>
      <c r="D173" s="4" t="inlineStr">
        <is>
          <t>מ״א</t>
        </is>
      </c>
      <c r="E173" s="6" t="n">
        <v>50</v>
      </c>
      <c r="F173" s="4" t="inlineStr">
        <is>
          <t>לפי המסמכים</t>
        </is>
      </c>
      <c r="G173" s="7" t="n">
        <v>368</v>
      </c>
      <c r="H173" s="7">
        <f>ROUND(E173*G173,2)</f>
        <v/>
      </c>
      <c r="I173" s="5" t="inlineStr">
        <is>
          <t>התקנה בלבד; אספקה על המזמין</t>
        </is>
      </c>
    </row>
    <row r="174">
      <c r="A174" s="8" t="inlineStr">
        <is>
          <t>סה״כ פרק 13 — ריצופים, חיפויים ופנלים</t>
        </is>
      </c>
      <c r="B174" s="8" t="n"/>
      <c r="C174" s="8" t="n"/>
      <c r="D174" s="8" t="n"/>
      <c r="E174" s="8" t="n"/>
      <c r="F174" s="8" t="n"/>
      <c r="G174" s="8" t="n"/>
      <c r="H174" s="9">
        <f>SUM(H168:H173)</f>
        <v/>
      </c>
      <c r="I174" s="8" t="n"/>
    </row>
    <row r="176">
      <c r="A176" s="3" t="inlineStr">
        <is>
          <t>פרק 14 — טיח וגמר צבעוני חוץ</t>
        </is>
      </c>
      <c r="B176" s="3" t="n"/>
      <c r="C176" s="3" t="n"/>
      <c r="D176" s="3" t="n"/>
      <c r="E176" s="3" t="n"/>
      <c r="F176" s="3" t="n"/>
      <c r="G176" s="3" t="n"/>
      <c r="H176" s="3" t="n"/>
      <c r="I176" s="3" t="n"/>
    </row>
    <row r="177">
      <c r="A177" s="4" t="inlineStr">
        <is>
          <t>14.01</t>
        </is>
      </c>
      <c r="B177" s="5" t="inlineStr">
        <is>
          <t>הכנת תשתית וטיח צבעוני לחזיתות הבית</t>
        </is>
      </c>
      <c r="C177" s="5" t="inlineStr">
        <is>
          <t>הכנה ותיקון תשתית החזית (כולל יישור אזורי המסגרות שפורקו ורשת במעברי חומרים) ויישום מערכת גמר צבעונית בגוון ובמרקם המאושרים, עם גבולות ישרים במפגש עם אזורי חיפוי.</t>
        </is>
      </c>
      <c r="D177" s="4" t="inlineStr">
        <is>
          <t>מ״ר</t>
        </is>
      </c>
      <c r="E177" s="6" t="n">
        <v>225</v>
      </c>
      <c r="F177" s="4" t="inlineStr">
        <is>
          <t>לפי המסמכים</t>
        </is>
      </c>
      <c r="G177" s="7" t="n">
        <v>241</v>
      </c>
      <c r="H177" s="7">
        <f>ROUND(E177*G177,2)</f>
        <v/>
      </c>
      <c r="I177" s="5" t="n"/>
    </row>
    <row r="178">
      <c r="A178" s="4" t="inlineStr">
        <is>
          <t>14.02</t>
        </is>
      </c>
      <c r="B178" s="5" t="inlineStr">
        <is>
          <t>טיח וגמר צבעוני לפרפט הגג</t>
        </is>
      </c>
      <c r="C178" s="5" t="inlineStr">
        <is>
          <t>ביצוע הכנת תשתית וגמר צבעוני לפרפט הגג, בהתאמה לגוון ולמרקם החזיתות, לרבות טיפול בפינות ובמעברי חומרים.</t>
        </is>
      </c>
      <c r="D178" s="4" t="inlineStr">
        <is>
          <t>קומפ׳</t>
        </is>
      </c>
      <c r="E178" s="6" t="n">
        <v>1</v>
      </c>
      <c r="F178" s="4" t="inlineStr">
        <is>
          <t>לפי המסמכים</t>
        </is>
      </c>
      <c r="G178" s="7" t="n">
        <v>8050</v>
      </c>
      <c r="H178" s="7">
        <f>ROUND(E178*G178,2)</f>
        <v/>
      </c>
      <c r="I178" s="5" t="n"/>
    </row>
    <row r="179">
      <c r="A179" s="4" t="inlineStr">
        <is>
          <t>14.03</t>
        </is>
      </c>
      <c r="B179" s="5" t="inlineStr">
        <is>
          <t>דוגמת גוון ומרקם לאישור</t>
        </is>
      </c>
      <c r="C179" s="5" t="inlineStr">
        <is>
          <t>ביצוע דוגמת גמר באתר, המייצגת את החומר, הגוון והמרקם המוצעים, וקבלת אישור המזמין והמתכננת בכתב לפני יישום הגמר על החזיתות.</t>
        </is>
      </c>
      <c r="D179" s="4" t="inlineStr">
        <is>
          <t>קומפ׳</t>
        </is>
      </c>
      <c r="E179" s="6" t="n">
        <v>1</v>
      </c>
      <c r="F179" s="4" t="inlineStr">
        <is>
          <t>לפי המסמכים</t>
        </is>
      </c>
      <c r="G179" s="7" t="n">
        <v>1150</v>
      </c>
      <c r="H179" s="7">
        <f>ROUND(E179*G179,2)</f>
        <v/>
      </c>
      <c r="I179" s="5" t="n"/>
    </row>
    <row r="180">
      <c r="A180" s="8" t="inlineStr">
        <is>
          <t>סה״כ פרק 14 — טיח וגמר צבעוני חוץ</t>
        </is>
      </c>
      <c r="B180" s="8" t="n"/>
      <c r="C180" s="8" t="n"/>
      <c r="D180" s="8" t="n"/>
      <c r="E180" s="8" t="n"/>
      <c r="F180" s="8" t="n"/>
      <c r="G180" s="8" t="n"/>
      <c r="H180" s="9">
        <f>SUM(H177:H179)</f>
        <v/>
      </c>
      <c r="I180" s="8" t="n"/>
    </row>
    <row r="182">
      <c r="A182" s="3" t="inlineStr">
        <is>
          <t>פרק 15 — תיקוני טיח, שפכטל וצבע פנים</t>
        </is>
      </c>
      <c r="B182" s="3" t="n"/>
      <c r="C182" s="3" t="n"/>
      <c r="D182" s="3" t="n"/>
      <c r="E182" s="3" t="n"/>
      <c r="F182" s="3" t="n"/>
      <c r="G182" s="3" t="n"/>
      <c r="H182" s="3" t="n"/>
      <c r="I182" s="3" t="n"/>
    </row>
    <row r="183">
      <c r="A183" s="4" t="inlineStr">
        <is>
          <t>15.01</t>
        </is>
      </c>
      <c r="B183" s="5" t="inlineStr">
        <is>
          <t>תיקוני טיח, שפכטל וצבע פנים – מרתף</t>
        </is>
      </c>
      <c r="C183" s="5" t="inlineStr">
        <is>
          <t>תיקוני טיח, שפכטל בשלוש ידיים וצביעה מחדש של קירות ותקרות פנים, עד לאישור המעצבת, כולל הכנות, הגנות וניקיון.</t>
        </is>
      </c>
      <c r="D183" s="4" t="inlineStr">
        <is>
          <t>מ״ר</t>
        </is>
      </c>
      <c r="E183" s="6" t="n">
        <v>254</v>
      </c>
      <c r="F183" s="4" t="inlineStr">
        <is>
          <t>לפי המסמכים</t>
        </is>
      </c>
      <c r="G183" s="7" t="n">
        <v>115</v>
      </c>
      <c r="H183" s="7">
        <f>ROUND(E183*G183,2)</f>
        <v/>
      </c>
      <c r="I183" s="5" t="n"/>
    </row>
    <row r="184">
      <c r="A184" s="4" t="inlineStr">
        <is>
          <t>15.02</t>
        </is>
      </c>
      <c r="B184" s="5" t="inlineStr">
        <is>
          <t>תיקוני טיח, שפכטל וצבע פנים – קרקע</t>
        </is>
      </c>
      <c r="C184" s="5" t="inlineStr">
        <is>
          <t>תיקוני טיח, שפכטל בשלוש ידיים וצביעה מחדש של קירות ותקרות פנים, עד לאישור המעצבת, כולל הכנות, הגנות וניקיון.</t>
        </is>
      </c>
      <c r="D184" s="4" t="inlineStr">
        <is>
          <t>מ״ר</t>
        </is>
      </c>
      <c r="E184" s="6" t="n">
        <v>118</v>
      </c>
      <c r="F184" s="4" t="inlineStr">
        <is>
          <t>לפי המסמכים</t>
        </is>
      </c>
      <c r="G184" s="7" t="n">
        <v>115</v>
      </c>
      <c r="H184" s="7">
        <f>ROUND(E184*G184,2)</f>
        <v/>
      </c>
      <c r="I184" s="5" t="n"/>
    </row>
    <row r="185">
      <c r="A185" s="4" t="inlineStr">
        <is>
          <t>15.03</t>
        </is>
      </c>
      <c r="B185" s="5" t="inlineStr">
        <is>
          <t>תיקוני טיח, שפכטל וצבע פנים – קומה א׳</t>
        </is>
      </c>
      <c r="C185" s="5" t="inlineStr">
        <is>
          <t>תיקוני טיח, שפכטל בשלוש ידיים וצביעה מחדש של קירות ותקרות פנים, עד לאישור המעצבת, כולל הכנות, הגנות וניקיון.</t>
        </is>
      </c>
      <c r="D185" s="4" t="inlineStr">
        <is>
          <t>מ״ר</t>
        </is>
      </c>
      <c r="E185" s="6" t="n">
        <v>204</v>
      </c>
      <c r="F185" s="4" t="inlineStr">
        <is>
          <t>לפי המסמכים</t>
        </is>
      </c>
      <c r="G185" s="7" t="n">
        <v>115</v>
      </c>
      <c r="H185" s="7">
        <f>ROUND(E185*G185,2)</f>
        <v/>
      </c>
      <c r="I185" s="5" t="n"/>
    </row>
    <row r="186">
      <c r="A186" s="8" t="inlineStr">
        <is>
          <t>סה״כ פרק 15 — תיקוני טיח, שפכטל וצבע פנים</t>
        </is>
      </c>
      <c r="B186" s="8" t="n"/>
      <c r="C186" s="8" t="n"/>
      <c r="D186" s="8" t="n"/>
      <c r="E186" s="8" t="n"/>
      <c r="F186" s="8" t="n"/>
      <c r="G186" s="8" t="n"/>
      <c r="H186" s="9">
        <f>SUM(H183:H185)</f>
        <v/>
      </c>
      <c r="I186" s="8" t="n"/>
    </row>
    <row r="188">
      <c r="A188" s="3" t="inlineStr">
        <is>
          <t>פרק 16 — אלומיניום, דלתות ושערים</t>
        </is>
      </c>
      <c r="B188" s="3" t="n"/>
      <c r="C188" s="3" t="n"/>
      <c r="D188" s="3" t="n"/>
      <c r="E188" s="3" t="n"/>
      <c r="F188" s="3" t="n"/>
      <c r="G188" s="3" t="n"/>
      <c r="H188" s="3" t="n"/>
      <c r="I188" s="3" t="n"/>
    </row>
    <row r="189">
      <c r="A189" s="4" t="inlineStr">
        <is>
          <t>16.01</t>
        </is>
      </c>
      <c r="B189" s="5" t="inlineStr">
        <is>
          <t>פריטי אלומיניום לפי רשימת הפתחים</t>
        </is>
      </c>
      <c r="C189" s="5" t="inlineStr">
        <is>
          <t>ביצוע והתקנת פריטי האלומיניום המסומנים R1–R26, בהתאם ללוח האלומיניום ולמדידה סופית מאושרת באתר, לרבות מסגרות, כנפיים, זיגוג, פרזול, עיגונים ואטימת חיבורי המסגרת, לפי ההגדרה של כל פריט. העבודה כוללת כיוון ובדיקת פתיחה, סגירה ואטימות.</t>
        </is>
      </c>
      <c r="D189" s="4" t="inlineStr">
        <is>
          <t>יח׳</t>
        </is>
      </c>
      <c r="E189" s="6" t="n">
        <v>26</v>
      </c>
      <c r="F189" s="4" t="inlineStr">
        <is>
          <t>לפי המסמכים</t>
        </is>
      </c>
      <c r="G189" s="7" t="n">
        <v>5750</v>
      </c>
      <c r="H189" s="7">
        <f>ROUND(E189*G189,2)</f>
        <v/>
      </c>
      <c r="I189" s="5" t="n"/>
    </row>
    <row r="190">
      <c r="A190" s="4" t="inlineStr">
        <is>
          <t>16.02</t>
        </is>
      </c>
      <c r="B190" s="5" t="inlineStr">
        <is>
          <t xml:space="preserve">דלתות פנים </t>
        </is>
      </c>
      <c r="C190" s="5" t="inlineStr">
        <is>
          <t>התקנת דלתות פנים  לפי לוח הדלתות, לרבות כנפיים, משקופים ופרזול המוגדרים בו, התאמה למפלסי הגמר ולכיווני הפתיחה, קיבוע, כיוון ובדיקת פעולה.</t>
        </is>
      </c>
      <c r="D190" s="4" t="inlineStr">
        <is>
          <t>יח׳</t>
        </is>
      </c>
      <c r="E190" s="6" t="n">
        <v>10</v>
      </c>
      <c r="F190" s="4" t="inlineStr">
        <is>
          <t>לפי המסמכים</t>
        </is>
      </c>
      <c r="G190" s="7" t="n">
        <v>1380</v>
      </c>
      <c r="H190" s="7">
        <f>ROUND(E190*G190,2)</f>
        <v/>
      </c>
      <c r="I190" s="5" t="n"/>
    </row>
    <row r="191">
      <c r="A191" s="4" t="inlineStr">
        <is>
          <t>16.03</t>
        </is>
      </c>
      <c r="B191" s="5" t="inlineStr">
        <is>
          <t>דלתות כניסה במרתף</t>
        </is>
      </c>
      <c r="C191" s="5" t="inlineStr">
        <is>
          <t>התקנת דלתות כניסה בקומת המרתף בהתאם ללוח הדלתות, לרבות משקופים, כנפיים ופרזול, התאמה לפתחים ולמפלסי הגמר, קיבוע, כיוון ואטימה לפי המוצר.</t>
        </is>
      </c>
      <c r="D191" s="4" t="inlineStr">
        <is>
          <t>יח׳</t>
        </is>
      </c>
      <c r="E191" s="6" t="n">
        <v>3</v>
      </c>
      <c r="F191" s="4" t="inlineStr">
        <is>
          <t>לפי המסמכים</t>
        </is>
      </c>
      <c r="G191" s="7" t="n">
        <v>2875</v>
      </c>
      <c r="H191" s="7">
        <f>ROUND(E191*G191,2)</f>
        <v/>
      </c>
      <c r="I191" s="5" t="n"/>
    </row>
    <row r="192">
      <c r="A192" s="4" t="inlineStr">
        <is>
          <t>16.04</t>
        </is>
      </c>
      <c r="B192" s="5" t="inlineStr">
        <is>
          <t>דלת כניסה ראשית בקומת הקרקע</t>
        </is>
      </c>
      <c r="C192" s="5" t="inlineStr">
        <is>
          <t>התקנת דלת כניסה ראשית במידות התכנון 120×220 ס״מ, בכפוף למדידה סופית וללוח הדלתות, לרבות משקוף, כנף ופרזול, קיבוע, כיוון ואטימת המפגשים הנדרשים.</t>
        </is>
      </c>
      <c r="D192" s="4" t="inlineStr">
        <is>
          <t>יח׳</t>
        </is>
      </c>
      <c r="E192" s="6" t="n">
        <v>1</v>
      </c>
      <c r="F192" s="4" t="inlineStr">
        <is>
          <t>לפי המסמכים</t>
        </is>
      </c>
      <c r="G192" s="7" t="n">
        <v>10350</v>
      </c>
      <c r="H192" s="7">
        <f>ROUND(E192*G192,2)</f>
        <v/>
      </c>
      <c r="I192" s="5" t="n"/>
    </row>
    <row r="193">
      <c r="A193" s="4" t="inlineStr">
        <is>
          <t>16.05</t>
        </is>
      </c>
      <c r="B193" s="5" t="inlineStr">
        <is>
          <t>שער כניסה חשמלי לרכב</t>
        </is>
      </c>
      <c r="C193" s="5" t="inlineStr">
        <is>
          <t>ביצוע והתקנת שער כניסה חשמלי לרכב בהתאם לתוכנית השערים, לרבות רכיבי השער, מנגנון ההנעה והבקרה המוגדרים, קיבוע, חיבור לתשתיות המוכנות, כיוון ובדיקת פעולה. חיבור האינטרקום מתואם עם פרק 18.</t>
        </is>
      </c>
      <c r="D193" s="4" t="inlineStr">
        <is>
          <t>קומפ׳</t>
        </is>
      </c>
      <c r="E193" s="6" t="n">
        <v>1</v>
      </c>
      <c r="F193" s="4" t="inlineStr">
        <is>
          <t>לפי המסמכים</t>
        </is>
      </c>
      <c r="G193" s="7" t="n">
        <v>20700</v>
      </c>
      <c r="H193" s="7">
        <f>ROUND(E193*G193,2)</f>
        <v/>
      </c>
      <c r="I193" s="5" t="n"/>
    </row>
    <row r="194">
      <c r="A194" s="4" t="inlineStr">
        <is>
          <t>16.06</t>
        </is>
      </c>
      <c r="B194" s="5" t="inlineStr">
        <is>
          <t>שער פילר חשמלי</t>
        </is>
      </c>
      <c r="C194" s="5" t="inlineStr">
        <is>
          <t>ביצוע והתקנת השער המסומן במקור „שער פילר חשמלי”, בהתאם לתוכנית ולפרט המאושרים, לרבות רכיבי השער ומנגנון ההפעלה ככל שמוגדר, קיבוע ובדיקת פעולה. ייעוד השער ותצורתו טעונים אימות מול התוכנית.</t>
        </is>
      </c>
      <c r="D194" s="4" t="inlineStr">
        <is>
          <t>קומפ׳</t>
        </is>
      </c>
      <c r="E194" s="6" t="n">
        <v>1</v>
      </c>
      <c r="F194" s="4" t="inlineStr">
        <is>
          <t>לפי המסמכים</t>
        </is>
      </c>
      <c r="G194" s="7" t="n">
        <v>10350</v>
      </c>
      <c r="H194" s="7">
        <f>ROUND(E194*G194,2)</f>
        <v/>
      </c>
      <c r="I194" s="5" t="n"/>
    </row>
    <row r="195">
      <c r="A195" s="4" t="inlineStr">
        <is>
          <t>16.07</t>
        </is>
      </c>
      <c r="B195" s="5" t="inlineStr">
        <is>
          <t>שער למתחם פחי אשפה</t>
        </is>
      </c>
      <c r="C195" s="5" t="inlineStr">
        <is>
          <t>ביצוע והתקנת שער למתחם פחי האשפה בהתאם לתוכנית, לרבות מסגרת, כנפיים, פרזול וקיבוע. במקור קיימת אי־אחידות בשאלה אם שער זה חשמלי; מנגנון חשמלי ייכלל רק לאחר הבהרה ואישור.</t>
        </is>
      </c>
      <c r="D195" s="4" t="inlineStr">
        <is>
          <t>קומפ׳</t>
        </is>
      </c>
      <c r="E195" s="6" t="n">
        <v>1</v>
      </c>
      <c r="F195" s="4" t="inlineStr">
        <is>
          <t>לפי המסמכים</t>
        </is>
      </c>
      <c r="G195" s="7" t="n">
        <v>4025</v>
      </c>
      <c r="H195" s="7">
        <f>ROUND(E195*G195,2)</f>
        <v/>
      </c>
      <c r="I195" s="5" t="n"/>
    </row>
    <row r="196">
      <c r="A196" s="4" t="inlineStr">
        <is>
          <t>16.09</t>
        </is>
      </c>
      <c r="B196" s="5" t="inlineStr">
        <is>
          <t>תריסים חשמליים</t>
        </is>
      </c>
      <c r="C196" s="5" t="inlineStr">
        <is>
          <t>אספקה והתקנה של תריסים חשמליים בפתחים המסומנים, כולל ארגז, שלבים, מסילות ומנוע, וחיבור לתשתית החשמל.</t>
        </is>
      </c>
      <c r="D196" s="4" t="inlineStr">
        <is>
          <t>יח׳</t>
        </is>
      </c>
      <c r="E196" s="6" t="n">
        <v>18</v>
      </c>
      <c r="F196" s="4" t="inlineStr">
        <is>
          <t>לפי המסמכים</t>
        </is>
      </c>
      <c r="G196" s="7" t="n">
        <v>2760</v>
      </c>
      <c r="H196" s="7">
        <f>ROUND(E196*G196,2)</f>
        <v/>
      </c>
      <c r="I196" s="5" t="inlineStr">
        <is>
          <t>אופציה</t>
        </is>
      </c>
    </row>
    <row r="197">
      <c r="A197" s="8" t="inlineStr">
        <is>
          <t>סה״כ פרק 16 — אלומיניום, דלתות ושערים</t>
        </is>
      </c>
      <c r="B197" s="8" t="n"/>
      <c r="C197" s="8" t="n"/>
      <c r="D197" s="8" t="n"/>
      <c r="E197" s="8" t="n"/>
      <c r="F197" s="8" t="n"/>
      <c r="G197" s="8" t="n"/>
      <c r="H197" s="9">
        <f>SUM(H189:H196)</f>
        <v/>
      </c>
      <c r="I197" s="8" t="n"/>
    </row>
    <row r="199">
      <c r="A199" s="3" t="inlineStr">
        <is>
          <t>פרק 17 — פיתוח חוץ</t>
        </is>
      </c>
      <c r="B199" s="3" t="n"/>
      <c r="C199" s="3" t="n"/>
      <c r="D199" s="3" t="n"/>
      <c r="E199" s="3" t="n"/>
      <c r="F199" s="3" t="n"/>
      <c r="G199" s="3" t="n"/>
      <c r="H199" s="3" t="n"/>
      <c r="I199" s="3" t="n"/>
    </row>
    <row r="200">
      <c r="A200" s="4" t="inlineStr">
        <is>
          <t>17.01</t>
        </is>
      </c>
      <c r="B200" s="5" t="inlineStr">
        <is>
          <t>עבודות עפר ופילוס שטחי הפיתוח</t>
        </is>
      </c>
      <c r="C200" s="5" t="inlineStr">
        <is>
          <t>ביצוע עבודות העפר והפילוס לשטחי הפיתוח בהתאם לתוכנית המאושרת, לרבות עיצוב מפלסים, תיחום והידוק הקרקע להשגת תשתית יציבה.</t>
        </is>
      </c>
      <c r="D200" s="4" t="inlineStr">
        <is>
          <t>מ״ר</t>
        </is>
      </c>
      <c r="E200" s="6" t="n">
        <v>65</v>
      </c>
      <c r="F200" s="4" t="inlineStr">
        <is>
          <t>לפי המסמכים</t>
        </is>
      </c>
      <c r="G200" s="7" t="n">
        <v>86</v>
      </c>
      <c r="H200" s="7">
        <f>ROUND(E200*G200,2)</f>
        <v/>
      </c>
      <c r="I200" s="5" t="n"/>
    </row>
    <row r="201">
      <c r="A201" s="4" t="inlineStr">
        <is>
          <t>17.02</t>
        </is>
      </c>
      <c r="B201" s="5" t="inlineStr">
        <is>
          <t>מערכת ניקוז מי נגר</t>
        </is>
      </c>
      <c r="C201" s="5" t="inlineStr">
        <is>
          <t>ביצוע מערכת ניקוז מי נגר בשטחי הפיתוח בהתאם לתכנון, לרבות רכיבי הניקוז והחיבורים המוגדרים, התאמה למפלסים ולשיפועים ובדיקת זרימה המוודאת הרחקת מים מהמבנה.</t>
        </is>
      </c>
      <c r="D201" s="4" t="inlineStr">
        <is>
          <t>קומפ׳</t>
        </is>
      </c>
      <c r="E201" s="6" t="n">
        <v>1</v>
      </c>
      <c r="F201" s="4" t="inlineStr">
        <is>
          <t>לפי המסמכים</t>
        </is>
      </c>
      <c r="G201" s="7" t="n">
        <v>11500</v>
      </c>
      <c r="H201" s="7">
        <f>ROUND(E201*G201,2)</f>
        <v/>
      </c>
      <c r="I201" s="5" t="n"/>
    </row>
    <row r="202">
      <c r="A202" s="4" t="inlineStr">
        <is>
          <t>17.04</t>
        </is>
      </c>
      <c r="B202" s="5" t="inlineStr">
        <is>
          <t>גינון, מערכת השקיה אוטומטית וברזי גינה</t>
        </is>
      </c>
      <c r="C202" s="5" t="inlineStr">
        <is>
          <t>עבודות גינון בשטחים המיועדים, מערכת השקיה אוטומטית (צנרת, טפטוף/המטרה ובקר) וחיבור 11 ברזי גינה, כולל בדיקת תפקוד. סוגי הצמחייה טעונים השלמה.</t>
        </is>
      </c>
      <c r="D202" s="4" t="inlineStr">
        <is>
          <t>קומפ׳</t>
        </is>
      </c>
      <c r="E202" s="6" t="n">
        <v>1</v>
      </c>
      <c r="F202" s="4" t="inlineStr">
        <is>
          <t>לפי המסמכים</t>
        </is>
      </c>
      <c r="G202" s="7" t="n">
        <v>32200</v>
      </c>
      <c r="H202" s="7">
        <f>ROUND(E202*G202,2)</f>
        <v/>
      </c>
      <c r="I202" s="5" t="n"/>
    </row>
    <row r="203">
      <c r="A203" s="4" t="inlineStr">
        <is>
          <t>17.05</t>
        </is>
      </c>
      <c r="B203" s="5" t="inlineStr">
        <is>
          <t>תאורת גן כולל חיבור חשמלי</t>
        </is>
      </c>
      <c r="C203" s="5" t="inlineStr">
        <is>
          <t>התקנת גופי תאורת גן בדרגת ההגנה הנדרשת, כולל החיבורים החשמליים למעגל מוגן ייעודי ובדיקת תקינות. גופים המתומחרים בפרק 07 לא ייכללו שוב.</t>
        </is>
      </c>
      <c r="D203" s="4" t="inlineStr">
        <is>
          <t>קומפ׳</t>
        </is>
      </c>
      <c r="E203" s="6" t="n">
        <v>1</v>
      </c>
      <c r="F203" s="4" t="inlineStr">
        <is>
          <t>לפי המסמכים</t>
        </is>
      </c>
      <c r="G203" s="7" t="n">
        <v>10350</v>
      </c>
      <c r="H203" s="7">
        <f>ROUND(E203*G203,2)</f>
        <v/>
      </c>
      <c r="I203" s="5" t="n"/>
    </row>
    <row r="204">
      <c r="A204" s="8" t="inlineStr">
        <is>
          <t>סה״כ פרק 17 — פיתוח חוץ</t>
        </is>
      </c>
      <c r="B204" s="8" t="n"/>
      <c r="C204" s="8" t="n"/>
      <c r="D204" s="8" t="n"/>
      <c r="E204" s="8" t="n"/>
      <c r="F204" s="8" t="n"/>
      <c r="G204" s="8" t="n"/>
      <c r="H204" s="9">
        <f>SUM(H200:H203)</f>
        <v/>
      </c>
      <c r="I204" s="8" t="n"/>
    </row>
    <row r="206">
      <c r="A206" s="3" t="inlineStr">
        <is>
          <t>פרק 18 — תשתיות תקשורת, מיגון, אינטרקום ושמע</t>
        </is>
      </c>
      <c r="B206" s="3" t="n"/>
      <c r="C206" s="3" t="n"/>
      <c r="D206" s="3" t="n"/>
      <c r="E206" s="3" t="n"/>
      <c r="F206" s="3" t="n"/>
      <c r="G206" s="3" t="n"/>
      <c r="H206" s="3" t="n"/>
      <c r="I206" s="3" t="n"/>
    </row>
    <row r="207">
      <c r="A207" s="4" t="inlineStr">
        <is>
          <t>18.01</t>
        </is>
      </c>
      <c r="B207" s="5" t="inlineStr">
        <is>
          <t>תשתית צנרת ושרוולים לתקשורת, מיגון ושמע – כל הקומות</t>
        </is>
      </c>
      <c r="C207" s="5" t="inlineStr">
        <is>
          <t>הנחת צנרת ושרוולים עם חוטי משיכה מכל הנקודות שיאושרו בשלוש הקומות אל לוח התקשורת המרכזי, בתיאום עם החשמל והגבס לפני סגירת קירות ותקרות.</t>
        </is>
      </c>
      <c r="D207" s="4" t="inlineStr">
        <is>
          <t>קומפ׳</t>
        </is>
      </c>
      <c r="E207" s="6" t="n">
        <v>1</v>
      </c>
      <c r="F207" s="4" t="inlineStr">
        <is>
          <t>לפי המסמכים</t>
        </is>
      </c>
      <c r="G207" s="7" t="n">
        <v>11500</v>
      </c>
      <c r="H207" s="7">
        <f>ROUND(E207*G207,2)</f>
        <v/>
      </c>
      <c r="I207" s="5" t="n"/>
    </row>
    <row r="208">
      <c r="A208" s="4" t="inlineStr">
        <is>
          <t>18.02</t>
        </is>
      </c>
      <c r="B208" s="5" t="inlineStr">
        <is>
          <t>מיקום ומארז ללוח תקשורת מרכזי</t>
        </is>
      </c>
      <c r="C208" s="5" t="inlineStr">
        <is>
          <t>הסדרת מיקום והתקנת מארז ללוח תקשורת מרכזי באזור נגיש לתחזוקה, לרבות ריכוז כניסות הצנרת והכנתו לשילוב המערכות בהתאם למפרט האינטגרטור. ציוד פעיל אינו מוגדר בסעיף המקורי.</t>
        </is>
      </c>
      <c r="D208" s="4" t="inlineStr">
        <is>
          <t>קומפ׳</t>
        </is>
      </c>
      <c r="E208" s="6" t="n">
        <v>1</v>
      </c>
      <c r="F208" s="4" t="inlineStr">
        <is>
          <t>לפי המסמכים</t>
        </is>
      </c>
      <c r="G208" s="7" t="n">
        <v>4025</v>
      </c>
      <c r="H208" s="7">
        <f>ROUND(E208*G208,2)</f>
        <v/>
      </c>
      <c r="I208" s="5" t="n"/>
    </row>
    <row r="209">
      <c r="A209" s="4" t="inlineStr">
        <is>
          <t>18.03</t>
        </is>
      </c>
      <c r="B209" s="5" t="inlineStr">
        <is>
          <t>חיבור אינטרקום השער ללוח הפנימי</t>
        </is>
      </c>
      <c r="C209" s="5" t="inlineStr">
        <is>
          <t>ביצוע חיבור נקודת האינטרקום בשער הכניסה ללוח הפנימי, בהתאם למערכת שתיבחר, לרבות החיווט והחיבורים הנדרשים ובדיקת תקשורת והפעלת השער מהנקודות המיועדות בבית.</t>
        </is>
      </c>
      <c r="D209" s="4" t="inlineStr">
        <is>
          <t>קומפ׳</t>
        </is>
      </c>
      <c r="E209" s="6" t="n">
        <v>1</v>
      </c>
      <c r="F209" s="4" t="inlineStr">
        <is>
          <t>לפי המסמכים</t>
        </is>
      </c>
      <c r="G209" s="7" t="n">
        <v>2300</v>
      </c>
      <c r="H209" s="7">
        <f>ROUND(E209*G209,2)</f>
        <v/>
      </c>
      <c r="I209" s="5" t="n"/>
    </row>
    <row r="210">
      <c r="A210" s="4" t="inlineStr">
        <is>
          <t>18.04</t>
        </is>
      </c>
      <c r="B210" s="5" t="inlineStr">
        <is>
          <t>בדיקות רציפות לתשתיות</t>
        </is>
      </c>
      <c r="C210" s="5" t="inlineStr">
        <is>
          <t>בדיקות רציפות לקווים שבהם הותקנה כבילה ובדיקת עבירות לצנרת ריקה עם חוט משיכה, לרבות מסירת תוצאות בדיקה ותוכנית עדות לתוואים שבוצעו.</t>
        </is>
      </c>
      <c r="D210" s="4" t="inlineStr">
        <is>
          <t>קומפ׳</t>
        </is>
      </c>
      <c r="E210" s="6" t="n">
        <v>1</v>
      </c>
      <c r="F210" s="4" t="inlineStr">
        <is>
          <t>לפי המסמכים</t>
        </is>
      </c>
      <c r="G210" s="7" t="n">
        <v>1725</v>
      </c>
      <c r="H210" s="7">
        <f>ROUND(E210*G210,2)</f>
        <v/>
      </c>
      <c r="I210" s="5" t="n"/>
    </row>
    <row r="211">
      <c r="A211" s="4" t="inlineStr">
        <is>
          <t>18.05</t>
        </is>
      </c>
      <c r="B211" s="5" t="inlineStr">
        <is>
          <t>נקודות תקשורת (טלוויזיה, טלפון/אינטרקום, אינטרנט)</t>
        </is>
      </c>
      <c r="C211" s="5" t="inlineStr">
        <is>
          <t>נקודות קצה לתקשורת לפי מקרא החשמל, כולל כבילה CAT6 לפחות עד לוח התקשורת ובדיקת רציפות.</t>
        </is>
      </c>
      <c r="D211" s="4" t="inlineStr">
        <is>
          <t>נק׳</t>
        </is>
      </c>
      <c r="E211" s="6" t="n">
        <v>24</v>
      </c>
      <c r="F211" s="4" t="inlineStr">
        <is>
          <t>זמנית – תימדד בפועל</t>
        </is>
      </c>
      <c r="G211" s="7" t="n">
        <v>288</v>
      </c>
      <c r="H211" s="7">
        <f>ROUND(E211*G211,2)</f>
        <v/>
      </c>
      <c r="I211" s="5" t="n"/>
    </row>
    <row r="212">
      <c r="A212" s="8" t="inlineStr">
        <is>
          <t>סה״כ פרק 18 — תשתיות תקשורת, מיגון, אינטרקום ושמע</t>
        </is>
      </c>
      <c r="B212" s="8" t="n"/>
      <c r="C212" s="8" t="n"/>
      <c r="D212" s="8" t="n"/>
      <c r="E212" s="8" t="n"/>
      <c r="F212" s="8" t="n"/>
      <c r="G212" s="8" t="n"/>
      <c r="H212" s="9">
        <f>SUM(H207:H211)</f>
        <v/>
      </c>
      <c r="I212" s="8" t="n"/>
    </row>
  </sheetData>
  <mergeCells count="18">
    <mergeCell ref="A204:G204"/>
    <mergeCell ref="A88:G88"/>
    <mergeCell ref="A150:G150"/>
    <mergeCell ref="A197:G197"/>
    <mergeCell ref="A143:G143"/>
    <mergeCell ref="A106:G106"/>
    <mergeCell ref="A136:G136"/>
    <mergeCell ref="A158:G158"/>
    <mergeCell ref="A39:G39"/>
    <mergeCell ref="A212:G212"/>
    <mergeCell ref="A186:G186"/>
    <mergeCell ref="A16:G16"/>
    <mergeCell ref="A52:G52"/>
    <mergeCell ref="A165:G165"/>
    <mergeCell ref="A180:G180"/>
    <mergeCell ref="A174:G174"/>
    <mergeCell ref="A129:G129"/>
    <mergeCell ref="A46:G46"/>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C26"/>
  <sheetViews>
    <sheetView rightToLeft="1" workbookViewId="0">
      <selection activeCell="A1" sqref="A1"/>
    </sheetView>
  </sheetViews>
  <sheetFormatPr baseColWidth="8" defaultRowHeight="15"/>
  <cols>
    <col width="60" customWidth="1" min="1" max="1"/>
    <col width="18" customWidth="1" min="2" max="2"/>
  </cols>
  <sheetData>
    <row r="1">
      <c r="A1" s="1" t="inlineStr">
        <is>
          <t>סיכום הצעת מחיר</t>
        </is>
      </c>
    </row>
    <row r="3">
      <c r="A3" s="10" t="inlineStr">
        <is>
          <t>פרק</t>
        </is>
      </c>
      <c r="B3" s="10" t="inlineStr">
        <is>
          <t>סכום (₪)</t>
        </is>
      </c>
    </row>
    <row r="4">
      <c r="A4" t="inlineStr">
        <is>
          <t>1. הכנות והתארגנות לביצוע</t>
        </is>
      </c>
      <c r="B4" s="11">
        <f>'הצעת מחיר'!H16</f>
        <v/>
      </c>
    </row>
    <row r="5">
      <c r="A5" t="inlineStr">
        <is>
          <t>2. הריסות, פירוקים ופינוי</t>
        </is>
      </c>
      <c r="B5" s="11">
        <f>'הצעת מחיר'!H39</f>
        <v/>
      </c>
    </row>
    <row r="6">
      <c r="A6" t="inlineStr">
        <is>
          <t>3. בנייה ותוספות מבניות</t>
        </is>
      </c>
      <c r="B6" s="11">
        <f>'הצעת מחיר'!H46</f>
        <v/>
      </c>
    </row>
    <row r="7">
      <c r="A7" t="inlineStr">
        <is>
          <t>4. חלוקה חדשה בקירות בלוקים</t>
        </is>
      </c>
      <c r="B7" s="11">
        <f>'הצעת מחיר'!H52</f>
        <v/>
      </c>
    </row>
    <row r="8">
      <c r="A8" t="inlineStr">
        <is>
          <t>5. אינסטלציה, התקנת כלים סניטריים וברזים</t>
        </is>
      </c>
      <c r="B8" s="11">
        <f>'הצעת מחיר'!H88</f>
        <v/>
      </c>
    </row>
    <row r="9">
      <c r="A9" t="inlineStr">
        <is>
          <t>6. חשמל</t>
        </is>
      </c>
      <c r="B9" s="11">
        <f>'הצעת מחיר'!H106</f>
        <v/>
      </c>
    </row>
    <row r="10">
      <c r="A10" t="inlineStr">
        <is>
          <t>7. תאורה ומפסקי תאורה</t>
        </is>
      </c>
      <c r="B10" s="11">
        <f>'הצעת מחיר'!H129</f>
        <v/>
      </c>
    </row>
    <row r="11">
      <c r="A11" t="inlineStr">
        <is>
          <t>8. מיזוג אוויר</t>
        </is>
      </c>
      <c r="B11" s="11">
        <f>'הצעת מחיר'!H136</f>
        <v/>
      </c>
    </row>
    <row r="12">
      <c r="A12" t="inlineStr">
        <is>
          <t>9. מחיצות ותקרות גבס</t>
        </is>
      </c>
      <c r="B12" s="11">
        <f>'הצעת מחיר'!H143</f>
        <v/>
      </c>
    </row>
    <row r="13">
      <c r="A13" t="inlineStr">
        <is>
          <t>10. איטום פנים</t>
        </is>
      </c>
      <c r="B13" s="11">
        <f>'הצעת מחיר'!H150</f>
        <v/>
      </c>
    </row>
    <row r="14">
      <c r="A14" t="inlineStr">
        <is>
          <t>11. איטום גג ופרפט</t>
        </is>
      </c>
      <c r="B14" s="11">
        <f>'הצעת מחיר'!H158</f>
        <v/>
      </c>
    </row>
    <row r="15">
      <c r="A15" t="inlineStr">
        <is>
          <t>12. אדני חלונות וספי פתחים</t>
        </is>
      </c>
      <c r="B15" s="11">
        <f>'הצעת מחיר'!H165</f>
        <v/>
      </c>
    </row>
    <row r="16">
      <c r="A16" t="inlineStr">
        <is>
          <t>13. ריצופים, חיפויים ופנלים</t>
        </is>
      </c>
      <c r="B16" s="11">
        <f>'הצעת מחיר'!H174</f>
        <v/>
      </c>
    </row>
    <row r="17">
      <c r="A17" t="inlineStr">
        <is>
          <t>14. טיח וגמר צבעוני חוץ</t>
        </is>
      </c>
      <c r="B17" s="11">
        <f>'הצעת מחיר'!H180</f>
        <v/>
      </c>
    </row>
    <row r="18">
      <c r="A18" t="inlineStr">
        <is>
          <t>15. תיקוני טיח, שפכטל וצבע פנים</t>
        </is>
      </c>
      <c r="B18" s="11">
        <f>'הצעת מחיר'!H186</f>
        <v/>
      </c>
    </row>
    <row r="19">
      <c r="A19" t="inlineStr">
        <is>
          <t>16. אלומיניום, דלתות ושערים</t>
        </is>
      </c>
      <c r="B19" s="11">
        <f>'הצעת מחיר'!H197</f>
        <v/>
      </c>
    </row>
    <row r="20">
      <c r="A20" t="inlineStr">
        <is>
          <t>17. פיתוח חוץ</t>
        </is>
      </c>
      <c r="B20" s="11">
        <f>'הצעת מחיר'!H204</f>
        <v/>
      </c>
    </row>
    <row r="21">
      <c r="A21" t="inlineStr">
        <is>
          <t>18. תשתיות תקשורת, מיגון, אינטרקום ושמע</t>
        </is>
      </c>
      <c r="B21" s="11">
        <f>'הצעת מחיר'!H212</f>
        <v/>
      </c>
    </row>
    <row r="22">
      <c r="A22" s="12" t="inlineStr">
        <is>
          <t>סה״כ לפני הנחה</t>
        </is>
      </c>
      <c r="B22" s="13">
        <f>SUM(B4:B21)</f>
        <v/>
      </c>
    </row>
    <row r="23">
      <c r="A23" s="12" t="inlineStr">
        <is>
          <t>הנחה</t>
        </is>
      </c>
      <c r="B23" s="13">
        <f>-ROUND(B22*C23,2)</f>
        <v/>
      </c>
      <c r="C23" s="14" t="n">
        <v>0.25</v>
      </c>
    </row>
    <row r="24">
      <c r="A24" s="12" t="inlineStr">
        <is>
          <t>סה״כ לאחר הנחה, לפני מע״מ</t>
        </is>
      </c>
      <c r="B24" s="13">
        <f>B22+B23</f>
        <v/>
      </c>
    </row>
    <row r="25">
      <c r="A25" s="12" t="inlineStr">
        <is>
          <t>מע״מ</t>
        </is>
      </c>
      <c r="B25" s="13">
        <f>ROUND(B24*C25,2)</f>
        <v/>
      </c>
      <c r="C25" s="14" t="n">
        <v>0.18</v>
      </c>
    </row>
    <row r="26">
      <c r="A26" s="12" t="inlineStr">
        <is>
          <t>סה״כ כולל מע״מ</t>
        </is>
      </c>
      <c r="B26" s="13">
        <f>B24+B25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1"/>
  <sheetViews>
    <sheetView rightToLeft="1" workbookViewId="0">
      <selection activeCell="A1" sqref="A1"/>
    </sheetView>
  </sheetViews>
  <sheetFormatPr baseColWidth="8" defaultRowHeight="15"/>
  <cols>
    <col width="5" customWidth="1" min="1" max="1"/>
    <col width="12" customWidth="1" min="2" max="2"/>
    <col width="120" customWidth="1" min="3" max="3"/>
  </cols>
  <sheetData>
    <row r="1">
      <c r="A1" s="15" t="inlineStr">
        <is>
          <t>#</t>
        </is>
      </c>
      <c r="B1" s="15" t="inlineStr">
        <is>
          <t>סוג</t>
        </is>
      </c>
      <c r="C1" s="15" t="inlineStr">
        <is>
          <t>הערה</t>
        </is>
      </c>
    </row>
    <row r="2">
      <c r="A2" s="16" t="n">
        <v>1</v>
      </c>
      <c r="B2" s="16" t="inlineStr">
        <is>
          <t>בסיס</t>
        </is>
      </c>
      <c r="C2" s="16" t="inlineStr">
        <is>
          <t>ההצעה מבוססת על: ספר מפרט טכני מהדורה 20 (06/07/2026); תוכניות אדריכלות "בנייה חדשה" – קרקע (גיליון 13) וקומה א׳ (גיליון 23) מ-17/09/2026; כתב הכמויות לקבלן מ-24/09/2026; וכתב הכמויות של המזמין. בכל מקום שבו המסמכים סותרים נלקח כתב הכמויות מ-24/09/2026.</t>
        </is>
      </c>
    </row>
    <row r="3">
      <c r="A3" s="16" t="n">
        <v>2</v>
      </c>
      <c r="B3" s="16" t="inlineStr">
        <is>
          <t>כמויות</t>
        </is>
      </c>
      <c r="C3" s="16" t="inlineStr">
        <is>
          <t>סעיפים המסומנים "זמנית – תימדד בפועל" אינם כוללים כמות במסמכים שהתקבלו (מיזוג, מפסקים, תאורת חירום, דודים, נקודות חיבור ישיר, נקודות תקשורת, גג ופרפט, פיגומים). הם מתומחרים לפי כמות משוערת ויימדדו בפועל.</t>
        </is>
      </c>
    </row>
    <row r="4">
      <c r="A4" s="16" t="n">
        <v>3</v>
      </c>
      <c r="B4" s="16" t="inlineStr">
        <is>
          <t>שלד</t>
        </is>
      </c>
      <c r="C4" s="16" t="inlineStr">
        <is>
          <t>פרק 3 (מרפסת ופרגולה, חדר גלריה, כניסה ומדרגות, חיזוק גרם המדרגות) הוא סכום זמני. תוכניות הקונסטרוקטור המלאות לא התקבלו, והמחיר יותאם עם קבלתן.</t>
        </is>
      </c>
    </row>
    <row r="5">
      <c r="A5" s="16" t="n">
        <v>4</v>
      </c>
      <c r="B5" s="16" t="inlineStr">
        <is>
          <t>פיגום</t>
        </is>
      </c>
      <c r="C5" s="16" t="inlineStr">
        <is>
          <t>סעיף 01.09 – פיגום חיצוני לניסור המסגרות הדקורטיביות, לפרפט ולטיח החזיתות. כולל שכירות לכ-4.5 חודשים לפי לוח הזמנים.</t>
        </is>
      </c>
    </row>
    <row r="6">
      <c r="A6" s="16" t="n">
        <v>5</v>
      </c>
      <c r="B6" s="16" t="inlineStr">
        <is>
          <t>אספקה</t>
        </is>
      </c>
      <c r="C6" s="16" t="inlineStr">
        <is>
          <t>כלים סניטריים וברזים, גופי תאורה, יחידות מיזוג, דודים ואריחי ריצוף וחיפוי – אספקה על המזמין, והקבלן מתקין. אלומיניום, דלתות, שערים, תריסים ואדני אבן – אספקה והתקנה.</t>
        </is>
      </c>
    </row>
    <row r="7">
      <c r="A7" s="16" t="n">
        <v>6</v>
      </c>
      <c r="B7" s="16" t="inlineStr">
        <is>
          <t>החרגות</t>
        </is>
      </c>
      <c r="C7" s="16" t="inlineStr">
        <is>
          <t>בריכת שחייה (כל העבודות), נגרות (ארונות מטבח, רחצה והלבשה), ריהוט, אגרות והיתרים, שכר יועצים, והיטלי חברת החשמל להגדלת החיבור.</t>
        </is>
      </c>
    </row>
    <row r="8">
      <c r="A8" s="16" t="n">
        <v>7</v>
      </c>
      <c r="B8" s="16" t="inlineStr">
        <is>
          <t>החרגות</t>
        </is>
      </c>
      <c r="C8" s="16" t="inlineStr">
        <is>
          <t>פריטים התלויים בהחלטות המזמין: תריסים חשמליים (אופציה), סוגי צמחייה, דגמים סופיים.</t>
        </is>
      </c>
    </row>
    <row r="9">
      <c r="A9" s="16" t="n">
        <v>8</v>
      </c>
      <c r="B9" s="16" t="inlineStr">
        <is>
          <t>בדיקות</t>
        </is>
      </c>
      <c r="C9" s="16" t="inlineStr">
        <is>
          <t>הבדיקות והאישורים הנדרשים (קונסטרוקטור, יועץ איטום, חשמלאי בודק, בדיקות הצפה) כלולים לפי המפרט.</t>
        </is>
      </c>
    </row>
    <row r="10">
      <c r="A10" s="16" t="n">
        <v>9</v>
      </c>
      <c r="B10" s="16" t="inlineStr">
        <is>
          <t>מסחרי</t>
        </is>
      </c>
      <c r="C10" s="16" t="inlineStr">
        <is>
          <t>תוקף ההצעה: [__ ימים]  |  תנאי תשלום: [__]  |  הצמדה: [__]</t>
        </is>
      </c>
    </row>
    <row r="11">
      <c r="A11" s="16" t="n">
        <v>10</v>
      </c>
      <c r="B11" s="16" t="inlineStr">
        <is>
          <t>הנחה</t>
        </is>
      </c>
      <c r="C11" s="16" t="inlineStr">
        <is>
          <t>הנחה של 25% על סך ההצעה מוצגת בגיליון הסיכום.</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rightToLeft="1" workbookViewId="0">
      <selection activeCell="A1" sqref="A1"/>
    </sheetView>
  </sheetViews>
  <sheetFormatPr baseColWidth="8" defaultRowHeight="15"/>
  <cols>
    <col width="56" customWidth="1" min="1" max="1"/>
    <col width="14" customWidth="1" min="2" max="2"/>
    <col width="14" customWidth="1" min="3" max="3"/>
  </cols>
  <sheetData>
    <row r="1">
      <c r="A1" s="15" t="inlineStr">
        <is>
          <t>שלב</t>
        </is>
      </c>
      <c r="B1" s="15" t="inlineStr">
        <is>
          <t>התחלה</t>
        </is>
      </c>
      <c r="C1" s="15" t="inlineStr">
        <is>
          <t>סיום</t>
        </is>
      </c>
    </row>
    <row r="2">
      <c r="A2" s="16" t="inlineStr">
        <is>
          <t>התקשרות והזמנות</t>
        </is>
      </c>
      <c r="B2" s="17" t="n">
        <v>46327</v>
      </c>
      <c r="C2" s="17" t="n">
        <v>46327</v>
      </c>
    </row>
    <row r="3">
      <c r="A3" s="16" t="inlineStr">
        <is>
          <t>התארגנות ואישור להריסות</t>
        </is>
      </c>
      <c r="B3" s="17" t="n">
        <v>46328</v>
      </c>
      <c r="C3" s="17" t="n">
        <v>46341</v>
      </c>
    </row>
    <row r="4">
      <c r="A4" s="16" t="inlineStr">
        <is>
          <t>הריסות ופירוקים</t>
        </is>
      </c>
      <c r="B4" s="17" t="n">
        <v>46342</v>
      </c>
      <c r="C4" s="17" t="n">
        <v>46369</v>
      </c>
    </row>
    <row r="5">
      <c r="A5" s="16" t="inlineStr">
        <is>
          <t>פיגום חיצוני – הקמה ופירוק</t>
        </is>
      </c>
      <c r="B5" s="17" t="n">
        <v>46342</v>
      </c>
      <c r="C5" s="17" t="n">
        <v>46475</v>
      </c>
    </row>
    <row r="6">
      <c r="A6" s="16" t="inlineStr">
        <is>
          <t>שלד ותוספות מבניות</t>
        </is>
      </c>
      <c r="B6" s="17" t="n">
        <v>46370</v>
      </c>
      <c r="C6" s="17" t="n">
        <v>46420</v>
      </c>
    </row>
    <row r="7">
      <c r="A7" s="16" t="inlineStr">
        <is>
          <t>גג ופרפט</t>
        </is>
      </c>
      <c r="B7" s="17" t="n">
        <v>46370</v>
      </c>
      <c r="C7" s="17" t="n">
        <v>46405</v>
      </c>
    </row>
    <row r="8">
      <c r="A8" s="16" t="inlineStr">
        <is>
          <t>תשתיות אינסטלציה, חשמל, מיזוג ותקשורת ובדיקות</t>
        </is>
      </c>
      <c r="B8" s="17" t="n">
        <v>46376</v>
      </c>
      <c r="C8" s="17" t="n">
        <v>46406</v>
      </c>
    </row>
    <row r="9">
      <c r="A9" s="16" t="inlineStr">
        <is>
          <t>גבס ואיטום</t>
        </is>
      </c>
      <c r="B9" s="17" t="n">
        <v>46407</v>
      </c>
      <c r="C9" s="17" t="n">
        <v>46448</v>
      </c>
    </row>
    <row r="10">
      <c r="A10" s="16" t="inlineStr">
        <is>
          <t>חזיתות ופיתוח</t>
        </is>
      </c>
      <c r="B10" s="17" t="n">
        <v>46421</v>
      </c>
      <c r="C10" s="17" t="n">
        <v>46484</v>
      </c>
    </row>
    <row r="11">
      <c r="A11" s="16" t="inlineStr">
        <is>
          <t>גמרי פנים (ריצוף, טיח, צבע, התקנות)</t>
        </is>
      </c>
      <c r="B11" s="17" t="n">
        <v>46422</v>
      </c>
      <c r="C11" s="17" t="n">
        <v>46525</v>
      </c>
    </row>
    <row r="12">
      <c r="A12" s="16" t="inlineStr">
        <is>
          <t>בדיקות והכנה למסירה</t>
        </is>
      </c>
      <c r="B12" s="17" t="n">
        <v>46526</v>
      </c>
      <c r="C12" s="17" t="n">
        <v>46546</v>
      </c>
    </row>
    <row r="13">
      <c r="A13" s="16" t="inlineStr">
        <is>
          <t>מסירה</t>
        </is>
      </c>
      <c r="B13" s="17" t="n">
        <v>46546</v>
      </c>
      <c r="C13" s="17" t="n">
        <v>46546</v>
      </c>
    </row>
    <row r="15">
      <c r="A15" s="16" t="inlineStr">
        <is>
          <t>לוח זמנים מנחה: שבוע עבודה א׳–ה׳, תחילת עבודה 01/11/2026. ללא חגים ועיכובי מזג אוויר. משך כולל כ-31 שבועות.</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2026-10-09T06:43:25Z</dcterms:created>
  <dcterms:modified xmlns:dcterms="http://purl.org/dc/terms/" xmlns:xsi="http://www.w3.org/2001/XMLSchema-instance" xsi:type="dcterms:W3CDTF">2026-10-09T06:43:25Z</dcterms:modified>
</cp:coreProperties>
</file>