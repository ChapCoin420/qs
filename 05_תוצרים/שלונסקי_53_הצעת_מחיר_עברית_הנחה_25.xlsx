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הצעת מחיר" sheetId="1" state="visible" r:id="rId3"/>
    <sheet name="סיכום" sheetId="2" state="visible" r:id="rId4"/>
    <sheet name="הערות והחרגות" sheetId="3" state="visible" r:id="rId5"/>
    <sheet name="לוח זמנים" sheetId="4" state="visible" r:id="rId6"/>
  </sheets>
  <definedNames>
    <definedName function="false" hidden="false" localSheetId="0" name="_xlnm.Print_Titles" vbProcedure="false">'הצעת מחיר'!$5:$5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<sst xmlns="http://schemas.openxmlformats.org/spreadsheetml/2006/main" count="904" uniqueCount="561">
  <si>
    <r>
      <rPr>
        <b val="true"/>
        <sz val="14"/>
        <rFont val="FreeSans"/>
        <family val="2"/>
      </rPr>
      <t xml:space="preserve">הצעת מחיר – שיפוץ ותוספות בבית ברחוב שלונסקי </t>
    </r>
    <r>
      <rPr>
        <b val="true"/>
        <sz val="14"/>
        <rFont val="Cambria"/>
        <family val="0"/>
        <charset val="1"/>
      </rPr>
      <t xml:space="preserve">53, </t>
    </r>
    <r>
      <rPr>
        <b val="true"/>
        <sz val="14"/>
        <rFont val="FreeSans"/>
        <family val="2"/>
      </rPr>
      <t xml:space="preserve">חיפה</t>
    </r>
  </si>
  <si>
    <r>
      <rPr>
        <sz val="11"/>
        <color theme="1"/>
        <rFont val="FreeSans"/>
        <family val="2"/>
      </rPr>
      <t xml:space="preserve">מזמין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זהר מור יוסף ורמי דנה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FreeSans"/>
        <family val="2"/>
      </rPr>
      <t xml:space="preserve">קבלן</t>
    </r>
    <r>
      <rPr>
        <sz val="11"/>
        <color theme="1"/>
        <rFont val="Calibri"/>
        <family val="2"/>
        <charset val="1"/>
      </rPr>
      <t xml:space="preserve">: [</t>
    </r>
    <r>
      <rPr>
        <sz val="11"/>
        <color theme="1"/>
        <rFont val="FreeSans"/>
        <family val="2"/>
      </rPr>
      <t xml:space="preserve">שם הקבלן</t>
    </r>
    <r>
      <rPr>
        <sz val="11"/>
        <color theme="1"/>
        <rFont val="Calibri"/>
        <family val="2"/>
        <charset val="1"/>
      </rPr>
      <t xml:space="preserve">]  |  </t>
    </r>
    <r>
      <rPr>
        <sz val="11"/>
        <color theme="1"/>
        <rFont val="FreeSans"/>
        <family val="2"/>
      </rPr>
      <t xml:space="preserve">תאריך</t>
    </r>
    <r>
      <rPr>
        <sz val="11"/>
        <color theme="1"/>
        <rFont val="Calibri"/>
        <family val="2"/>
        <charset val="1"/>
      </rPr>
      <t xml:space="preserve">: 08/10/2026  |  </t>
    </r>
    <r>
      <rPr>
        <sz val="11"/>
        <color theme="1"/>
        <rFont val="FreeSans"/>
        <family val="2"/>
      </rPr>
      <t xml:space="preserve">מס׳ הצעה</t>
    </r>
    <r>
      <rPr>
        <sz val="11"/>
        <color theme="1"/>
        <rFont val="Calibri"/>
        <family val="2"/>
        <charset val="1"/>
      </rPr>
      <t xml:space="preserve">: [__]</t>
    </r>
  </si>
  <si>
    <r>
      <rPr>
        <sz val="11"/>
        <color theme="1"/>
        <rFont val="FreeSans"/>
        <family val="2"/>
      </rPr>
      <t xml:space="preserve">כל הסכומים בש״ח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לפני מע״מ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בסיס מחירים אוקטובר </t>
    </r>
    <r>
      <rPr>
        <sz val="11"/>
        <color theme="1"/>
        <rFont val="Calibri"/>
        <family val="2"/>
        <charset val="1"/>
      </rPr>
      <t xml:space="preserve">2026. </t>
    </r>
    <r>
      <rPr>
        <sz val="11"/>
        <color theme="1"/>
        <rFont val="FreeSans"/>
        <family val="2"/>
      </rPr>
      <t xml:space="preserve">מחירי היחידה כוללים הוצאות כלליות ורווח קבלן</t>
    </r>
    <r>
      <rPr>
        <sz val="11"/>
        <color theme="1"/>
        <rFont val="Calibri"/>
        <family val="2"/>
        <charset val="1"/>
      </rPr>
      <t xml:space="preserve">.</t>
    </r>
  </si>
  <si>
    <t xml:space="preserve">מס׳ סעיף</t>
  </si>
  <si>
    <t xml:space="preserve">שם הסעיף</t>
  </si>
  <si>
    <t xml:space="preserve">תיאור</t>
  </si>
  <si>
    <t xml:space="preserve">יחידה</t>
  </si>
  <si>
    <t xml:space="preserve">כמות</t>
  </si>
  <si>
    <t xml:space="preserve">בסיס הכמות</t>
  </si>
  <si>
    <r>
      <rPr>
        <b val="true"/>
        <sz val="11"/>
        <color rgb="FFFFFFFF"/>
        <rFont val="FreeSans"/>
        <family val="2"/>
      </rPr>
      <t xml:space="preserve">מחיר יחידה </t>
    </r>
    <r>
      <rPr>
        <b val="true"/>
        <sz val="11"/>
        <color rgb="FFFFFFFF"/>
        <rFont val="Cambria"/>
        <family val="0"/>
        <charset val="1"/>
      </rPr>
      <t xml:space="preserve">(₪)</t>
    </r>
  </si>
  <si>
    <r>
      <rPr>
        <b val="true"/>
        <sz val="11"/>
        <color rgb="FFFFFFFF"/>
        <rFont val="FreeSans"/>
        <family val="2"/>
      </rPr>
      <t xml:space="preserve">סה״כ </t>
    </r>
    <r>
      <rPr>
        <b val="true"/>
        <sz val="11"/>
        <color rgb="FFFFFFFF"/>
        <rFont val="Cambria"/>
        <family val="0"/>
        <charset val="1"/>
      </rPr>
      <t xml:space="preserve">(₪)</t>
    </r>
  </si>
  <si>
    <t xml:space="preserve">הערות</t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</si>
  <si>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 — </t>
    </r>
    <r>
      <rPr>
        <b val="true"/>
        <sz val="11"/>
        <rFont val="FreeSans"/>
        <family val="2"/>
      </rPr>
      <t xml:space="preserve">הכנות והתארגנות לביצוע</t>
    </r>
  </si>
  <si>
    <t xml:space="preserve">01.01</t>
  </si>
  <si>
    <t xml:space="preserve">התארגנות אתר</t>
  </si>
  <si>
    <r>
      <rPr>
        <sz val="11"/>
        <color theme="1"/>
        <rFont val="FreeSans"/>
        <family val="2"/>
      </rPr>
      <t xml:space="preserve">התארגנות לביצוע עבודות השיפוץ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הקצאת אזורי עבודה ואחסון חומרים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הסדרת שירותים לעובדים ותיאום דרכי הגישה לעבודה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לתנאי האתר ולהנחיות המתכננת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סעיף זה אינו כולל את הגידור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הזמניים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ההגנות ומכולת הפסולת המפורטים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</si>
  <si>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קומפ׳</t>
  </si>
  <si>
    <t xml:space="preserve">לפי המסמכים</t>
  </si>
  <si>
    <t xml:space="preserve">01.02</t>
  </si>
  <si>
    <r>
      <rPr>
        <sz val="11"/>
        <color theme="1"/>
        <rFont val="FreeSans"/>
        <family val="2"/>
      </rPr>
      <t xml:space="preserve">גידור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שילוט ואמצעי בטיחות באתר</t>
    </r>
  </si>
  <si>
    <r>
      <rPr>
        <sz val="11"/>
        <color theme="1"/>
        <rFont val="FreeSans"/>
        <family val="2"/>
      </rPr>
      <t xml:space="preserve">הקמה והחזקה של גידור זמני מפח או מרשת תקנית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שילוט אתר ואזהרה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סימון אזורים מסוכנים ואמצעי הבטיחות הנדרשים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לאורך כל שלבי הביצוע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פירוק הגידור בתום הצורך</t>
    </r>
    <r>
      <rPr>
        <sz val="11"/>
        <color theme="1"/>
        <rFont val="Calibri"/>
        <family val="2"/>
        <charset val="1"/>
      </rPr>
      <t xml:space="preserve">.</t>
    </r>
  </si>
  <si>
    <t xml:space="preserve">01.03</t>
  </si>
  <si>
    <t xml:space="preserve">חיבור מים זמני</t>
  </si>
  <si>
    <r>
      <rPr>
        <sz val="11"/>
        <color theme="1"/>
        <rFont val="FreeSans"/>
        <family val="2"/>
      </rPr>
      <t xml:space="preserve">הסדרת חיבור מים זמני לצורכי ביצוע העבודות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למקור המים המאושר באתר ובדיקת תקינות החיבור</t>
    </r>
    <r>
      <rPr>
        <sz val="11"/>
        <color theme="1"/>
        <rFont val="Calibri"/>
        <family val="2"/>
        <charset val="1"/>
      </rPr>
      <t xml:space="preserve">.</t>
    </r>
  </si>
  <si>
    <t xml:space="preserve">01.04</t>
  </si>
  <si>
    <t xml:space="preserve">חיבור חשמל זמני</t>
  </si>
  <si>
    <r>
      <rPr>
        <sz val="11"/>
        <color theme="1"/>
        <rFont val="FreeSans"/>
        <family val="2"/>
      </rPr>
      <t xml:space="preserve">הסדרת חיבור חשמל זמני לצורכי ביצוע העבודות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אמצעי ההגנה הנדרשים ובדיקת תקינות החיבור</t>
    </r>
    <r>
      <rPr>
        <sz val="11"/>
        <color theme="1"/>
        <rFont val="Calibri"/>
        <family val="2"/>
        <charset val="1"/>
      </rPr>
      <t xml:space="preserve">.</t>
    </r>
  </si>
  <si>
    <t xml:space="preserve">01.05</t>
  </si>
  <si>
    <t xml:space="preserve">הגנה על אלמנטים קיימים</t>
  </si>
  <si>
    <r>
      <rPr>
        <sz val="11"/>
        <color theme="1"/>
        <rFont val="FreeSans"/>
        <family val="2"/>
      </rPr>
      <t xml:space="preserve">ביצוע והחזקה של כיסויי הגנה לאלמנטים המיועדים להישאר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ריצופים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חלונות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מדרגות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ציוד וצמחייה לשימור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להיקף העבודה ולמצב הקיים</t>
    </r>
    <r>
      <rPr>
        <sz val="11"/>
        <color theme="1"/>
        <rFont val="Calibri"/>
        <family val="2"/>
        <charset val="1"/>
      </rPr>
      <t xml:space="preserve">.</t>
    </r>
  </si>
  <si>
    <t xml:space="preserve">01.06</t>
  </si>
  <si>
    <r>
      <rPr>
        <sz val="11"/>
        <color theme="1"/>
        <rFont val="FreeSans"/>
        <family val="2"/>
      </rPr>
      <t xml:space="preserve">מדידות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אימות וסימון בלייזר</t>
    </r>
  </si>
  <si>
    <r>
      <rPr>
        <sz val="11"/>
        <color theme="1"/>
        <rFont val="FreeSans"/>
        <family val="2"/>
      </rPr>
      <t xml:space="preserve">מדידת המבנה הקיים ואימות המידות מול תוכניות האדריכלות והמערכות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סימון מיקומי העבודות ומפלסי הביצוע באמצעות פלס לייזר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תיעוד המצב הקיים ודיווח על אי־התאמות לפני תחילת העבודה</t>
    </r>
    <r>
      <rPr>
        <sz val="11"/>
        <color theme="1"/>
        <rFont val="Calibri"/>
        <family val="2"/>
        <charset val="1"/>
      </rPr>
      <t xml:space="preserve">.</t>
    </r>
  </si>
  <si>
    <t xml:space="preserve">01.07</t>
  </si>
  <si>
    <t xml:space="preserve">מכולת פסולת והסדרת אזור ריכוז פסולת</t>
  </si>
  <si>
    <r>
      <rPr>
        <sz val="11"/>
        <color theme="1"/>
        <rFont val="FreeSans"/>
        <family val="2"/>
      </rPr>
      <t xml:space="preserve">הצבת מכולת פסולת והסדרת מקום לריכוז פסולת הבנייה באתר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לתנאי הגישה ולשלבי הביצוע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פינוי הפסולת לאתר מורשה מפורט בפרק ההריסות</t>
    </r>
    <r>
      <rPr>
        <sz val="11"/>
        <color theme="1"/>
        <rFont val="Calibri"/>
        <family val="2"/>
        <charset val="1"/>
      </rPr>
      <t xml:space="preserve">.</t>
    </r>
  </si>
  <si>
    <t xml:space="preserve">01.08</t>
  </si>
  <si>
    <t xml:space="preserve">ניקיון שוטף בתקופת הביצוע</t>
  </si>
  <si>
    <r>
      <rPr>
        <sz val="11"/>
        <color theme="1"/>
        <rFont val="FreeSans"/>
        <family val="2"/>
      </rPr>
      <t xml:space="preserve">ניקיון שוטף של שטחי העבודה והמעברים לאורך תקופת הביצוע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איסוף שאריות חומרים וריכוז הפסולת באזור המיועד לכך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לשמירת אתר מסודר ובטוח</t>
    </r>
    <r>
      <rPr>
        <sz val="11"/>
        <color theme="1"/>
        <rFont val="Calibri"/>
        <family val="2"/>
        <charset val="1"/>
      </rPr>
      <t xml:space="preserve">.</t>
    </r>
  </si>
  <si>
    <t xml:space="preserve">01.09</t>
  </si>
  <si>
    <t xml:space="preserve">פיגום חיצוני לחזיתות</t>
  </si>
  <si>
    <r>
      <rPr>
        <sz val="11"/>
        <color theme="1"/>
        <rFont val="FreeSans"/>
        <family val="2"/>
      </rPr>
      <t xml:space="preserve">הקמה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שכירות לתקופה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תחזוקה ופירוק של פיגום חיצוני תקני בהיקף החזיתות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לצורך ניסור ופירוק מסגרות הבטון הדקורטיביות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עבודות הפרפט וטיח החזיתות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הגנות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רשת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 בודק ופיגום תקני לפי תקנות הבטיחות בעבודה</t>
    </r>
    <r>
      <rPr>
        <sz val="11"/>
        <color theme="1"/>
        <rFont val="Calibri"/>
        <family val="2"/>
        <charset val="1"/>
      </rPr>
      <t xml:space="preserve">.</t>
    </r>
  </si>
  <si>
    <t xml:space="preserve">מ״ר</t>
  </si>
  <si>
    <t xml:space="preserve">זמנית – תימדד בפועל</t>
  </si>
  <si>
    <r>
      <rPr>
        <sz val="11"/>
        <color theme="1"/>
        <rFont val="FreeSans"/>
        <family val="2"/>
      </rPr>
      <t xml:space="preserve">כולל שכירות כ</t>
    </r>
    <r>
      <rPr>
        <sz val="11"/>
        <color theme="1"/>
        <rFont val="Calibri"/>
        <family val="2"/>
        <charset val="1"/>
      </rPr>
      <t xml:space="preserve">-4.5 </t>
    </r>
    <r>
      <rPr>
        <sz val="11"/>
        <color theme="1"/>
        <rFont val="FreeSans"/>
        <family val="2"/>
      </rPr>
      <t xml:space="preserve">חודשים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</si>
  <si>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 — </t>
    </r>
    <r>
      <rPr>
        <b val="true"/>
        <sz val="11"/>
        <rFont val="FreeSans"/>
        <family val="2"/>
      </rPr>
      <t xml:space="preserve">הכנות והתארגנות לביצוע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</si>
  <si>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2 — </t>
    </r>
    <r>
      <rPr>
        <b val="true"/>
        <sz val="11"/>
        <rFont val="FreeSans"/>
        <family val="2"/>
      </rPr>
      <t xml:space="preserve">הריסות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פירוקים ופינוי</t>
    </r>
  </si>
  <si>
    <t xml:space="preserve">02.01</t>
  </si>
  <si>
    <t xml:space="preserve">פירוק קירות ומחיצות במרתף</t>
  </si>
  <si>
    <r>
      <rPr>
        <sz val="11"/>
        <color theme="1"/>
        <rFont val="FreeSans"/>
        <family val="2"/>
      </rPr>
      <t xml:space="preserve">הריסה מבוקרת של כל הקירות והמחיצות המסומנים להריסה בקומת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</t>
    </r>
    <r>
      <rPr>
        <sz val="11"/>
        <color theme="1"/>
        <rFont val="Calibri"/>
        <family val="2"/>
        <charset val="1"/>
      </rPr>
      <t xml:space="preserve">: 10 </t>
    </r>
    <r>
      <rPr>
        <sz val="11"/>
        <color theme="1"/>
        <rFont val="FreeSans"/>
        <family val="2"/>
      </rPr>
      <t xml:space="preserve">מ״ר קירות בלוקים ו־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FreeSans"/>
        <family val="2"/>
      </rPr>
      <t xml:space="preserve">מ״ר מחיצות גבס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אלמנטים נושאים – רק באישור 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</si>
  <si>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02.02</t>
  </si>
  <si>
    <t xml:space="preserve">פירוק קירות ומחיצות בקומת הקרקע</t>
  </si>
  <si>
    <r>
      <rPr>
        <sz val="11"/>
        <color theme="1"/>
        <rFont val="FreeSans"/>
        <family val="2"/>
      </rPr>
      <t xml:space="preserve">הריסה ופירוק מבוקרים של כל הקירות והמחיצות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וגבס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המסומנים להריסה בקומת הקרקע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קירות בטון ואלמנטים נושאים – רק לאחר אישור הקונסטרוקטור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</si>
  <si>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02.03</t>
  </si>
  <si>
    <t xml:space="preserve">פירוק קירות ומחיצות בקומה א׳</t>
  </si>
  <si>
    <r>
      <rPr>
        <sz val="11"/>
        <color theme="1"/>
        <rFont val="FreeSans"/>
        <family val="2"/>
      </rPr>
      <t xml:space="preserve">הריסה ופירוק מבוקרים של כל הקירות והמחיצות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וגבס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המסומנים להריסה בקומה א׳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כמות משוערת לפי התוכנית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קירות בטון ואלמנטים נושאים – רק לאחר אישור הקונסטרוקטור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</si>
  <si>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02.04</t>
  </si>
  <si>
    <t xml:space="preserve">פירוק תקרות גבס קיימות</t>
  </si>
  <si>
    <r>
      <rPr>
        <sz val="11"/>
        <color theme="1"/>
        <rFont val="FreeSans"/>
        <family val="2"/>
      </rPr>
      <t xml:space="preserve">פירוק תקרות גבס קיימות המיועדות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פרופילים ומתלים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בעלי המקצוע ולאחר ניתוק המערכות הרלוונטיות</t>
    </r>
    <r>
      <rPr>
        <sz val="11"/>
        <color theme="1"/>
        <rFont val="Calibri"/>
        <family val="2"/>
        <charset val="1"/>
      </rPr>
      <t xml:space="preserve">.</t>
    </r>
  </si>
  <si>
    <t xml:space="preserve">02.05</t>
  </si>
  <si>
    <t xml:space="preserve">פירוק ריצופים קיימים</t>
  </si>
  <si>
    <r>
      <rPr>
        <sz val="11"/>
        <color theme="1"/>
        <rFont val="FreeSans"/>
        <family val="2"/>
      </rPr>
      <t xml:space="preserve">פירוק ריצופים קיימים באזורים שיאושרו לביצוע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להחלטה משותפת בשטח ובהתחשב במצב הריצוף הקיים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היקף הפירוק ייקבע לפני תחילת העבודה</t>
    </r>
    <r>
      <rPr>
        <sz val="11"/>
        <color theme="1"/>
        <rFont val="Calibri"/>
        <family val="2"/>
        <charset val="1"/>
      </rPr>
      <t xml:space="preserve">.</t>
    </r>
  </si>
  <si>
    <t xml:space="preserve">02.06</t>
  </si>
  <si>
    <t xml:space="preserve">פירוק ארונות מטבח קיימים</t>
  </si>
  <si>
    <r>
      <rPr>
        <sz val="11"/>
        <color theme="1"/>
        <rFont val="FreeSans"/>
        <family val="2"/>
      </rPr>
      <t xml:space="preserve">פירוק ארונות מטבח קיימים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יחידות הארונות ורכיבי החיבור שלהן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המזמין לגבי פריטים המיועדים לשימור</t>
    </r>
    <r>
      <rPr>
        <sz val="11"/>
        <color theme="1"/>
        <rFont val="Calibri"/>
        <family val="2"/>
        <charset val="1"/>
      </rPr>
      <t xml:space="preserve">.</t>
    </r>
  </si>
  <si>
    <t xml:space="preserve">02.07</t>
  </si>
  <si>
    <t xml:space="preserve">פירוק ארונות ונגרות קיימת אחרת</t>
  </si>
  <si>
    <r>
      <rPr>
        <sz val="11"/>
        <color theme="1"/>
        <rFont val="FreeSans"/>
        <family val="2"/>
      </rPr>
      <t xml:space="preserve">פירוק ארונות הלבשה ופריטי נגרות קיימים אחרים המיועדים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החיבור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להחלטת המזמין בדבר שימור או פינוי</t>
    </r>
    <r>
      <rPr>
        <sz val="11"/>
        <color theme="1"/>
        <rFont val="Calibri"/>
        <family val="2"/>
        <charset val="1"/>
      </rPr>
      <t xml:space="preserve">.</t>
    </r>
  </si>
  <si>
    <t xml:space="preserve">יח׳</t>
  </si>
  <si>
    <t xml:space="preserve">02.08</t>
  </si>
  <si>
    <t xml:space="preserve">פירוק חלונות אלומיניום ותריסים קיימים – קומפלט</t>
  </si>
  <si>
    <r>
      <rPr>
        <sz val="11"/>
        <color theme="1"/>
        <rFont val="FreeSans"/>
        <family val="2"/>
      </rPr>
      <t xml:space="preserve">פירוק כל החלונות והתריסים הקיימים המיועדים להחלפה לפי תוכנית הבנייה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זיגוג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מסגרות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הפעלה ועיגון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וניתוק הזנת תריסים חשמליים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תוך שמירה על הפתח</t>
    </r>
    <r>
      <rPr>
        <sz val="11"/>
        <color theme="1"/>
        <rFont val="Calibri"/>
        <family val="2"/>
        <charset val="1"/>
      </rPr>
      <t xml:space="preserve">.</t>
    </r>
  </si>
  <si>
    <t xml:space="preserve">02.09</t>
  </si>
  <si>
    <t xml:space="preserve">פירוק דלתות פנים וכניסה ומשקופים – קומפלט</t>
  </si>
  <si>
    <r>
      <rPr>
        <sz val="11"/>
        <color theme="1"/>
        <rFont val="FreeSans"/>
        <family val="2"/>
      </rPr>
      <t xml:space="preserve">פירוק כל הדלתות המסומנות בתוכניות ההריסה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משקופים ופרזול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ובתיאום הסדרת הגישה למבנה במהלך הביצוע</t>
    </r>
    <r>
      <rPr>
        <sz val="11"/>
        <color theme="1"/>
        <rFont val="Calibri"/>
        <family val="2"/>
        <charset val="1"/>
      </rPr>
      <t xml:space="preserve">.</t>
    </r>
  </si>
  <si>
    <t xml:space="preserve">02.10</t>
  </si>
  <si>
    <r>
      <rPr>
        <sz val="11"/>
        <color theme="1"/>
        <rFont val="FreeSans"/>
        <family val="2"/>
      </rPr>
      <t xml:space="preserve">פירוק חדרי רחצה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שירותים וכלים סניטריים – קומפלט</t>
    </r>
  </si>
  <si>
    <r>
      <rPr>
        <sz val="11"/>
        <color theme="1"/>
        <rFont val="FreeSans"/>
        <family val="2"/>
      </rPr>
      <t xml:space="preserve">פירוק מלא של חדרי הרחצה והשירותים הקיימים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אסלות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אמבטיות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מקלחונים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ברזים וחיפויי קירות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ניתוק וסגירת חיבורי מים וביוב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לתוכניות ההריסה</t>
    </r>
    <r>
      <rPr>
        <sz val="11"/>
        <color theme="1"/>
        <rFont val="Calibri"/>
        <family val="2"/>
        <charset val="1"/>
      </rPr>
      <t xml:space="preserve">.</t>
    </r>
  </si>
  <si>
    <t xml:space="preserve">02.11</t>
  </si>
  <si>
    <r>
      <rPr>
        <sz val="11"/>
        <color theme="1"/>
        <rFont val="FreeSans"/>
        <family val="2"/>
      </rPr>
      <t xml:space="preserve">פירוק נקודות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אביזרי חשמל וגופי תאורה קיימים</t>
    </r>
  </si>
  <si>
    <r>
      <rPr>
        <sz val="11"/>
        <color theme="1"/>
        <rFont val="FreeSans"/>
        <family val="2"/>
      </rPr>
      <t xml:space="preserve">ניתוק ופירוק נקודות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שקעים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מפסקים וגופי תאורה קיימים המיועדים לביטול או להחלפה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המזמין לגבי פריטים לשימור</t>
    </r>
    <r>
      <rPr>
        <sz val="11"/>
        <color theme="1"/>
        <rFont val="Calibri"/>
        <family val="2"/>
        <charset val="1"/>
      </rPr>
      <t xml:space="preserve">.</t>
    </r>
  </si>
  <si>
    <t xml:space="preserve">02.12</t>
  </si>
  <si>
    <t xml:space="preserve">פירוק צנרת אינסטלציה גלויה קיימת</t>
  </si>
  <si>
    <r>
      <rPr>
        <sz val="11"/>
        <color theme="1"/>
        <rFont val="FreeSans"/>
        <family val="2"/>
      </rPr>
      <t xml:space="preserve">ניתוק ופירוק צנרת אינסטלציה גלויה המיועדת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אביזרי החיבור והקיבוע הרלוונטיים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זיהוי הקווים הפעילים וסגירת החיבורים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</si>
  <si>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02.13</t>
  </si>
  <si>
    <r>
      <rPr>
        <sz val="11"/>
        <color theme="1"/>
        <rFont val="FreeSans"/>
        <family val="2"/>
      </rPr>
      <t xml:space="preserve">פירוק יחידות מיזוג קיימות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פנים וחוץ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</si>
  <si>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ניתוק ופירוק יחידות מיזוג פנים וחוץ קיימות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מוקדם עם המזמין לגבי יחידות תקינות לשימוש חוזר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חלקן מיועדות ליחידת המרתף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לרבות שמירתן לפי ההחלטה</t>
    </r>
    <r>
      <rPr>
        <sz val="11"/>
        <color theme="1"/>
        <rFont val="Calibri"/>
        <family val="2"/>
        <charset val="1"/>
      </rPr>
      <t xml:space="preserve">.</t>
    </r>
  </si>
  <si>
    <t xml:space="preserve">02.14</t>
  </si>
  <si>
    <t xml:space="preserve">פירוק מעקה גרם המדרגות הפנימי</t>
  </si>
  <si>
    <r>
      <rPr>
        <sz val="11"/>
        <color theme="1"/>
        <rFont val="FreeSans"/>
        <family val="2"/>
      </rPr>
      <t xml:space="preserve">פירוק זהיר ומבוקר של המעקה הקיים בגרם המדרגות הפנימי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הקונסטרוקטור ולאישורו בכתב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חיזוק גרם המדרגות מתואר בנפרד בפרק הבנייה</t>
    </r>
    <r>
      <rPr>
        <sz val="11"/>
        <color theme="1"/>
        <rFont val="Calibri"/>
        <family val="2"/>
        <charset val="1"/>
      </rPr>
      <t xml:space="preserve">.</t>
    </r>
  </si>
  <si>
    <t xml:space="preserve">02.15</t>
  </si>
  <si>
    <t xml:space="preserve">ניסור ופירוק מסגרות בטון דקורטיביות סביב חלונות</t>
  </si>
  <si>
    <r>
      <rPr>
        <sz val="11"/>
        <color theme="1"/>
        <rFont val="FreeSans"/>
        <family val="2"/>
      </rPr>
      <t xml:space="preserve">ניסור ופירוק מבוקר של מסגרות הבטון הדקורטיביות סביב פתחי החלונות בחזיתות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ולאישור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עד להסרת הבליטות והכנת האזור להשלמת גמר חזית אחיד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עבודות הטיח והגמר מתוארות בפרק טיח החוץ</t>
    </r>
    <r>
      <rPr>
        <sz val="11"/>
        <color theme="1"/>
        <rFont val="Calibri"/>
        <family val="2"/>
        <charset val="1"/>
      </rPr>
      <t xml:space="preserve">.</t>
    </r>
  </si>
  <si>
    <t xml:space="preserve">מ״א</t>
  </si>
  <si>
    <t xml:space="preserve">02.16</t>
  </si>
  <si>
    <t xml:space="preserve">מיון ופינוי פסולת לאתר מורשה</t>
  </si>
  <si>
    <r>
      <rPr>
        <sz val="11"/>
        <color theme="1"/>
        <rFont val="FreeSans"/>
        <family val="2"/>
      </rPr>
      <t xml:space="preserve">מיון פסולת ההריסה והפירוק לפי סוגי החומרים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העמסה והובלה לאתר מורשה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אישורי הפינוי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</si>
  <si>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02.17</t>
  </si>
  <si>
    <t xml:space="preserve">ניקיון יסודי לאחר ההריסות</t>
  </si>
  <si>
    <r>
      <rPr>
        <sz val="11"/>
        <color theme="1"/>
        <rFont val="FreeSans"/>
        <family val="2"/>
      </rPr>
      <t xml:space="preserve">ניקיון יסודי של שטחי ההריסה והפירוק לאחר השלמתם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הסרת שאריות וריכוז פסולת שנותרה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והכנת השטחים לתחילת עבודות הבנייה</t>
    </r>
    <r>
      <rPr>
        <sz val="11"/>
        <color theme="1"/>
        <rFont val="Calibri"/>
        <family val="2"/>
        <charset val="1"/>
      </rPr>
      <t xml:space="preserve">.</t>
    </r>
  </si>
  <si>
    <t xml:space="preserve">02.18</t>
  </si>
  <si>
    <t xml:space="preserve">פירוק פנלים קיימים בכל הבית</t>
  </si>
  <si>
    <r>
      <rPr>
        <sz val="11"/>
        <color theme="1"/>
        <rFont val="FreeSans"/>
        <family val="2"/>
      </rPr>
      <t xml:space="preserve">פירוק פנלים קיימים בכל שטחי הבית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ניקוי הקיר ושאריות הדבק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לפי הערות תוכניות ההריסה</t>
    </r>
    <r>
      <rPr>
        <sz val="11"/>
        <color theme="1"/>
        <rFont val="Calibri"/>
        <family val="2"/>
        <charset val="1"/>
      </rPr>
      <t xml:space="preserve">.</t>
    </r>
  </si>
  <si>
    <t xml:space="preserve">02.19</t>
  </si>
  <si>
    <t xml:space="preserve">פירוק מדרגות חוץ</t>
  </si>
  <si>
    <r>
      <rPr>
        <sz val="11"/>
        <color theme="1"/>
        <rFont val="FreeSans"/>
        <family val="2"/>
      </rPr>
      <t xml:space="preserve">פירוק והריסת מדרגות בטון בגמר גרנוליט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פירוק המעקות ועיגוניהם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חיתוך הזיון לפי הצורך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איסוף הפסולת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העמסתה 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FreeSans"/>
        <family val="2"/>
      </rPr>
      <t xml:space="preserve">הובלתה לאתר מורשה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אגרות פינוי וניקוי שטח העבודה בגמר הביצוע</t>
    </r>
    <r>
      <rPr>
        <sz val="11"/>
        <color theme="1"/>
        <rFont val="Calibri"/>
        <family val="2"/>
        <charset val="1"/>
      </rPr>
      <t xml:space="preserve">. </t>
    </r>
  </si>
  <si>
    <t xml:space="preserve">02.20</t>
  </si>
  <si>
    <r>
      <rPr>
        <sz val="11"/>
        <color theme="1"/>
        <rFont val="FreeSans"/>
        <family val="2"/>
      </rPr>
      <t xml:space="preserve">פירוק רצפת גרנוליט בחניה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בכניסה ובשבילים</t>
    </r>
  </si>
  <si>
    <r>
      <rPr>
        <sz val="11"/>
        <color theme="1"/>
        <rFont val="FreeSans"/>
        <family val="2"/>
      </rPr>
      <t xml:space="preserve">פירוק רצפת גרנוליט ומצעה באזור החניה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הכניסה לבית והשבילים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כמפורט בתכולת פרק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בחוברת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ריכוז הפסולת</t>
    </r>
    <r>
      <rPr>
        <sz val="11"/>
        <color theme="1"/>
        <rFont val="Calibri"/>
        <family val="2"/>
        <charset val="1"/>
      </rPr>
      <t xml:space="preserve">.</t>
    </r>
  </si>
  <si>
    <t xml:space="preserve">02.21</t>
  </si>
  <si>
    <t xml:space="preserve">פירוק דשא וצמחיית גינון</t>
  </si>
  <si>
    <r>
      <rPr>
        <sz val="11"/>
        <color theme="1"/>
        <rFont val="FreeSans"/>
        <family val="2"/>
      </rPr>
      <t xml:space="preserve">פירוק וכריתת דשא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שיחים וצמחיית גינון קיימת בשטחי הפיתוח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עקירת שורשים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העמסה והובלה לאתר מורשה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עצים בוגרים הטעונים אישור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</si>
  <si>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2 — </t>
    </r>
    <r>
      <rPr>
        <b val="true"/>
        <sz val="11"/>
        <rFont val="FreeSans"/>
        <family val="2"/>
      </rPr>
      <t xml:space="preserve">הריסות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פירוקים ופינוי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</si>
  <si>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3 — </t>
    </r>
    <r>
      <rPr>
        <b val="true"/>
        <sz val="11"/>
        <rFont val="FreeSans"/>
        <family val="2"/>
      </rPr>
      <t xml:space="preserve">בנייה ותוספות מבניות</t>
    </r>
  </si>
  <si>
    <t xml:space="preserve">03.01</t>
  </si>
  <si>
    <t xml:space="preserve">הגדלת מרפסת הסלון ותוספת פרגולה</t>
  </si>
  <si>
    <r>
      <rPr>
        <sz val="11"/>
        <color theme="1"/>
        <rFont val="FreeSans"/>
        <family val="2"/>
      </rPr>
      <t xml:space="preserve">ביצוע הגדלת מרפסת הסלון ותוספת הפרגולה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בתחום העבודות המבניות ובהתאם לתוכניות ולמפרט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ביסוס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בטון וזיון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שלד פלדה מפרופילי </t>
    </r>
    <r>
      <rPr>
        <sz val="11"/>
        <color theme="1"/>
        <rFont val="Calibri"/>
        <family val="2"/>
        <charset val="1"/>
      </rPr>
      <t xml:space="preserve">RHS, </t>
    </r>
    <r>
      <rPr>
        <sz val="11"/>
        <color theme="1"/>
        <rFont val="FreeSans"/>
        <family val="2"/>
      </rPr>
      <t xml:space="preserve">לוחות בסיס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עיגונים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חיבורים וריתוכים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ככל שנדרשים בתכנון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העבודה כוללת את הבדיקות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אישורי הביצוע ותוכנית העדות הנדרשים במפרט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עבודות האיטום והגמר יבוצעו במסגרת הפרקים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</si>
  <si>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אומדן – לפי קונסטרוקטור</t>
  </si>
  <si>
    <t xml:space="preserve">סכום זמני עד קבלת תוכניות</t>
  </si>
  <si>
    <t xml:space="preserve">03.02</t>
  </si>
  <si>
    <t xml:space="preserve">תוספת חדר בקומת הגלריה</t>
  </si>
  <si>
    <r>
      <rPr>
        <sz val="11"/>
        <color theme="1"/>
        <rFont val="FreeSans"/>
        <family val="2"/>
      </rPr>
      <t xml:space="preserve">ביצוע העבודות המבניות לתוספת החדר בקומת הגלריה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תוכניות הקונסטרוקטור והאדריכלות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והעיגונים למבנה הקיים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פתחים והכנות מבניות למערכות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לתכנון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העבודה כוללת בדיקות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אישורים ותוכנית עדות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גמרים ומערכות מפורטים בפרקים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</si>
  <si>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03.03</t>
  </si>
  <si>
    <t xml:space="preserve">כניסה חדשה וגרם מדרגות חדש</t>
  </si>
  <si>
    <r>
      <rPr>
        <sz val="11"/>
        <color theme="1"/>
        <rFont val="FreeSans"/>
        <family val="2"/>
      </rPr>
      <t xml:space="preserve">ביצוע העבודות המבניות לכניסה החדשה ולגרם המדרגות החדש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תוכניות הקונסטרוקטור והאדריכלות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ביסוס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השלד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יציקות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חיבורים ועיגונים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וכן אלמנטי מעקה ככל שנכללים בתכנון המבני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גמרים יבוצעו במסגרת הפרקים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</si>
  <si>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03.04</t>
  </si>
  <si>
    <t xml:space="preserve">חיזוק גרם המדרגות הפנימי הקיים</t>
  </si>
  <si>
    <r>
      <rPr>
        <sz val="11"/>
        <color theme="1"/>
        <rFont val="FreeSans"/>
        <family val="2"/>
      </rPr>
      <t xml:space="preserve">חיזוק גרם המדרגות הפנימי לאחר פירוק המעקה הקיים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החיזוק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והעיגונים המוגדרים בתכנון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בדיקות וקבלת אישור הקונסטרוקטור לביצוע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</si>
  <si>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3 — </t>
    </r>
    <r>
      <rPr>
        <b val="true"/>
        <sz val="11"/>
        <rFont val="FreeSans"/>
        <family val="2"/>
      </rPr>
      <t xml:space="preserve">בנייה ותוספות מבניות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</si>
  <si>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4 — </t>
    </r>
    <r>
      <rPr>
        <b val="true"/>
        <sz val="11"/>
        <rFont val="FreeSans"/>
        <family val="2"/>
      </rPr>
      <t xml:space="preserve">חלוקה חדשה בקירות בלוקים</t>
    </r>
  </si>
  <si>
    <t xml:space="preserve">04.01</t>
  </si>
  <si>
    <t xml:space="preserve">קירות בלוקים במרתף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</si>
  <si>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בקומת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</si>
  <si>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t xml:space="preserve">04.02</t>
  </si>
  <si>
    <t xml:space="preserve">קירות בלוקים בקומת הקרקע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</si>
  <si>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בקומת הקרקע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</si>
  <si>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t xml:space="preserve">04.03</t>
  </si>
  <si>
    <t xml:space="preserve">קירות בלוקים בקומה א׳ ובגלריה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</si>
  <si>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בקומה א׳ ובגלריה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</si>
  <si>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4 — </t>
    </r>
    <r>
      <rPr>
        <b val="true"/>
        <sz val="11"/>
        <rFont val="FreeSans"/>
        <family val="2"/>
      </rPr>
      <t xml:space="preserve">חלוקה חדשה בקירות בלוקים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</si>
  <si>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5 — </t>
    </r>
    <r>
      <rPr>
        <b val="true"/>
        <sz val="11"/>
        <rFont val="FreeSans"/>
        <family val="2"/>
      </rPr>
      <t xml:space="preserve">אינסטלציה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התקנת כלים סניטריים וברזים</t>
    </r>
  </si>
  <si>
    <t xml:space="preserve">05.01</t>
  </si>
  <si>
    <t xml:space="preserve">התקנת אסלה תלויה</t>
  </si>
  <si>
    <r>
      <rPr>
        <sz val="11"/>
        <color theme="1"/>
        <rFont val="FreeSans"/>
        <family val="2"/>
      </rPr>
      <t xml:space="preserve">התקנת אסלה תלויה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למערכת הנשיאה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למערכת ההדחה והביוב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יציבות ותפקוד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מכל ההדחה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הלחצן והמושב מתוארים בנפרד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</si>
  <si>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התקנה בלבד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אספקה על המזמין</t>
    </r>
  </si>
  <si>
    <t xml:space="preserve">05.02</t>
  </si>
  <si>
    <t xml:space="preserve">התקנת מכל הדחה סמוי</t>
  </si>
  <si>
    <r>
      <rPr>
        <sz val="11"/>
        <color theme="1"/>
        <rFont val="FreeSans"/>
        <family val="2"/>
      </rPr>
      <t xml:space="preserve">התקנת מכל הדחה סמוי ומערכת הנשיאה הנלווית לפי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ולאסלה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מיקום פתח השירות ובדיקת אטימות ותפקוד לפני סגירת החיפוי</t>
    </r>
    <r>
      <rPr>
        <sz val="11"/>
        <color theme="1"/>
        <rFont val="Calibri"/>
        <family val="2"/>
        <charset val="1"/>
      </rPr>
      <t xml:space="preserve">.</t>
    </r>
  </si>
  <si>
    <t xml:space="preserve">05.03</t>
  </si>
  <si>
    <t xml:space="preserve">התקנת לחצן הדחה</t>
  </si>
  <si>
    <r>
      <rPr>
        <sz val="11"/>
        <color theme="1"/>
        <rFont val="FreeSans"/>
        <family val="2"/>
      </rPr>
      <t xml:space="preserve">התקנת לחצן הדחה התואם למכל הסמוי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התאמתו למישור הגמר ובדיקת פעולת מנגנון ההדחה</t>
    </r>
    <r>
      <rPr>
        <sz val="11"/>
        <color theme="1"/>
        <rFont val="Calibri"/>
        <family val="2"/>
        <charset val="1"/>
      </rPr>
      <t xml:space="preserve">.</t>
    </r>
  </si>
  <si>
    <t xml:space="preserve">05.04</t>
  </si>
  <si>
    <t xml:space="preserve">התקנת מושב אסלה הידראולי</t>
  </si>
  <si>
    <r>
      <rPr>
        <sz val="11"/>
        <color theme="1"/>
        <rFont val="FreeSans"/>
        <family val="2"/>
      </rPr>
      <t xml:space="preserve">התקנת מושב אסלה בעל מנגנון סגירה הידראולי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התואם לדגם האסלה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פעולת המנגנון</t>
    </r>
    <r>
      <rPr>
        <sz val="11"/>
        <color theme="1"/>
        <rFont val="Calibri"/>
        <family val="2"/>
        <charset val="1"/>
      </rPr>
      <t xml:space="preserve">.</t>
    </r>
  </si>
  <si>
    <t xml:space="preserve">05.05</t>
  </si>
  <si>
    <t xml:space="preserve">התקנת כיור עומד</t>
  </si>
  <si>
    <r>
      <rPr>
        <sz val="11"/>
        <color theme="1"/>
        <rFont val="FreeSans"/>
        <family val="2"/>
      </rPr>
      <t xml:space="preserve">התקנת כיור עומד לפי הדגם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העמדה וקיבוע בהתאם להוראות היצרן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 ואטימת המפגשים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</si>
  <si>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05.06</t>
  </si>
  <si>
    <t xml:space="preserve">התקנת ברז קיר</t>
  </si>
  <si>
    <r>
      <rPr>
        <sz val="11"/>
        <color theme="1"/>
        <rFont val="FreeSans"/>
        <family val="2"/>
      </rPr>
      <t xml:space="preserve">התקנת ברז קיר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לנקודות המים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לעומק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</si>
  <si>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05.07</t>
  </si>
  <si>
    <t xml:space="preserve">התקנת ראש גשם</t>
  </si>
  <si>
    <r>
      <rPr>
        <sz val="11"/>
        <color theme="1"/>
        <rFont val="FreeSans"/>
        <family val="2"/>
      </rPr>
      <t xml:space="preserve">התקנת ראש גשם ורכיב החיבור התואם למוצר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לנקודת המים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 ובדיקת זרימה ואטימות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</si>
  <si>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05.08</t>
  </si>
  <si>
    <t xml:space="preserve">התקנת אינטרפוץ תלת־דרכי</t>
  </si>
  <si>
    <r>
      <rPr>
        <sz val="11"/>
        <color theme="1"/>
        <rFont val="FreeSans"/>
        <family val="2"/>
      </rPr>
      <t xml:space="preserve">התקנת מערכת אינטרפוץ תלת־דרכית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הגוף הסמוי ורכיבי הגמר של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לקווי המים וליציאות המתוכננות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עומק ההתקנה ובדיקת אטימות ותפקוד לפני סגירה ובגמר ההתקנה</t>
    </r>
    <r>
      <rPr>
        <sz val="11"/>
        <color theme="1"/>
        <rFont val="Calibri"/>
        <family val="2"/>
        <charset val="1"/>
      </rPr>
      <t xml:space="preserve">.</t>
    </r>
  </si>
  <si>
    <t xml:space="preserve">05.09</t>
  </si>
  <si>
    <t xml:space="preserve">התקנת אינטרפוץ ארבע־דרכי</t>
  </si>
  <si>
    <r>
      <rPr>
        <sz val="11"/>
        <color theme="1"/>
        <rFont val="FreeSans"/>
        <family val="2"/>
      </rPr>
      <t xml:space="preserve">התקנת מערכת אינטרפוץ ארבע־דרכית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הגוף הסמוי ורכיבי הגמר של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לקווי המים וליציאות המתוכננות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עומק ההתקנה ובדיקת אטימות ותפקוד לפני סגירה ובגמר ההתקנה</t>
    </r>
    <r>
      <rPr>
        <sz val="11"/>
        <color theme="1"/>
        <rFont val="Calibri"/>
        <family val="2"/>
        <charset val="1"/>
      </rPr>
      <t xml:space="preserve">.</t>
    </r>
  </si>
  <si>
    <t xml:space="preserve">05.10</t>
  </si>
  <si>
    <t xml:space="preserve">התקנת מאחז מזלף</t>
  </si>
  <si>
    <r>
      <rPr>
        <sz val="11"/>
        <color theme="1"/>
        <rFont val="FreeSans"/>
        <family val="2"/>
      </rPr>
      <t xml:space="preserve">התקנת מאחז מזלף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 ואטימת נקודות העיגון באזור הרטוב</t>
    </r>
    <r>
      <rPr>
        <sz val="11"/>
        <color theme="1"/>
        <rFont val="Calibri"/>
        <family val="2"/>
        <charset val="1"/>
      </rPr>
      <t xml:space="preserve">.</t>
    </r>
  </si>
  <si>
    <t xml:space="preserve">05.11</t>
  </si>
  <si>
    <r>
      <rPr>
        <sz val="11"/>
        <color theme="1"/>
        <rFont val="FreeSans"/>
        <family val="2"/>
      </rPr>
      <t xml:space="preserve">התקנת אביזר ניקוז המסומן </t>
    </r>
    <r>
      <rPr>
        <sz val="11"/>
        <color theme="1"/>
        <rFont val="Calibri"/>
        <family val="2"/>
        <charset val="1"/>
      </rPr>
      <t xml:space="preserve">10/10</t>
    </r>
  </si>
  <si>
    <r>
      <rPr>
        <sz val="11"/>
        <color theme="1"/>
        <rFont val="FreeSans"/>
        <family val="2"/>
      </rPr>
      <t xml:space="preserve">התקנת אביזר הניקוז המסומן במקור „תעלת ניקוז </t>
    </r>
    <r>
      <rPr>
        <sz val="11"/>
        <color theme="1"/>
        <rFont val="Calibri"/>
        <family val="2"/>
        <charset val="1"/>
      </rPr>
      <t xml:space="preserve">10/10”, </t>
    </r>
    <r>
      <rPr>
        <sz val="11"/>
        <color theme="1"/>
        <rFont val="FreeSans"/>
        <family val="2"/>
      </rPr>
      <t xml:space="preserve">לרבות חיבור למערכת הניקוז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 הריצוף ושילוב אטום עם מערכת האיטום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סוג האביזר המדויק ייקבע לפי התוכנית והמוצר המאושר</t>
    </r>
    <r>
      <rPr>
        <sz val="11"/>
        <color theme="1"/>
        <rFont val="Calibri"/>
        <family val="2"/>
        <charset val="1"/>
      </rPr>
      <t xml:space="preserve">.</t>
    </r>
  </si>
  <si>
    <t xml:space="preserve">05.12</t>
  </si>
  <si>
    <r>
      <rPr>
        <sz val="11"/>
        <color theme="1"/>
        <rFont val="FreeSans"/>
        <family val="2"/>
      </rPr>
      <t xml:space="preserve">התקנת תעלת גלישה המסומנת </t>
    </r>
    <r>
      <rPr>
        <sz val="11"/>
        <color theme="1"/>
        <rFont val="Calibri"/>
        <family val="2"/>
        <charset val="1"/>
      </rPr>
      <t xml:space="preserve">110</t>
    </r>
  </si>
  <si>
    <r>
      <rPr>
        <sz val="11"/>
        <color theme="1"/>
        <rFont val="FreeSans"/>
        <family val="2"/>
      </rPr>
      <t xml:space="preserve">התקנת תעלת הגלישה המסומנת במקור „</t>
    </r>
    <r>
      <rPr>
        <sz val="11"/>
        <color theme="1"/>
        <rFont val="Calibri"/>
        <family val="2"/>
        <charset val="1"/>
      </rPr>
      <t xml:space="preserve">110”, </t>
    </r>
    <r>
      <rPr>
        <sz val="11"/>
        <color theme="1"/>
        <rFont val="FreeSans"/>
        <family val="2"/>
      </rPr>
      <t xml:space="preserve">לרבות העמדה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 הגמר ושילוב עם מערכת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 ולמוצר שנבחר</t>
    </r>
    <r>
      <rPr>
        <sz val="11"/>
        <color theme="1"/>
        <rFont val="Calibri"/>
        <family val="2"/>
        <charset val="1"/>
      </rPr>
      <t xml:space="preserve">.</t>
    </r>
  </si>
  <si>
    <t xml:space="preserve">05.13</t>
  </si>
  <si>
    <t xml:space="preserve">התקנת אמבטיה עצמאית</t>
  </si>
  <si>
    <r>
      <rPr>
        <sz val="11"/>
        <color theme="1"/>
        <rFont val="FreeSans"/>
        <family val="2"/>
      </rPr>
      <t xml:space="preserve">התקנת אמבטיה עצמאית מסוג </t>
    </r>
    <r>
      <rPr>
        <sz val="11"/>
        <color theme="1"/>
        <rFont val="Calibri"/>
        <family val="2"/>
        <charset val="1"/>
      </rPr>
      <t xml:space="preserve">Free Standing, </t>
    </r>
    <r>
      <rPr>
        <sz val="11"/>
        <color theme="1"/>
        <rFont val="FreeSans"/>
        <family val="2"/>
      </rPr>
      <t xml:space="preserve">לרבות העמדה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מפלס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 ובדיקת אטימות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ברז המילוי מתואר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</si>
  <si>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05.15</t>
  </si>
  <si>
    <t xml:space="preserve">התקנת ברז מילוי לאמבטיה</t>
  </si>
  <si>
    <r>
      <rPr>
        <sz val="11"/>
        <color theme="1"/>
        <rFont val="FreeSans"/>
        <family val="2"/>
      </rPr>
      <t xml:space="preserve">התקנת ברז מילוי אמבטיה לפי הדגם ושיטת ההתקנה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</si>
  <si>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05.16</t>
  </si>
  <si>
    <t xml:space="preserve">התקנת כיור מטבח</t>
  </si>
  <si>
    <r>
      <rPr>
        <sz val="11"/>
        <color theme="1"/>
        <rFont val="FreeSans"/>
        <family val="2"/>
      </rPr>
      <t xml:space="preserve">התקנת כיור מטבח לפי הדגם ושיטת ההתקנה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ספק משטח העבודה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המפגש וחיבור לניקוז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ברז המטבח מתואר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</si>
  <si>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05.17</t>
  </si>
  <si>
    <t xml:space="preserve">התקנת ברז מטבח פרח נשלף</t>
  </si>
  <si>
    <r>
      <rPr>
        <sz val="11"/>
        <color theme="1"/>
        <rFont val="FreeSans"/>
        <family val="2"/>
      </rPr>
      <t xml:space="preserve">התקנת ברז מטבח מסוג פרח בעל פייה נשלפת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רכיבי מנגנון השליפה ובדיקת תפקוד ואטימות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</si>
  <si>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05.18</t>
  </si>
  <si>
    <t xml:space="preserve">התקנת כיור במטבח חוץ</t>
  </si>
  <si>
    <r>
      <rPr>
        <sz val="11"/>
        <color theme="1"/>
        <rFont val="FreeSans"/>
        <family val="2"/>
      </rPr>
      <t xml:space="preserve">התקנת כיור במטבח החוץ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לפי הדגם שנבחר ובתיאום עם משטח העבודה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איטום וחיבור לניקוז</t>
    </r>
    <r>
      <rPr>
        <sz val="11"/>
        <color theme="1"/>
        <rFont val="Calibri"/>
        <family val="2"/>
        <charset val="1"/>
      </rPr>
      <t xml:space="preserve">.</t>
    </r>
  </si>
  <si>
    <t xml:space="preserve">05.19</t>
  </si>
  <si>
    <t xml:space="preserve">התקנת ברז פרח נשלף במטבח חוץ</t>
  </si>
  <si>
    <r>
      <rPr>
        <sz val="11"/>
        <color theme="1"/>
        <rFont val="FreeSans"/>
        <family val="2"/>
      </rPr>
      <t xml:space="preserve">התקנת ברז פרח נשלף במטבח החוץ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ובדיקת תפקוד ואטימות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למוצר שנבחר</t>
    </r>
    <r>
      <rPr>
        <sz val="11"/>
        <color theme="1"/>
        <rFont val="Calibri"/>
        <family val="2"/>
        <charset val="1"/>
      </rPr>
      <t xml:space="preserve">.</t>
    </r>
  </si>
  <si>
    <t xml:space="preserve">05.20</t>
  </si>
  <si>
    <t xml:space="preserve">התקנת כיור מונח או שוקת בשירותי אורחים</t>
  </si>
  <si>
    <r>
      <rPr>
        <sz val="11"/>
        <color theme="1"/>
        <rFont val="FreeSans"/>
        <family val="2"/>
      </rPr>
      <t xml:space="preserve">התקנת כיור מונח או שוקת בשירותי האורחים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לבחירה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העמדה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המפגש עם המשטח וחיבור לניקוז</t>
    </r>
    <r>
      <rPr>
        <sz val="11"/>
        <color theme="1"/>
        <rFont val="Calibri"/>
        <family val="2"/>
        <charset val="1"/>
      </rPr>
      <t xml:space="preserve">.</t>
    </r>
  </si>
  <si>
    <t xml:space="preserve">05.21</t>
  </si>
  <si>
    <t xml:space="preserve">התקנת ברז ניל</t>
  </si>
  <si>
    <r>
      <rPr>
        <sz val="11"/>
        <color theme="1"/>
        <rFont val="FreeSans"/>
        <family val="2"/>
      </rPr>
      <t xml:space="preserve">התקנת ברז ניל בנקודת המים המיועדת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אטימת החיבור ובדיקת תקינות ויכולת סגירה</t>
    </r>
    <r>
      <rPr>
        <sz val="11"/>
        <color theme="1"/>
        <rFont val="Calibri"/>
        <family val="2"/>
        <charset val="1"/>
      </rPr>
      <t xml:space="preserve">.</t>
    </r>
  </si>
  <si>
    <t xml:space="preserve">05.22</t>
  </si>
  <si>
    <t xml:space="preserve">התקנת ברז פרח וארון רחצה – מכלול</t>
  </si>
  <si>
    <r>
      <rPr>
        <sz val="11"/>
        <color theme="1"/>
        <rFont val="FreeSans"/>
        <family val="2"/>
      </rPr>
      <t xml:space="preserve">התקנת מכלול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ברז פרח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ארון קומפלט</t>
    </r>
    <r>
      <rPr>
        <sz val="11"/>
        <color theme="1"/>
        <rFont val="Calibri"/>
        <family val="2"/>
        <charset val="1"/>
      </rPr>
      <t xml:space="preserve">": </t>
    </r>
    <r>
      <rPr>
        <sz val="11"/>
        <color theme="1"/>
        <rFont val="FreeSans"/>
        <family val="2"/>
      </rPr>
      <t xml:space="preserve">העמדה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פילוס וקיבוע הארון לפי הוראות הספק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הברז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ובדיקת 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תכולת המכלול המדויקת טעונה אישור לפני תמחור</t>
    </r>
    <r>
      <rPr>
        <sz val="11"/>
        <color theme="1"/>
        <rFont val="Calibri"/>
        <family val="2"/>
        <charset val="1"/>
      </rPr>
      <t xml:space="preserve">.</t>
    </r>
  </si>
  <si>
    <t xml:space="preserve">05.23</t>
  </si>
  <si>
    <r>
      <rPr>
        <sz val="11"/>
        <color theme="1"/>
        <rFont val="FreeSans"/>
        <family val="2"/>
      </rPr>
      <t xml:space="preserve">התקנת תעלת גלישה חיצונית המסומנת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</si>
  <si>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FreeSans"/>
        <family val="2"/>
      </rPr>
      <t xml:space="preserve">התקנת תעלת הגלישה החיצונית המסומנת במקור „</t>
    </r>
    <r>
      <rPr>
        <sz val="11"/>
        <color theme="1"/>
        <rFont val="Calibri"/>
        <family val="2"/>
        <charset val="1"/>
      </rPr>
      <t xml:space="preserve">60”, </t>
    </r>
    <r>
      <rPr>
        <sz val="11"/>
        <color theme="1"/>
        <rFont val="FreeSans"/>
        <family val="2"/>
      </rPr>
      <t xml:space="preserve">לרבות 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 הגמר ושילוב אטום עם התשתית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ולמוצר המאושר</t>
    </r>
    <r>
      <rPr>
        <sz val="11"/>
        <color theme="1"/>
        <rFont val="Calibri"/>
        <family val="2"/>
        <charset val="1"/>
      </rPr>
      <t xml:space="preserve">.</t>
    </r>
  </si>
  <si>
    <t xml:space="preserve">05.24</t>
  </si>
  <si>
    <t xml:space="preserve">התקנת כיור בר</t>
  </si>
  <si>
    <r>
      <rPr>
        <sz val="11"/>
        <color theme="1"/>
        <rFont val="FreeSans"/>
        <family val="2"/>
      </rPr>
      <t xml:space="preserve">התקנת כיור בר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איטום המפגש עם המשטח וחיבור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ספק המשטח או הנגרות</t>
    </r>
    <r>
      <rPr>
        <sz val="11"/>
        <color theme="1"/>
        <rFont val="Calibri"/>
        <family val="2"/>
        <charset val="1"/>
      </rPr>
      <t xml:space="preserve">.</t>
    </r>
  </si>
  <si>
    <t xml:space="preserve">05.25</t>
  </si>
  <si>
    <t xml:space="preserve">נקודת מים חמים וקרים לברז או סוללה</t>
  </si>
  <si>
    <r>
      <rPr>
        <sz val="11"/>
        <color theme="1"/>
        <rFont val="FreeSans"/>
        <family val="2"/>
      </rPr>
      <t xml:space="preserve">נקודת מים חמים וקרים ממערכת אחידה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מהרכזת הקומתית ועד היציאה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מעברים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שרוולים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ברז ניל ובדיקת לחץ</t>
    </r>
    <r>
      <rPr>
        <sz val="11"/>
        <color theme="1"/>
        <rFont val="Calibri"/>
        <family val="2"/>
        <charset val="1"/>
      </rPr>
      <t xml:space="preserve">.</t>
    </r>
  </si>
  <si>
    <t xml:space="preserve">נק׳</t>
  </si>
  <si>
    <t xml:space="preserve">05.26</t>
  </si>
  <si>
    <t xml:space="preserve">נקודת מים קרים למכל הדחה</t>
  </si>
  <si>
    <r>
      <rPr>
        <sz val="11"/>
        <color theme="1"/>
        <rFont val="FreeSans"/>
        <family val="2"/>
      </rPr>
      <t xml:space="preserve">נקודת מים קרים   למכל הדחה סמוי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ברז ניל ובדיקת לחץ</t>
    </r>
    <r>
      <rPr>
        <sz val="11"/>
        <color theme="1"/>
        <rFont val="Calibri"/>
        <family val="2"/>
        <charset val="1"/>
      </rPr>
      <t xml:space="preserve">.</t>
    </r>
  </si>
  <si>
    <t xml:space="preserve">05.27</t>
  </si>
  <si>
    <t xml:space="preserve">נקודת ביוב לאסלה</t>
  </si>
  <si>
    <r>
      <rPr>
        <sz val="11"/>
        <color theme="1"/>
        <rFont val="FreeSans"/>
        <family val="2"/>
      </rPr>
      <t xml:space="preserve">נקודת ביוב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FreeSans"/>
        <family val="2"/>
      </rPr>
      <t xml:space="preserve">מ״מ לאסלה תלויה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חיבור לקו הביוב בשיפוע תקני ובדיקת 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</si>
  <si>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05.28</t>
  </si>
  <si>
    <t xml:space="preserve">נקודת ניקוז לכיור ולאמבטיה</t>
  </si>
  <si>
    <r>
      <rPr>
        <sz val="11"/>
        <color theme="1"/>
        <rFont val="FreeSans"/>
        <family val="2"/>
      </rPr>
      <t xml:space="preserve">נקודת ניקוז לכיורי רחצה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מטבח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מטבח חוץ ואמבטיה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סיפון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מחסום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 בשיפוע תקני ובדיקת 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</si>
  <si>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05.29</t>
  </si>
  <si>
    <t xml:space="preserve">נקודת מים וניקוז למכונת כביסה</t>
  </si>
  <si>
    <r>
      <rPr>
        <sz val="11"/>
        <color theme="1"/>
        <rFont val="FreeSans"/>
        <family val="2"/>
      </rPr>
      <t xml:space="preserve">נקודת מים קרים וניקוז עם ברז ניל להכנה למכונת כביסה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5).</t>
    </r>
  </si>
  <si>
    <t xml:space="preserve">05.30</t>
  </si>
  <si>
    <t xml:space="preserve">ברז דלי</t>
  </si>
  <si>
    <r>
      <rPr>
        <sz val="11"/>
        <color theme="1"/>
        <rFont val="FreeSans"/>
        <family val="2"/>
      </rPr>
      <t xml:space="preserve">ברז דלי למים קרים לניקיון או השקיה בגובה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FreeSans"/>
        <family val="2"/>
      </rPr>
      <t xml:space="preserve">ס״מ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7).</t>
    </r>
  </si>
  <si>
    <t xml:space="preserve">05.32</t>
  </si>
  <si>
    <t xml:space="preserve">קווי אספקה ראשיים ורכזות מים קומתיות</t>
  </si>
  <si>
    <r>
      <rPr>
        <sz val="11"/>
        <color theme="1"/>
        <rFont val="FreeSans"/>
        <family val="2"/>
      </rPr>
      <t xml:space="preserve">קווי מים ראשיים מהמונה ועד רכזות המים הקומתיות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10), </t>
    </r>
    <r>
      <rPr>
        <sz val="11"/>
        <color theme="1"/>
        <rFont val="FreeSans"/>
        <family val="2"/>
      </rPr>
      <t xml:space="preserve">כולל מגופים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ווסת לחץ ובידוד צנרת חמה</t>
    </r>
    <r>
      <rPr>
        <sz val="11"/>
        <color theme="1"/>
        <rFont val="Calibri"/>
        <family val="2"/>
        <charset val="1"/>
      </rPr>
      <t xml:space="preserve">.</t>
    </r>
  </si>
  <si>
    <t xml:space="preserve">05.33</t>
  </si>
  <si>
    <t xml:space="preserve">מערכת ביוב וניקוז ראשית</t>
  </si>
  <si>
    <r>
      <rPr>
        <sz val="11"/>
        <color theme="1"/>
        <rFont val="FreeSans"/>
        <family val="2"/>
      </rPr>
      <t xml:space="preserve">קווי ביוב וניקוז ראשיים בכל הקומות עד חיבור למערכת הקיימת או לשוחה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ביקורות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אוורור ובדיקות 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</si>
  <si>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05.34</t>
  </si>
  <si>
    <t xml:space="preserve">דוד מים חמים – התקנה וחיבור</t>
  </si>
  <si>
    <r>
      <rPr>
        <sz val="11"/>
        <color theme="1"/>
        <rFont val="FreeSans"/>
        <family val="2"/>
      </rPr>
      <t xml:space="preserve">התקנת דוד מים חמים וחיבורו למערכת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ברזים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שסתום בטיחות ומפסק זרם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סוג הדוד ומיקומו לפי תוכנית</t>
    </r>
    <r>
      <rPr>
        <sz val="11"/>
        <color theme="1"/>
        <rFont val="Calibri"/>
        <family val="2"/>
        <charset val="1"/>
      </rPr>
      <t xml:space="preserve">).</t>
    </r>
  </si>
  <si>
    <t xml:space="preserve">05.35</t>
  </si>
  <si>
    <t xml:space="preserve">בדיקות לחץ ואטימות ותוכנית עדות</t>
  </si>
  <si>
    <r>
      <rPr>
        <sz val="11"/>
        <color theme="1"/>
        <rFont val="FreeSans"/>
        <family val="2"/>
      </rPr>
      <t xml:space="preserve">בדיקות לחץ לכל קווי המים ובדיקות אטימות לקווי הביוב לפני כיסוי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בנוכחות המתכננת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דוחות חתומים ותוכנית עדות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</si>
  <si>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5 — </t>
    </r>
    <r>
      <rPr>
        <b val="true"/>
        <sz val="11"/>
        <rFont val="FreeSans"/>
        <family val="2"/>
      </rPr>
      <t xml:space="preserve">אינסטלציה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התקנת כלים סניטריים וברזים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</si>
  <si>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6 — </t>
    </r>
    <r>
      <rPr>
        <b val="true"/>
        <sz val="11"/>
        <rFont val="FreeSans"/>
        <family val="2"/>
      </rPr>
      <t xml:space="preserve">חשמל</t>
    </r>
  </si>
  <si>
    <t xml:space="preserve">06.01</t>
  </si>
  <si>
    <t xml:space="preserve">נקודת שקע רגיל</t>
  </si>
  <si>
    <r>
      <rPr>
        <sz val="11"/>
        <color theme="1"/>
        <rFont val="FreeSans"/>
        <family val="2"/>
      </rPr>
      <t xml:space="preserve">ביצוע נקודת שקע רגיל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 וחיווט למעגל המתאים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אביזר הגמר ובדיקת תקינות הנקודה</t>
    </r>
    <r>
      <rPr>
        <sz val="11"/>
        <color theme="1"/>
        <rFont val="Calibri"/>
        <family val="2"/>
        <charset val="1"/>
      </rPr>
      <t xml:space="preserve">.</t>
    </r>
  </si>
  <si>
    <t xml:space="preserve">06.02</t>
  </si>
  <si>
    <t xml:space="preserve">נקודת שקע מוגן מים</t>
  </si>
  <si>
    <r>
      <rPr>
        <sz val="11"/>
        <color theme="1"/>
        <rFont val="FreeSans"/>
        <family val="2"/>
      </rPr>
      <t xml:space="preserve">ביצוע נקודת שקע מוגן מים באזור רטוב או חיצוני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בדרגת הגנה המתאימה למיקום ולדרישות המפרט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הגמר וחיבור למעגל בעל ההגנות הנדרשות</t>
    </r>
    <r>
      <rPr>
        <sz val="11"/>
        <color theme="1"/>
        <rFont val="Calibri"/>
        <family val="2"/>
        <charset val="1"/>
      </rPr>
      <t xml:space="preserve">.</t>
    </r>
  </si>
  <si>
    <t xml:space="preserve">06.03</t>
  </si>
  <si>
    <t xml:space="preserve">תשתית להפעלת תריס חשמלי</t>
  </si>
  <si>
    <r>
      <rPr>
        <sz val="11"/>
        <color theme="1"/>
        <rFont val="FreeSans"/>
        <family val="2"/>
      </rPr>
      <t xml:space="preserve">ביצוע תשתית חשמל להפעלת תריס חשמלי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ולשיטת הבקרה שתאושר בכתב בידי המזמין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וקופסאות הנדרשים לשיטה שנבחרה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מנוע התריס אינו נכלל בסעיף התשתית</t>
    </r>
    <r>
      <rPr>
        <sz val="11"/>
        <color theme="1"/>
        <rFont val="Calibri"/>
        <family val="2"/>
        <charset val="1"/>
      </rPr>
      <t xml:space="preserve">.</t>
    </r>
  </si>
  <si>
    <t xml:space="preserve">06.04</t>
  </si>
  <si>
    <t xml:space="preserve">שקע מנוע תריס</t>
  </si>
  <si>
    <r>
      <rPr>
        <sz val="11"/>
        <color theme="1"/>
        <rFont val="FreeSans"/>
        <family val="2"/>
      </rPr>
      <t xml:space="preserve">ביצוע נקודת שקע למנוע תריס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קופסה וחיבור למעגל המתאים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יש לתאם את גבול התכולה עם סעיף תשתית התריס כדי למנוע כפל</t>
    </r>
    <r>
      <rPr>
        <sz val="11"/>
        <color theme="1"/>
        <rFont val="Calibri"/>
        <family val="2"/>
        <charset val="1"/>
      </rPr>
      <t xml:space="preserve">.</t>
    </r>
  </si>
  <si>
    <t xml:space="preserve">06.05</t>
  </si>
  <si>
    <t xml:space="preserve">נקודת שקע תלת־פאזי</t>
  </si>
  <si>
    <r>
      <rPr>
        <sz val="11"/>
        <color theme="1"/>
        <rFont val="FreeSans"/>
        <family val="2"/>
      </rPr>
      <t xml:space="preserve">ביצוע נקודת שקע תלת־פאזי בהתאם לייעוד ולעומס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מוליכים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למעגל ובדיקת תקינות</t>
    </r>
    <r>
      <rPr>
        <sz val="11"/>
        <color theme="1"/>
        <rFont val="Calibri"/>
        <family val="2"/>
        <charset val="1"/>
      </rPr>
      <t xml:space="preserve">.</t>
    </r>
  </si>
  <si>
    <t xml:space="preserve">06.06</t>
  </si>
  <si>
    <t xml:space="preserve">הרחבת לוח החשמל הראשי</t>
  </si>
  <si>
    <r>
      <rPr>
        <sz val="11"/>
        <color theme="1"/>
        <rFont val="FreeSans"/>
        <family val="2"/>
      </rPr>
      <t xml:space="preserve">הרחבת והתאמת לוח החשמל הראשי לעומסי הבית והתוספות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לתכנון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הלוח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אמצעי ההגנה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המעגלים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סימונם ובדיקת תקינות</t>
    </r>
    <r>
      <rPr>
        <sz val="11"/>
        <color theme="1"/>
        <rFont val="Calibri"/>
        <family val="2"/>
        <charset val="1"/>
      </rPr>
      <t xml:space="preserve">.</t>
    </r>
  </si>
  <si>
    <t xml:space="preserve">06.07</t>
  </si>
  <si>
    <t xml:space="preserve">אספקה והתקנת פילר חברת החשמל</t>
  </si>
  <si>
    <r>
      <rPr>
        <sz val="11"/>
        <color theme="1"/>
        <rFont val="FreeSans"/>
        <family val="2"/>
      </rPr>
      <t xml:space="preserve">אספקה והתקנת פילר חדש בכניסה למגרש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למיקום ולמפרט שיאושרו בידי חברת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עבודות ההתקנה וההתאמות הנדרשות במסגרת הסעיף</t>
    </r>
    <r>
      <rPr>
        <sz val="11"/>
        <color theme="1"/>
        <rFont val="Calibri"/>
        <family val="2"/>
        <charset val="1"/>
      </rPr>
      <t xml:space="preserve">.</t>
    </r>
  </si>
  <si>
    <t xml:space="preserve">06.08</t>
  </si>
  <si>
    <t xml:space="preserve">טיפול בהגדלת חיבור החשמל</t>
  </si>
  <si>
    <r>
      <rPr>
        <sz val="11"/>
        <color theme="1"/>
        <rFont val="FreeSans"/>
        <family val="2"/>
      </rPr>
      <t xml:space="preserve">הכנת והגשת תוכניות ומסמכים לחברת החשמל לצורך הגדלת החיבור ל־</t>
    </r>
    <r>
      <rPr>
        <sz val="11"/>
        <color theme="1"/>
        <rFont val="Calibri"/>
        <family val="2"/>
        <charset val="1"/>
      </rPr>
      <t xml:space="preserve">3×40 </t>
    </r>
    <r>
      <rPr>
        <sz val="11"/>
        <color theme="1"/>
        <rFont val="FreeSans"/>
        <family val="2"/>
      </rPr>
      <t xml:space="preserve">אמפר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בהליך וקבלת האישורים הנדרשים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התשלום לחברת החשמל בעבור הגדלת החיבור עצמה יחול על המזמין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למפרט</t>
    </r>
    <r>
      <rPr>
        <sz val="11"/>
        <color theme="1"/>
        <rFont val="Calibri"/>
        <family val="2"/>
        <charset val="1"/>
      </rPr>
      <t xml:space="preserve">.</t>
    </r>
  </si>
  <si>
    <t xml:space="preserve">06.09</t>
  </si>
  <si>
    <t xml:space="preserve">בדיקת חשמל סופית</t>
  </si>
  <si>
    <r>
      <rPr>
        <sz val="11"/>
        <color theme="1"/>
        <rFont val="FreeSans"/>
        <family val="2"/>
      </rPr>
      <t xml:space="preserve">ביצוע בדיקה סופית של מתקן החשמל באמצעות חשמלאי בודק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בדיקות הארקה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ואמצעי הגנה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והמצאת דוח הבדיקה והאישורים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</si>
  <si>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06.10</t>
  </si>
  <si>
    <t xml:space="preserve">נקודת שקע כוח</t>
  </si>
  <si>
    <r>
      <rPr>
        <sz val="11"/>
        <color theme="1"/>
        <rFont val="FreeSans"/>
        <family val="2"/>
      </rPr>
      <t xml:space="preserve">ביצוע נקודת שקע כוח בהתאם לייעוד המסומן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הגמר וחיבור למעגל המתאים לעומס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ייעוד הנקודה וההבחנה בינה לבין שקע רגיל יוגדרו לפי המקרא</t>
    </r>
    <r>
      <rPr>
        <sz val="11"/>
        <color theme="1"/>
        <rFont val="Calibri"/>
        <family val="2"/>
        <charset val="1"/>
      </rPr>
      <t xml:space="preserve">.</t>
    </r>
  </si>
  <si>
    <t xml:space="preserve">06.11</t>
  </si>
  <si>
    <t xml:space="preserve">נקודת הזנה ליחידת מיזוג</t>
  </si>
  <si>
    <r>
      <rPr>
        <sz val="11"/>
        <color theme="1"/>
        <rFont val="FreeSans"/>
        <family val="2"/>
      </rPr>
      <t xml:space="preserve">נקודת הזנה ייעודית ליחידת מיזוג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מעגל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מפסק והגנות לפי התקן</t>
    </r>
    <r>
      <rPr>
        <sz val="11"/>
        <color theme="1"/>
        <rFont val="Calibri"/>
        <family val="2"/>
        <charset val="1"/>
      </rPr>
      <t xml:space="preserve">.</t>
    </r>
  </si>
  <si>
    <t xml:space="preserve">06.12</t>
  </si>
  <si>
    <t xml:space="preserve">נקודת חיבור ישיר</t>
  </si>
  <si>
    <r>
      <rPr>
        <sz val="11"/>
        <color theme="1"/>
        <rFont val="FreeSans"/>
        <family val="2"/>
      </rPr>
      <t xml:space="preserve">נקודת חיבור ישיר לתנור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כיריים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קולט אדים או תנור חימום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לפי מקרא החשמל</t>
    </r>
    <r>
      <rPr>
        <sz val="11"/>
        <color theme="1"/>
        <rFont val="Calibri"/>
        <family val="2"/>
        <charset val="1"/>
      </rPr>
      <t xml:space="preserve">).</t>
    </r>
  </si>
  <si>
    <t xml:space="preserve">06.13</t>
  </si>
  <si>
    <t xml:space="preserve">מפסק זרם לדוד עם נורת סימון</t>
  </si>
  <si>
    <r>
      <rPr>
        <sz val="11"/>
        <color theme="1"/>
        <rFont val="FreeSans"/>
        <family val="2"/>
      </rPr>
      <t xml:space="preserve">נקודת מפסק זרם לדוד מים חמים עם נורת סימון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</si>
  <si>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t xml:space="preserve">06.14</t>
  </si>
  <si>
    <t xml:space="preserve">נקודת תרמוסטט למזגן</t>
  </si>
  <si>
    <r>
      <rPr>
        <sz val="11"/>
        <color theme="1"/>
        <rFont val="FreeSans"/>
        <family val="2"/>
      </rPr>
      <t xml:space="preserve">נקודת הכנה לתרמוסטט מזגן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</si>
  <si>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t xml:space="preserve">06.15</t>
  </si>
  <si>
    <t xml:space="preserve">פעמון ולחצן פעמון</t>
  </si>
  <si>
    <r>
      <rPr>
        <sz val="11"/>
        <color theme="1"/>
        <rFont val="FreeSans"/>
        <family val="2"/>
      </rPr>
      <t xml:space="preserve">התקנת פעמון בגובה </t>
    </r>
    <r>
      <rPr>
        <sz val="11"/>
        <color theme="1"/>
        <rFont val="Calibri"/>
        <family val="2"/>
        <charset val="1"/>
      </rPr>
      <t xml:space="preserve">230 </t>
    </r>
    <r>
      <rPr>
        <sz val="11"/>
        <color theme="1"/>
        <rFont val="FreeSans"/>
        <family val="2"/>
      </rPr>
      <t xml:space="preserve">ס״מ ולחצן פעמון בגובה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חיווט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</si>
  <si>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6 — </t>
    </r>
    <r>
      <rPr>
        <b val="true"/>
        <sz val="11"/>
        <rFont val="FreeSans"/>
        <family val="2"/>
      </rPr>
      <t xml:space="preserve">חשמל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</si>
  <si>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7 — </t>
    </r>
    <r>
      <rPr>
        <b val="true"/>
        <sz val="11"/>
        <rFont val="FreeSans"/>
        <family val="2"/>
      </rPr>
      <t xml:space="preserve">תאורה ומפסקי תאורה</t>
    </r>
  </si>
  <si>
    <t xml:space="preserve">07.01</t>
  </si>
  <si>
    <r>
      <rPr>
        <sz val="11"/>
        <color theme="1"/>
        <rFont val="FreeSans"/>
        <family val="2"/>
      </rPr>
      <t xml:space="preserve">מפסקי הדלקת תאורה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יחיד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כפול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משולש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רביעייה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</si>
  <si>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ביצוע והתקנת נקודות מפסקי תאורה מכל הסוגים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ואביזר 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לחלוקת ההדלקות בתוכנית</t>
    </r>
    <r>
      <rPr>
        <sz val="11"/>
        <color theme="1"/>
        <rFont val="Calibri"/>
        <family val="2"/>
        <charset val="1"/>
      </rPr>
      <t xml:space="preserve">.</t>
    </r>
  </si>
  <si>
    <t xml:space="preserve">07.02</t>
  </si>
  <si>
    <r>
      <rPr>
        <sz val="11"/>
        <color theme="1"/>
        <rFont val="FreeSans"/>
        <family val="2"/>
      </rPr>
      <t xml:space="preserve">מפסקי מחלף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יחיד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משולש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</si>
  <si>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ביצוע והתקנת נקודות מפסקי מחלף להפעלת מעגלי תאורה ממיקומים שונים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ואביזר גמר התואמים לחלוקת המעגלים</t>
    </r>
    <r>
      <rPr>
        <sz val="11"/>
        <color theme="1"/>
        <rFont val="Calibri"/>
        <family val="2"/>
        <charset val="1"/>
      </rPr>
      <t xml:space="preserve">.</t>
    </r>
  </si>
  <si>
    <t xml:space="preserve">07.03</t>
  </si>
  <si>
    <t xml:space="preserve">התקנת גוף תאורה צמוד תקרה</t>
  </si>
  <si>
    <r>
      <rPr>
        <sz val="11"/>
        <color theme="1"/>
        <rFont val="FreeSans"/>
        <family val="2"/>
      </rPr>
      <t xml:space="preserve">התקנת גוף תאורה צמוד תקרה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</si>
  <si>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07.04</t>
  </si>
  <si>
    <t xml:space="preserve">התקנת גוף תאורה תלוי</t>
  </si>
  <si>
    <r>
      <rPr>
        <sz val="11"/>
        <color theme="1"/>
        <rFont val="FreeSans"/>
        <family val="2"/>
      </rPr>
      <t xml:space="preserve">התקנת גוף תאורה תלוי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מערכת התלייה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גובה התלייה לפי התוכנית והנחיות המתכננת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</si>
  <si>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07.05</t>
  </si>
  <si>
    <t xml:space="preserve">התקנת גוף תאורה קירי מוגן</t>
  </si>
  <si>
    <r>
      <rPr>
        <sz val="11"/>
        <color theme="1"/>
        <rFont val="FreeSans"/>
        <family val="2"/>
      </rPr>
      <t xml:space="preserve">התקנת גוף תאורה קירי מוגן במיקום ובגובה המסומנים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ואטימת מפגש ההתקנה בהתאם למוצר ולמיקום</t>
    </r>
    <r>
      <rPr>
        <sz val="11"/>
        <color theme="1"/>
        <rFont val="Calibri"/>
        <family val="2"/>
        <charset val="1"/>
      </rPr>
      <t xml:space="preserve">.</t>
    </r>
  </si>
  <si>
    <t xml:space="preserve">07.06</t>
  </si>
  <si>
    <r>
      <rPr>
        <sz val="11"/>
        <color theme="1"/>
        <rFont val="FreeSans"/>
        <family val="2"/>
      </rPr>
      <t xml:space="preserve">התקנת גוף תאורה 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מוגן</t>
    </r>
  </si>
  <si>
    <r>
      <rPr>
        <sz val="11"/>
        <color theme="1"/>
        <rFont val="FreeSans"/>
        <family val="2"/>
      </rPr>
      <t xml:space="preserve">התקנת גוף תאורה מוגן השקוע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רכיבי ההתקנה של הגוף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</si>
  <si>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07.07</t>
  </si>
  <si>
    <t xml:space="preserve">התקנת ספוט שקוע בתקרת גבס</t>
  </si>
  <si>
    <r>
      <rPr>
        <sz val="11"/>
        <color theme="1"/>
        <rFont val="FreeSans"/>
        <family val="2"/>
      </rPr>
      <t xml:space="preserve">התקנת ספוט שקוע בתקרת 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מוקדם עם עבודות הגבס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התאמת הפתח לגוף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</si>
  <si>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07.08</t>
  </si>
  <si>
    <t xml:space="preserve">התקנת פס תאורת לד נסתר</t>
  </si>
  <si>
    <r>
      <rPr>
        <sz val="11"/>
        <color theme="1"/>
        <rFont val="FreeSans"/>
        <family val="2"/>
      </rPr>
      <t xml:space="preserve">התקנת פס תאורת לד נסתר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ההתקנה וההפעלה שסופקו עם המערכת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לנקודת ההזנה ובדיקת רציפות ופעולה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</si>
  <si>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07.09</t>
  </si>
  <si>
    <t xml:space="preserve">התקנת פס תאורה שקוע בגבס</t>
  </si>
  <si>
    <r>
      <rPr>
        <sz val="11"/>
        <color theme="1"/>
        <rFont val="FreeSans"/>
        <family val="2"/>
      </rPr>
      <t xml:space="preserve">התקנת פס תאורה שקוע בגבס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פרופיל ההתקנה התואם למוצר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תיאום עם קבלן הגבס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</si>
  <si>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07.10</t>
  </si>
  <si>
    <t xml:space="preserve">התקנת פס תאורה צמוד תקרה</t>
  </si>
  <si>
    <r>
      <rPr>
        <sz val="11"/>
        <color theme="1"/>
        <rFont val="FreeSans"/>
        <family val="2"/>
      </rPr>
      <t xml:space="preserve">התקנת פס תאורה צמוד תקרה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ישר ואחיד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רכיבי המערכת שסופקו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לנקודת ההזנה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</si>
  <si>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07.11</t>
  </si>
  <si>
    <t xml:space="preserve">נקודת הזנה לפס לד</t>
  </si>
  <si>
    <r>
      <rPr>
        <sz val="11"/>
        <color theme="1"/>
        <rFont val="FreeSans"/>
        <family val="2"/>
      </rPr>
      <t xml:space="preserve">ביצוע נקודת הזנה ייעודית לפס 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וחיבור למעגל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מתואם עם גוף התאורה ועם רכיבי ההפעלה שלו</t>
    </r>
    <r>
      <rPr>
        <sz val="11"/>
        <color theme="1"/>
        <rFont val="Calibri"/>
        <family val="2"/>
        <charset val="1"/>
      </rPr>
      <t xml:space="preserve">.</t>
    </r>
  </si>
  <si>
    <t xml:space="preserve">07.12</t>
  </si>
  <si>
    <t xml:space="preserve">התקנת גוף תאורה מוגן מים</t>
  </si>
  <si>
    <r>
      <rPr>
        <sz val="11"/>
        <color theme="1"/>
        <rFont val="FreeSans"/>
        <family val="2"/>
      </rPr>
      <t xml:space="preserve">התקנת גוף תאורה מוגן מים באזור רטוב או חיצוני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לסוג ולמיקום המסומנים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</si>
  <si>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07.13</t>
  </si>
  <si>
    <t xml:space="preserve">התקנת גוף תאורה קירי</t>
  </si>
  <si>
    <r>
      <rPr>
        <sz val="11"/>
        <color theme="1"/>
        <rFont val="FreeSans"/>
        <family val="2"/>
      </rPr>
      <t xml:space="preserve">התקנת גוף תאורה קירי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</si>
  <si>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07.14</t>
  </si>
  <si>
    <t xml:space="preserve">התקנת גוף תאורה שקוע בקיר</t>
  </si>
  <si>
    <r>
      <rPr>
        <sz val="11"/>
        <color theme="1"/>
        <rFont val="FreeSans"/>
        <family val="2"/>
      </rPr>
      <t xml:space="preserve">התקנת גוף תאורה 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רכיבי ההתקנה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</si>
  <si>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07.15</t>
  </si>
  <si>
    <t xml:space="preserve">התקנת מאוורר תקרה משולב תאורה</t>
  </si>
  <si>
    <r>
      <rPr>
        <sz val="11"/>
        <color theme="1"/>
        <rFont val="FreeSans"/>
        <family val="2"/>
      </rPr>
      <t xml:space="preserve">התקנת מאוורר תקרה הכולל גוף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 המתאימה למוצר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הרכבה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פעולת המאוורר והתאורה</t>
    </r>
    <r>
      <rPr>
        <sz val="11"/>
        <color theme="1"/>
        <rFont val="Calibri"/>
        <family val="2"/>
        <charset val="1"/>
      </rPr>
      <t xml:space="preserve">.</t>
    </r>
  </si>
  <si>
    <t xml:space="preserve">07.16</t>
  </si>
  <si>
    <r>
      <rPr>
        <sz val="11"/>
        <color theme="1"/>
        <rFont val="FreeSans"/>
        <family val="2"/>
      </rPr>
      <t xml:space="preserve">התקנת מאוורר משולב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מוגן מים</t>
    </r>
  </si>
  <si>
    <r>
      <rPr>
        <sz val="11"/>
        <color theme="1"/>
        <rFont val="FreeSans"/>
        <family val="2"/>
      </rPr>
      <t xml:space="preserve">התקנת מאוורר משולב תאורה בעל התאמה למיקום הרטוב או החיצוני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הרכבה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 בהתאם להוראות היצרן</t>
    </r>
    <r>
      <rPr>
        <sz val="11"/>
        <color theme="1"/>
        <rFont val="Calibri"/>
        <family val="2"/>
        <charset val="1"/>
      </rPr>
      <t xml:space="preserve">.</t>
    </r>
  </si>
  <si>
    <t xml:space="preserve">07.17</t>
  </si>
  <si>
    <t xml:space="preserve">התקנת ספוט צילינדר צמוד תקרה</t>
  </si>
  <si>
    <r>
      <rPr>
        <sz val="11"/>
        <color theme="1"/>
        <rFont val="FreeSans"/>
        <family val="2"/>
      </rPr>
      <t xml:space="preserve">התקנת גוף תאורה מסוג ספוט צילינדר צמוד תקרה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</si>
  <si>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07.18</t>
  </si>
  <si>
    <t xml:space="preserve">התקנת תאורת חירום דו־תכליתית</t>
  </si>
  <si>
    <r>
      <rPr>
        <sz val="11"/>
        <color theme="1"/>
        <rFont val="FreeSans"/>
        <family val="2"/>
      </rPr>
      <t xml:space="preserve">התקנת גוף תאורת חירום דו־תכליתי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ישיר ללוח בהתאם לתוכנית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ובדיקת פעולתו בעת ניתוק מבוקר של אספקת החשמל</t>
    </r>
    <r>
      <rPr>
        <sz val="11"/>
        <color theme="1"/>
        <rFont val="Calibri"/>
        <family val="2"/>
        <charset val="1"/>
      </rPr>
      <t xml:space="preserve">.</t>
    </r>
  </si>
  <si>
    <t xml:space="preserve">07.19</t>
  </si>
  <si>
    <t xml:space="preserve">התקנת מקבץ ספוטים „נצנצים” שקוע בגבס</t>
  </si>
  <si>
    <r>
      <rPr>
        <sz val="11"/>
        <color theme="1"/>
        <rFont val="FreeSans"/>
        <family val="2"/>
      </rPr>
      <t xml:space="preserve">התקנת מקבץ ספוטים מסוג „נצנצים” השקוע בגבס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לפריסה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תיאום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 רכיבי המערכת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</si>
  <si>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07.20</t>
  </si>
  <si>
    <t xml:space="preserve">נקודת הזנה כללית לתאורה</t>
  </si>
  <si>
    <r>
      <rPr>
        <sz val="11"/>
        <color theme="1"/>
        <rFont val="FreeSans"/>
        <family val="2"/>
      </rPr>
      <t xml:space="preserve">ביצוע נקודת הזנה כללית לתאורה בהתאם לתוכנית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וחיבור למעגל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התקנת גוף התאורה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</si>
  <si>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7 — </t>
    </r>
    <r>
      <rPr>
        <b val="true"/>
        <sz val="11"/>
        <rFont val="FreeSans"/>
        <family val="2"/>
      </rPr>
      <t xml:space="preserve">תאורה ומפסקי תאורה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</si>
  <si>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8 — </t>
    </r>
    <r>
      <rPr>
        <b val="true"/>
        <sz val="11"/>
        <rFont val="FreeSans"/>
        <family val="2"/>
      </rPr>
      <t xml:space="preserve">מיזוג אוויר</t>
    </r>
  </si>
  <si>
    <t xml:space="preserve">08.01</t>
  </si>
  <si>
    <t xml:space="preserve">התקנת יחידת מיזוג פנימית</t>
  </si>
  <si>
    <r>
      <rPr>
        <sz val="11"/>
        <color theme="1"/>
        <rFont val="FreeSans"/>
        <family val="2"/>
      </rPr>
      <t xml:space="preserve">התקנת יחידת מיזוג פנימית במיקום המאושר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וחיבור לתשתיות הקירור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הניקוז והחשמל שהוכנו עבורה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ובדיקת פעולה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היחידה תהיה בהתאם למפרט הציוד שיימסר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במרתף נדרש אישור המתכננת לאזור המסומן בהערה</t>
    </r>
    <r>
      <rPr>
        <sz val="11"/>
        <color theme="1"/>
        <rFont val="Calibri"/>
        <family val="2"/>
        <charset val="1"/>
      </rPr>
      <t xml:space="preserve">.</t>
    </r>
  </si>
  <si>
    <t xml:space="preserve">08.02</t>
  </si>
  <si>
    <t xml:space="preserve">צנרת קירור וניקוז ליחידות המיזוג</t>
  </si>
  <si>
    <r>
      <rPr>
        <sz val="11"/>
        <color theme="1"/>
        <rFont val="FreeSans"/>
        <family val="2"/>
      </rPr>
      <t xml:space="preserve">אספקה והתקנה של צנרת נחושת מבודדת לפי הספק היחידה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ניקוז עיבוי בשיפוע תקין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תוואי לאזור מטבח חוץ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פרגולה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קופסאות וכיסויים</t>
    </r>
    <r>
      <rPr>
        <sz val="11"/>
        <color theme="1"/>
        <rFont val="Calibri"/>
        <family val="2"/>
        <charset val="1"/>
      </rPr>
      <t xml:space="preserve">.</t>
    </r>
  </si>
  <si>
    <t xml:space="preserve">08.03</t>
  </si>
  <si>
    <t xml:space="preserve">בדיקות ואקום ולחץ</t>
  </si>
  <si>
    <r>
      <rPr>
        <sz val="11"/>
        <color theme="1"/>
        <rFont val="FreeSans"/>
        <family val="2"/>
      </rPr>
      <t xml:space="preserve">ביצוע בדיקות ואקום ולחץ לצנרת הקירור לפני הפעלת המערכת ובהתאם להוראות היצרן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דוח בדיקה</t>
    </r>
    <r>
      <rPr>
        <sz val="11"/>
        <color theme="1"/>
        <rFont val="Calibri"/>
        <family val="2"/>
        <charset val="1"/>
      </rPr>
      <t xml:space="preserve">.</t>
    </r>
  </si>
  <si>
    <t xml:space="preserve">08.04</t>
  </si>
  <si>
    <t xml:space="preserve">התקנת יחידות מיזוג חיצוניות</t>
  </si>
  <si>
    <r>
      <rPr>
        <sz val="11"/>
        <color theme="1"/>
        <rFont val="FreeSans"/>
        <family val="2"/>
      </rPr>
      <t xml:space="preserve">התקנת יחידות מיזוג חיצוניות במיקום שיאושר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מתלים או בסיס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לצנרת ולחשמל ובדיקת פעולה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</si>
  <si>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8 — </t>
    </r>
    <r>
      <rPr>
        <b val="true"/>
        <sz val="11"/>
        <rFont val="FreeSans"/>
        <family val="2"/>
      </rPr>
      <t xml:space="preserve">מיזוג אוויר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</si>
  <si>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9 — </t>
    </r>
    <r>
      <rPr>
        <b val="true"/>
        <sz val="11"/>
        <rFont val="FreeSans"/>
        <family val="2"/>
      </rPr>
      <t xml:space="preserve">מחיצות ותקרות גבס</t>
    </r>
  </si>
  <si>
    <t xml:space="preserve">09.01</t>
  </si>
  <si>
    <t xml:space="preserve">מחיצות גבס במרתף</t>
  </si>
  <si>
    <r>
      <rPr>
        <sz val="11"/>
        <color theme="1"/>
        <rFont val="FreeSans"/>
        <family val="2"/>
      </rPr>
      <t xml:space="preserve">ביצוע מחיצות וקירות גבס בקומת המרתף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מסלולים וניצבים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באזורים רטובים יבוצעו לוחות עמידי מים וחיזוקים לתליית הכלים בהתאם למפרט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</si>
  <si>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09.02</t>
  </si>
  <si>
    <t xml:space="preserve">מחיצות גבס בקומת הקרקע</t>
  </si>
  <si>
    <r>
      <rPr>
        <sz val="11"/>
        <color theme="1"/>
        <rFont val="FreeSans"/>
        <family val="2"/>
      </rPr>
      <t xml:space="preserve">ביצוע מחיצות וקירות גבס בקומת הקרקע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והתאמה ייעודית לאזורים הרטובים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</si>
  <si>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09.03</t>
  </si>
  <si>
    <t xml:space="preserve">מחיצות גבס בקומה א׳ ובגלריה</t>
  </si>
  <si>
    <r>
      <rPr>
        <sz val="11"/>
        <color theme="1"/>
        <rFont val="FreeSans"/>
        <family val="2"/>
      </rPr>
      <t xml:space="preserve">ביצוע מחיצות וקירות גבס בקומה א׳ ובגלריה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והתאמה ייעודית לאזורים הרטובים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</si>
  <si>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09.04</t>
  </si>
  <si>
    <t xml:space="preserve">תקרות גבס תלויות</t>
  </si>
  <si>
    <r>
      <rPr>
        <sz val="11"/>
        <color theme="1"/>
        <rFont val="FreeSans"/>
        <family val="2"/>
      </rPr>
      <t xml:space="preserve">ביצוע תקרות גבס תלויות או מונמכות באזורים המסומנים בתוכנית וככל שנדרש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מתלים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 נשיאה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 ותיאום פתחים לתאורה ולמיזוג לפני הסגירה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להוראות מערכת הגבס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שפכטל וצבע מתוארים בפרק </t>
    </r>
    <r>
      <rPr>
        <sz val="11"/>
        <color theme="1"/>
        <rFont val="Calibri"/>
        <family val="2"/>
        <charset val="1"/>
      </rPr>
      <t xml:space="preserve">15.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</si>
  <si>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9 — </t>
    </r>
    <r>
      <rPr>
        <b val="true"/>
        <sz val="11"/>
        <rFont val="FreeSans"/>
        <family val="2"/>
      </rPr>
      <t xml:space="preserve">מחיצות ותקרות גבס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</si>
  <si>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10 — </t>
    </r>
    <r>
      <rPr>
        <b val="true"/>
        <sz val="11"/>
        <rFont val="FreeSans"/>
        <family val="2"/>
      </rPr>
      <t xml:space="preserve">איטום פנים</t>
    </r>
  </si>
  <si>
    <t xml:space="preserve">10.01</t>
  </si>
  <si>
    <t xml:space="preserve">איטום רצפות חדרים רטובים</t>
  </si>
  <si>
    <r>
      <rPr>
        <sz val="11"/>
        <color theme="1"/>
        <rFont val="FreeSans"/>
        <family val="2"/>
      </rPr>
      <t xml:space="preserve">ביצוע מערכת איטום רציפה לרצפות חדרי הרחצה והאזורים הרטובים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התשתית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במפגשי רצפה וקיר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הרמות איטום היקפיות ושילוב אטום סביב מעברי הצנרת ואביזרי הניקוז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ולאישור יועץ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</si>
  <si>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10.02</t>
  </si>
  <si>
    <t xml:space="preserve">איטום קירות חדרים רטובים</t>
  </si>
  <si>
    <r>
      <rPr>
        <sz val="11"/>
        <color theme="1"/>
        <rFont val="FreeSans"/>
        <family val="2"/>
      </rPr>
      <t xml:space="preserve">ביצוע מערכת איטום לקירות באזורים הרטובים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בשטחים ובגבהים שיאושרו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לתשתית 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או 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בפינות ובמפגשים ואיטום סביב חדירות ואביזרים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יועץ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</si>
  <si>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10.03</t>
  </si>
  <si>
    <t xml:space="preserve">בדיקות הצפה לחדרים רטובים</t>
  </si>
  <si>
    <r>
      <rPr>
        <sz val="11"/>
        <color theme="1"/>
        <rFont val="FreeSans"/>
        <family val="2"/>
      </rPr>
      <t xml:space="preserve">ביצוע בדיקות הצפה נפרדות לחדרים הרטובים לאחר השלמת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למשך הזמן שיאשר יועץ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תיעוד הבדיקות וקבלת אישור בכתב לפני הריצוף</t>
    </r>
    <r>
      <rPr>
        <sz val="11"/>
        <color theme="1"/>
        <rFont val="Calibri"/>
        <family val="2"/>
        <charset val="1"/>
      </rPr>
      <t xml:space="preserve">.</t>
    </r>
  </si>
  <si>
    <t xml:space="preserve">10.04</t>
  </si>
  <si>
    <t xml:space="preserve">איטום מרפסות</t>
  </si>
  <si>
    <r>
      <rPr>
        <sz val="11"/>
        <color theme="1"/>
        <rFont val="FreeSans"/>
        <family val="2"/>
      </rPr>
      <t xml:space="preserve">איטום רצפות המרפסות מעל חללים מבונים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הרמות 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בספים ובנקודות ניקוז ובדיקת הצפה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בהנחיית יועץ האיטום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</si>
  <si>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10 — </t>
    </r>
    <r>
      <rPr>
        <b val="true"/>
        <sz val="11"/>
        <rFont val="FreeSans"/>
        <family val="2"/>
      </rPr>
      <t xml:space="preserve">איטום פנים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</si>
  <si>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11 — </t>
    </r>
    <r>
      <rPr>
        <b val="true"/>
        <sz val="11"/>
        <rFont val="FreeSans"/>
        <family val="2"/>
      </rPr>
      <t xml:space="preserve">איטום גג ופרפט</t>
    </r>
  </si>
  <si>
    <t xml:space="preserve">11.01</t>
  </si>
  <si>
    <t xml:space="preserve">בדיקת קונסטרוקטור למבנה הגג החשוף</t>
  </si>
  <si>
    <r>
      <rPr>
        <sz val="11"/>
        <color theme="1"/>
        <rFont val="FreeSans"/>
        <family val="2"/>
      </rPr>
      <t xml:space="preserve">בדיקת מצב מבנה הגג לאחר פירוק הרעפים וארגזי הרוח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וקבלת אישור בכתב לפני ביצוע</t>
    </r>
    <r>
      <rPr>
        <sz val="11"/>
        <color theme="1"/>
        <rFont val="Calibri"/>
        <family val="2"/>
        <charset val="1"/>
      </rPr>
      <t xml:space="preserve">.</t>
    </r>
  </si>
  <si>
    <t xml:space="preserve">11.02</t>
  </si>
  <si>
    <t xml:space="preserve">בניית פרפט חדש להסתרת שיפוע הגג</t>
  </si>
  <si>
    <r>
      <rPr>
        <sz val="11"/>
        <color theme="1"/>
        <rFont val="FreeSans"/>
        <family val="2"/>
      </rPr>
      <t xml:space="preserve">בניית דופן אנכית חדשה בהיקף הגג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בגובה אחיד המסתיר את קו השיפוע הישן</t>
    </r>
    <r>
      <rPr>
        <sz val="11"/>
        <color theme="1"/>
        <rFont val="Calibri"/>
        <family val="2"/>
        <charset val="1"/>
      </rPr>
      <t xml:space="preserve">.</t>
    </r>
  </si>
  <si>
    <t xml:space="preserve">11.03</t>
  </si>
  <si>
    <t xml:space="preserve">איטום מלא של הגג והפרפט</t>
  </si>
  <si>
    <r>
      <rPr>
        <sz val="11"/>
        <color theme="1"/>
        <rFont val="FreeSans"/>
        <family val="2"/>
      </rPr>
      <t xml:space="preserve">מערכת איטום רציפה חדשה על כל משטח הגג כולל הרמה על הפרפט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בהנחיית יועץ 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בדיקת הצפה </t>
    </r>
    <r>
      <rPr>
        <sz val="11"/>
        <color theme="1"/>
        <rFont val="Calibri"/>
        <family val="2"/>
        <charset val="1"/>
      </rPr>
      <t xml:space="preserve">48–72 </t>
    </r>
    <r>
      <rPr>
        <sz val="11"/>
        <color theme="1"/>
        <rFont val="FreeSans"/>
        <family val="2"/>
      </rPr>
      <t xml:space="preserve">שעות</t>
    </r>
    <r>
      <rPr>
        <sz val="11"/>
        <color theme="1"/>
        <rFont val="Calibri"/>
        <family val="2"/>
        <charset val="1"/>
      </rPr>
      <t xml:space="preserve">.</t>
    </r>
  </si>
  <si>
    <t xml:space="preserve">11.04</t>
  </si>
  <si>
    <t xml:space="preserve">פח קופינג עליון</t>
  </si>
  <si>
    <r>
      <rPr>
        <sz val="11"/>
        <color theme="1"/>
        <rFont val="FreeSans"/>
        <family val="2"/>
      </rPr>
      <t xml:space="preserve">אספקה והתקנת פח קופינג מגולוון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אלומיניום בגוון הבית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עם שיפוע פנימי ותפרי התפשטות</t>
    </r>
    <r>
      <rPr>
        <sz val="11"/>
        <color theme="1"/>
        <rFont val="Calibri"/>
        <family val="2"/>
        <charset val="1"/>
      </rPr>
      <t xml:space="preserve">.</t>
    </r>
  </si>
  <si>
    <t xml:space="preserve">11.05</t>
  </si>
  <si>
    <t xml:space="preserve">בדיקה ושימור מערכת ניקוז קיימת</t>
  </si>
  <si>
    <r>
      <rPr>
        <sz val="11"/>
        <color theme="1"/>
        <rFont val="FreeSans"/>
        <family val="2"/>
      </rPr>
      <t xml:space="preserve">בדיקת תפקוד מערכת הניקוז הקיימת בזרימת מים מבוקרת ושימור השיפועים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</si>
  <si>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11 — </t>
    </r>
    <r>
      <rPr>
        <b val="true"/>
        <sz val="11"/>
        <rFont val="FreeSans"/>
        <family val="2"/>
      </rPr>
      <t xml:space="preserve">איטום גג ופרפט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</si>
  <si>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12 — </t>
    </r>
    <r>
      <rPr>
        <b val="true"/>
        <sz val="11"/>
        <rFont val="FreeSans"/>
        <family val="2"/>
      </rPr>
      <t xml:space="preserve">אדני חלונות וספי פתחים</t>
    </r>
  </si>
  <si>
    <t xml:space="preserve">12.01</t>
  </si>
  <si>
    <t xml:space="preserve">התקנת אדני חלונות פנימיים</t>
  </si>
  <si>
    <r>
      <rPr>
        <sz val="11"/>
        <color theme="1"/>
        <rFont val="FreeSans"/>
        <family val="2"/>
      </rPr>
      <t xml:space="preserve">התקנת אדני חלונות פנימיים מאבן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שיש או חומר אחר שאושר במפרט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מדידה סופית של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מצע התקנה וקיבוע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בגמר ישר ואחיד וללא שברים או סדקים</t>
    </r>
    <r>
      <rPr>
        <sz val="11"/>
        <color theme="1"/>
        <rFont val="Calibri"/>
        <family val="2"/>
        <charset val="1"/>
      </rPr>
      <t xml:space="preserve">.</t>
    </r>
  </si>
  <si>
    <t xml:space="preserve">12.02</t>
  </si>
  <si>
    <t xml:space="preserve">התקנת ספי חלונות חיצוניים</t>
  </si>
  <si>
    <r>
      <rPr>
        <sz val="11"/>
        <color theme="1"/>
        <rFont val="FreeSans"/>
        <family val="2"/>
      </rPr>
      <t xml:space="preserve">התקנת ספי חלונות חיצוניים מהחומר המאושר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מדידה סופית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וקיבוע בשיפוע כלפי חוץ ותיאום עם מסגרות האלומיניום ועם מערכת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</si>
  <si>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12.03</t>
  </si>
  <si>
    <t xml:space="preserve">התקנת ספי דלתות</t>
  </si>
  <si>
    <r>
      <rPr>
        <sz val="11"/>
        <color theme="1"/>
        <rFont val="FreeSans"/>
        <family val="2"/>
      </rPr>
      <t xml:space="preserve">התקנת ספי דלתות ופתחי יציאה בהתאם לפרטים המאושרים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למפלסי הריצוף ולמשקופים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מצע התקנה וקיבוע</t>
    </r>
    <r>
      <rPr>
        <sz val="11"/>
        <color theme="1"/>
        <rFont val="Calibri"/>
        <family val="2"/>
        <charset val="1"/>
      </rPr>
      <t xml:space="preserve">.</t>
    </r>
  </si>
  <si>
    <t xml:space="preserve">12.04</t>
  </si>
  <si>
    <t xml:space="preserve">איטום סביב אדנים וספים</t>
  </si>
  <si>
    <r>
      <rPr>
        <sz val="11"/>
        <color theme="1"/>
        <rFont val="FreeSans"/>
        <family val="2"/>
      </rPr>
      <t xml:space="preserve">איטום המפגשים סביב אדני החלונות וספי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ובינם לבין מסגרות האלומיניום והמעטפת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מערכת וחומר גמיש 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בדיקת מים בספי החוץ בהתאם למפרט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עבודה זו לא תיכלל פעם נוספת בסעיפי התקנת הספים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</si>
  <si>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12 — </t>
    </r>
    <r>
      <rPr>
        <b val="true"/>
        <sz val="11"/>
        <rFont val="FreeSans"/>
        <family val="2"/>
      </rPr>
      <t xml:space="preserve">אדני חלונות וספי פתחים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</si>
  <si>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13 — </t>
    </r>
    <r>
      <rPr>
        <b val="true"/>
        <sz val="11"/>
        <rFont val="FreeSans"/>
        <family val="2"/>
      </rPr>
      <t xml:space="preserve">ריצופים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חיפויים ופנלים</t>
    </r>
  </si>
  <si>
    <t xml:space="preserve">13.01</t>
  </si>
  <si>
    <r>
      <rPr>
        <sz val="11"/>
        <color theme="1"/>
        <rFont val="FreeSans"/>
        <family val="2"/>
      </rPr>
      <t xml:space="preserve">ריצוף פנים באריחים </t>
    </r>
    <r>
      <rPr>
        <sz val="11"/>
        <color theme="1"/>
        <rFont val="Calibri"/>
        <family val="2"/>
        <charset val="1"/>
      </rPr>
      <t xml:space="preserve">120×120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רצפות מקלחות</t>
    </r>
  </si>
  <si>
    <r>
      <rPr>
        <sz val="11"/>
        <color theme="1"/>
        <rFont val="FreeSans"/>
        <family val="2"/>
      </rPr>
      <t xml:space="preserve">הנחת אריחי </t>
    </r>
    <r>
      <rPr>
        <sz val="11"/>
        <color theme="1"/>
        <rFont val="Calibri"/>
        <family val="2"/>
        <charset val="1"/>
      </rPr>
      <t xml:space="preserve">120×120 </t>
    </r>
    <r>
      <rPr>
        <sz val="11"/>
        <color theme="1"/>
        <rFont val="FreeSans"/>
        <family val="2"/>
      </rPr>
      <t xml:space="preserve">ס״מ בשטחי הפנים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רצפות המקלחות </t>
    </r>
    <r>
      <rPr>
        <sz val="11"/>
        <color theme="1"/>
        <rFont val="Calibri"/>
        <family val="2"/>
        <charset val="1"/>
      </rPr>
      <t xml:space="preserve">(28.90 </t>
    </r>
    <r>
      <rPr>
        <sz val="11"/>
        <color theme="1"/>
        <rFont val="FreeSans"/>
        <family val="2"/>
      </rPr>
      <t xml:space="preserve">מ״ר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לאחר אישור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הדבקה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שיפועים לניקוזים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</si>
  <si>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13.02</t>
  </si>
  <si>
    <r>
      <rPr>
        <sz val="11"/>
        <color theme="1"/>
        <rFont val="FreeSans"/>
        <family val="2"/>
      </rPr>
      <t xml:space="preserve">ריצוף פנים במרתף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</si>
  <si>
    <r>
      <rPr>
        <sz val="11"/>
        <color theme="1"/>
        <rFont val="FreeSans"/>
        <family val="2"/>
      </rPr>
      <t xml:space="preserve">הנחת אריחי ריצוף במידות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 בשטחי הפנים של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רצפות המקלחות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תשתית ההתקנה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התאמות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</si>
  <si>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13.03</t>
  </si>
  <si>
    <r>
      <rPr>
        <sz val="11"/>
        <color theme="1"/>
        <rFont val="FreeSans"/>
        <family val="2"/>
      </rPr>
      <t xml:space="preserve">חיפוי קירות מקלחות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</si>
  <si>
    <r>
      <rPr>
        <sz val="11"/>
        <color theme="1"/>
        <rFont val="FreeSans"/>
        <family val="2"/>
      </rPr>
      <t xml:space="preserve">חיפוי קירות המקלחות באריחים במידות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אישור מערכת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הדבקה בחומר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 סביב אביזרים ופתחים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 גמר לפי התוכנית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</si>
  <si>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13.04</t>
  </si>
  <si>
    <t xml:space="preserve">התקנת פנלים</t>
  </si>
  <si>
    <r>
      <rPr>
        <sz val="11"/>
        <color theme="1"/>
        <rFont val="FreeSans"/>
        <family val="2"/>
      </rPr>
      <t xml:space="preserve">חיתוך והתקנת פנלים מאריחי הגמר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בגובה ובהתאם לפרט המאושר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הדבקה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התאמות בפינות ובפתחים ומילוי המישקים</t>
    </r>
    <r>
      <rPr>
        <sz val="11"/>
        <color theme="1"/>
        <rFont val="Calibri"/>
        <family val="2"/>
        <charset val="1"/>
      </rPr>
      <t xml:space="preserve">.</t>
    </r>
  </si>
  <si>
    <t xml:space="preserve">13.05</t>
  </si>
  <si>
    <r>
      <rPr>
        <sz val="11"/>
        <color theme="1"/>
        <rFont val="FreeSans"/>
        <family val="2"/>
      </rPr>
      <t xml:space="preserve">ריצוף חוץ ומרפסות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R11</t>
    </r>
  </si>
  <si>
    <r>
      <rPr>
        <sz val="11"/>
        <color theme="1"/>
        <rFont val="FreeSans"/>
        <family val="2"/>
      </rPr>
      <t xml:space="preserve">הנחת אריחי חוץ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 </t>
    </r>
    <r>
      <rPr>
        <sz val="11"/>
        <color theme="1"/>
        <rFont val="Calibri"/>
        <family val="2"/>
        <charset val="1"/>
      </rPr>
      <t xml:space="preserve">R11 </t>
    </r>
    <r>
      <rPr>
        <sz val="11"/>
        <color theme="1"/>
        <rFont val="FreeSans"/>
        <family val="2"/>
      </rPr>
      <t xml:space="preserve">בשטחי החוץ ובמרפסות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אישור התשתית והאיטום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למפלסים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לשיפועי ניקוז ולספי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</si>
  <si>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13.07</t>
  </si>
  <si>
    <r>
      <rPr>
        <sz val="11"/>
        <color theme="1"/>
        <rFont val="FreeSans"/>
        <family val="2"/>
      </rPr>
      <t xml:space="preserve">חיפוי מדרגות פנים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שלח ורום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</si>
  <si>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חיפוי מדרגות פנים באבן או באריחים לפי בחירה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שלח ורום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פסי החלקה ופרופילי גמר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</si>
  <si>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13 — </t>
    </r>
    <r>
      <rPr>
        <b val="true"/>
        <sz val="11"/>
        <rFont val="FreeSans"/>
        <family val="2"/>
      </rPr>
      <t xml:space="preserve">ריצופים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חיפויים ופנלים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</si>
  <si>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14 — </t>
    </r>
    <r>
      <rPr>
        <b val="true"/>
        <sz val="11"/>
        <rFont val="FreeSans"/>
        <family val="2"/>
      </rPr>
      <t xml:space="preserve">טיח וגמר צבעוני חוץ</t>
    </r>
  </si>
  <si>
    <t xml:space="preserve">14.01</t>
  </si>
  <si>
    <t xml:space="preserve">הכנת תשתית וטיח צבעוני לחזיתות הבית</t>
  </si>
  <si>
    <r>
      <rPr>
        <sz val="11"/>
        <color theme="1"/>
        <rFont val="FreeSans"/>
        <family val="2"/>
      </rPr>
      <t xml:space="preserve">הכנה ותיקון תשתית החזית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כולל יישור אזורי המסגרות שפורקו ורשת במעברי חומרים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ויישום מערכת גמר צבעונית בגוון ובמרקם המאושרים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עם גבולות ישרים במפגש עם אזורי חיפוי</t>
    </r>
    <r>
      <rPr>
        <sz val="11"/>
        <color theme="1"/>
        <rFont val="Calibri"/>
        <family val="2"/>
        <charset val="1"/>
      </rPr>
      <t xml:space="preserve">.</t>
    </r>
  </si>
  <si>
    <t xml:space="preserve">14.02</t>
  </si>
  <si>
    <t xml:space="preserve">טיח וגמר צבעוני לפרפט הגג</t>
  </si>
  <si>
    <r>
      <rPr>
        <sz val="11"/>
        <color theme="1"/>
        <rFont val="FreeSans"/>
        <family val="2"/>
      </rPr>
      <t xml:space="preserve">ביצוע הכנת תשתית וגמר צבעוני לפרפט הגג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בהתאמה לגוון ולמרקם החזיתות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טיפול בפינות ובמעברי חומרים</t>
    </r>
    <r>
      <rPr>
        <sz val="11"/>
        <color theme="1"/>
        <rFont val="Calibri"/>
        <family val="2"/>
        <charset val="1"/>
      </rPr>
      <t xml:space="preserve">.</t>
    </r>
  </si>
  <si>
    <t xml:space="preserve">14.03</t>
  </si>
  <si>
    <t xml:space="preserve">דוגמת גוון ומרקם לאישור</t>
  </si>
  <si>
    <r>
      <rPr>
        <sz val="11"/>
        <color theme="1"/>
        <rFont val="FreeSans"/>
        <family val="2"/>
      </rPr>
      <t xml:space="preserve">ביצוע דוגמת גמר באתר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המייצגת את החומר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הגוון והמרקם המוצעים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וקבלת אישור המזמין והמתכננת בכתב לפני יישום הגמר על החזיתות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</si>
  <si>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14 — </t>
    </r>
    <r>
      <rPr>
        <b val="true"/>
        <sz val="11"/>
        <rFont val="FreeSans"/>
        <family val="2"/>
      </rPr>
      <t xml:space="preserve">טיח וגמר צבעוני חוץ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</si>
  <si>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15 — </t>
    </r>
    <r>
      <rPr>
        <b val="true"/>
        <sz val="11"/>
        <rFont val="FreeSans"/>
        <family val="2"/>
      </rPr>
      <t xml:space="preserve">תיקוני טיח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שפכטל וצבע פנים</t>
    </r>
  </si>
  <si>
    <t xml:space="preserve">15.01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</si>
  <si>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מרתף</t>
    </r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</si>
  <si>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בשלוש ידיים וצביעה מחדש של קירות ותקרות פנים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עד לאישור המעצבת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הכנות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הגנות וניקיון</t>
    </r>
    <r>
      <rPr>
        <sz val="11"/>
        <color theme="1"/>
        <rFont val="Calibri"/>
        <family val="2"/>
        <charset val="1"/>
      </rPr>
      <t xml:space="preserve">.</t>
    </r>
  </si>
  <si>
    <t xml:space="preserve">15.02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</si>
  <si>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קרקע</t>
    </r>
  </si>
  <si>
    <t xml:space="preserve">15.03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</si>
  <si>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קומה א׳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</si>
  <si>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15 — </t>
    </r>
    <r>
      <rPr>
        <b val="true"/>
        <sz val="11"/>
        <rFont val="FreeSans"/>
        <family val="2"/>
      </rPr>
      <t xml:space="preserve">תיקוני טיח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שפכטל וצבע פנים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</si>
  <si>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17 — </t>
    </r>
    <r>
      <rPr>
        <b val="true"/>
        <sz val="11"/>
        <rFont val="FreeSans"/>
        <family val="2"/>
      </rPr>
      <t xml:space="preserve">פיתוח חוץ</t>
    </r>
  </si>
  <si>
    <t xml:space="preserve">17.01</t>
  </si>
  <si>
    <t xml:space="preserve">עבודות עפר ופילוס שטחי הפיתוח</t>
  </si>
  <si>
    <r>
      <rPr>
        <sz val="11"/>
        <color theme="1"/>
        <rFont val="FreeSans"/>
        <family val="2"/>
      </rPr>
      <t xml:space="preserve">ביצוע עבודות העפר והפילוס לשטחי הפיתוח בהתאם לתוכנית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עיצוב מפלסים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תיחום והידוק הקרקע להשגת תשתית יציבה</t>
    </r>
    <r>
      <rPr>
        <sz val="11"/>
        <color theme="1"/>
        <rFont val="Calibri"/>
        <family val="2"/>
        <charset val="1"/>
      </rPr>
      <t xml:space="preserve">.</t>
    </r>
  </si>
  <si>
    <t xml:space="preserve">17.02</t>
  </si>
  <si>
    <t xml:space="preserve">מערכת ניקוז מי נגר</t>
  </si>
  <si>
    <r>
      <rPr>
        <sz val="11"/>
        <color theme="1"/>
        <rFont val="FreeSans"/>
        <family val="2"/>
      </rPr>
      <t xml:space="preserve">ביצוע מערכת ניקוז מי נגר בשטחי הפיתוח בהתאם לתכנון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הניקוז והחיבורים המוגדרים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למפלסים ולשיפועים ובדיקת זרימה המוודאת הרחקת מים מהמבנה</t>
    </r>
    <r>
      <rPr>
        <sz val="11"/>
        <color theme="1"/>
        <rFont val="Calibri"/>
        <family val="2"/>
        <charset val="1"/>
      </rPr>
      <t xml:space="preserve">.</t>
    </r>
  </si>
  <si>
    <t xml:space="preserve">17.04</t>
  </si>
  <si>
    <r>
      <rPr>
        <sz val="11"/>
        <color theme="1"/>
        <rFont val="FreeSans"/>
        <family val="2"/>
      </rPr>
      <t xml:space="preserve">גינון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מערכת השקיה אוטומטית וברזי גינה</t>
    </r>
  </si>
  <si>
    <r>
      <rPr>
        <sz val="11"/>
        <color theme="1"/>
        <rFont val="FreeSans"/>
        <family val="2"/>
      </rPr>
      <t xml:space="preserve">עבודות גינון בשטחים המיועדים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מערכת השקיה אוטומטית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טפטוף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המטרה ובקר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וחיבור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FreeSans"/>
        <family val="2"/>
      </rPr>
      <t xml:space="preserve">ברזי גינה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בדיקת 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סוגי הצמחייה טעונים השלמה</t>
    </r>
    <r>
      <rPr>
        <sz val="11"/>
        <color theme="1"/>
        <rFont val="Calibri"/>
        <family val="2"/>
        <charset val="1"/>
      </rPr>
      <t xml:space="preserve">.</t>
    </r>
  </si>
  <si>
    <t xml:space="preserve">17.05</t>
  </si>
  <si>
    <t xml:space="preserve">תאורת גן כולל חיבור חשמלי</t>
  </si>
  <si>
    <r>
      <rPr>
        <sz val="11"/>
        <color theme="1"/>
        <rFont val="FreeSans"/>
        <family val="2"/>
      </rPr>
      <t xml:space="preserve">התקנת גופי תאורת גן בדרגת ההגנה הנדרשת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החיבורים החשמליים למעגל מוגן ייעודי ובדיקת תקינות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גופים המתומחרים בפרק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FreeSans"/>
        <family val="2"/>
      </rPr>
      <t xml:space="preserve">לא ייכללו שוב</t>
    </r>
    <r>
      <rPr>
        <sz val="11"/>
        <color theme="1"/>
        <rFont val="Calibri"/>
        <family val="2"/>
        <charset val="1"/>
      </rPr>
      <t xml:space="preserve">.</t>
    </r>
  </si>
  <si>
    <t xml:space="preserve">17.06</t>
  </si>
  <si>
    <t xml:space="preserve">יציקת שבילי בטון</t>
  </si>
  <si>
    <r>
      <rPr>
        <sz val="11"/>
        <color theme="1"/>
        <rFont val="FreeSans"/>
        <family val="2"/>
      </rPr>
      <t xml:space="preserve">יציקת שבילי בטון בשטחי הפיתוח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חפירה ויישור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מצע מהודק מסוג א׳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תבניות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רשת זיון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מסוג ב</t>
    </r>
    <r>
      <rPr>
        <sz val="11"/>
        <color theme="1"/>
        <rFont val="Calibri"/>
        <family val="2"/>
        <charset val="1"/>
      </rPr>
      <t xml:space="preserve">-30 </t>
    </r>
    <r>
      <rPr>
        <sz val="11"/>
        <color theme="1"/>
        <rFont val="FreeSans"/>
        <family val="2"/>
      </rPr>
      <t xml:space="preserve">בעובי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גמר מוברש או מוחלק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מישקי התפשטות וריסוס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אשפרה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כל הנדרש לקונסטרוקציית השביל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</si>
  <si>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17 — </t>
    </r>
    <r>
      <rPr>
        <b val="true"/>
        <sz val="11"/>
        <rFont val="FreeSans"/>
        <family val="2"/>
      </rPr>
      <t xml:space="preserve">פיתוח חוץ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</si>
  <si>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18 — </t>
    </r>
    <r>
      <rPr>
        <b val="true"/>
        <sz val="11"/>
        <rFont val="FreeSans"/>
        <family val="2"/>
      </rPr>
      <t xml:space="preserve">תשתיות תקשורת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מיגון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אינטרקום ושמע</t>
    </r>
  </si>
  <si>
    <t xml:space="preserve">18.01</t>
  </si>
  <si>
    <r>
      <rPr>
        <sz val="11"/>
        <color theme="1"/>
        <rFont val="FreeSans"/>
        <family val="2"/>
      </rPr>
      <t xml:space="preserve">תשתית צנרת ושרוולים לתקשורת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מיגון ושמע – כל הקומות</t>
    </r>
  </si>
  <si>
    <r>
      <rPr>
        <sz val="11"/>
        <color theme="1"/>
        <rFont val="FreeSans"/>
        <family val="2"/>
      </rPr>
      <t xml:space="preserve">הנחת צנרת ושרוולים עם חוטי משיכה מכל הנקודות שיאושרו בשלוש הקומות אל לוח התקשורת המרכזי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החשמל והגבס לפני סגירת קירות ותקרות</t>
    </r>
    <r>
      <rPr>
        <sz val="11"/>
        <color theme="1"/>
        <rFont val="Calibri"/>
        <family val="2"/>
        <charset val="1"/>
      </rPr>
      <t xml:space="preserve">.</t>
    </r>
  </si>
  <si>
    <t xml:space="preserve">18.02</t>
  </si>
  <si>
    <t xml:space="preserve">מיקום ומארז ללוח תקשורת מרכזי</t>
  </si>
  <si>
    <r>
      <rPr>
        <sz val="11"/>
        <color theme="1"/>
        <rFont val="FreeSans"/>
        <family val="2"/>
      </rPr>
      <t xml:space="preserve">הסדרת מיקום והתקנת מארז ללוח תקשורת מרכזי באזור נגיש לתחזוקה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ריכוז כניסות הצנרת והכנתו לשילוב המערכות בהתאם למפרט האינטגרטור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ציוד פעיל אינו מוגדר בסעיף המקורי</t>
    </r>
    <r>
      <rPr>
        <sz val="11"/>
        <color theme="1"/>
        <rFont val="Calibri"/>
        <family val="2"/>
        <charset val="1"/>
      </rPr>
      <t xml:space="preserve">.</t>
    </r>
  </si>
  <si>
    <t xml:space="preserve">18.03</t>
  </si>
  <si>
    <t xml:space="preserve">חיבור אינטרקום השער ללוח הפנימי</t>
  </si>
  <si>
    <r>
      <rPr>
        <sz val="11"/>
        <color theme="1"/>
        <rFont val="FreeSans"/>
        <family val="2"/>
      </rPr>
      <t xml:space="preserve">ביצוע חיבור נקודת האינטרקום בשער הכניסה ללוח הפנימי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למערכת שתיבחר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החיווט והחיבורים הנדרשים ובדיקת תקשורת והפעלת השער מהנקודות המיועדות בבית</t>
    </r>
    <r>
      <rPr>
        <sz val="11"/>
        <color theme="1"/>
        <rFont val="Calibri"/>
        <family val="2"/>
        <charset val="1"/>
      </rPr>
      <t xml:space="preserve">.</t>
    </r>
  </si>
  <si>
    <t xml:space="preserve">18.04</t>
  </si>
  <si>
    <t xml:space="preserve">בדיקות רציפות לתשתיות</t>
  </si>
  <si>
    <r>
      <rPr>
        <sz val="11"/>
        <color theme="1"/>
        <rFont val="FreeSans"/>
        <family val="2"/>
      </rPr>
      <t xml:space="preserve">בדיקות רציפות לקווים שבהם הותקנה כבילה ובדיקת עבירות לצנרת ריקה עם חוט משיכה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תוצאות בדיקה ותוכנית עדות לתוואים שבוצעו</t>
    </r>
    <r>
      <rPr>
        <sz val="11"/>
        <color theme="1"/>
        <rFont val="Calibri"/>
        <family val="2"/>
        <charset val="1"/>
      </rPr>
      <t xml:space="preserve">.</t>
    </r>
  </si>
  <si>
    <t xml:space="preserve">18.05</t>
  </si>
  <si>
    <r>
      <rPr>
        <sz val="11"/>
        <color theme="1"/>
        <rFont val="FreeSans"/>
        <family val="2"/>
      </rPr>
      <t xml:space="preserve">נקודות תקשורת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טלוויזיה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טלפון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אינטרקום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אינטרנט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</si>
  <si>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נקודות קצה לתקשורת לפי מקרא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כבילה </t>
    </r>
    <r>
      <rPr>
        <sz val="11"/>
        <color theme="1"/>
        <rFont val="Calibri"/>
        <family val="2"/>
        <charset val="1"/>
      </rPr>
      <t xml:space="preserve">CAT6 </t>
    </r>
    <r>
      <rPr>
        <sz val="11"/>
        <color theme="1"/>
        <rFont val="FreeSans"/>
        <family val="2"/>
      </rPr>
      <t xml:space="preserve">לפחות עד לוח התקשורת ובדיקת רציפות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</si>
  <si>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18 — </t>
    </r>
    <r>
      <rPr>
        <b val="true"/>
        <sz val="11"/>
        <rFont val="FreeSans"/>
        <family val="2"/>
      </rPr>
      <t xml:space="preserve">תשתיות תקשורת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מיגון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אינטרקום ושמע</t>
    </r>
  </si>
  <si>
    <t xml:space="preserve">סיכום הצעת מחיר</t>
  </si>
  <si>
    <t xml:space="preserve">פרק</t>
  </si>
  <si>
    <r>
      <rPr>
        <b val="true"/>
        <sz val="11"/>
        <color rgb="FFFFFFFF"/>
        <rFont val="FreeSans"/>
        <family val="2"/>
      </rPr>
      <t xml:space="preserve">סכום </t>
    </r>
    <r>
      <rPr>
        <b val="true"/>
        <sz val="11"/>
        <color rgb="FFFFFFFF"/>
        <rFont val="Cambria"/>
        <family val="0"/>
        <charset val="1"/>
      </rPr>
      <t xml:space="preserve">(₪)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</si>
  <si>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FreeSans"/>
        <family val="2"/>
      </rPr>
      <t xml:space="preserve">הכנות והתארגנות לביצוע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</si>
  <si>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FreeSans"/>
        <family val="2"/>
      </rPr>
      <t xml:space="preserve">הריסות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פירוקים ופינוי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</si>
  <si>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FreeSans"/>
        <family val="2"/>
      </rPr>
      <t xml:space="preserve">בנייה ותוספות מבניות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</si>
  <si>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FreeSans"/>
        <family val="2"/>
      </rPr>
      <t xml:space="preserve">חלוקה חדשה בקירות בלוקים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</si>
  <si>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FreeSans"/>
        <family val="2"/>
      </rPr>
      <t xml:space="preserve">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כלים סניטריים וברזים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</si>
  <si>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חשמל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</si>
  <si>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FreeSans"/>
        <family val="2"/>
      </rPr>
      <t xml:space="preserve">תאורה ומפסקי תאורה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</si>
  <si>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FreeSans"/>
        <family val="2"/>
      </rPr>
      <t xml:space="preserve">מיזוג אוויר</t>
    </r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</si>
  <si>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FreeSans"/>
        <family val="2"/>
      </rPr>
      <t xml:space="preserve">מחיצות ותקרות גבס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</si>
  <si>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FreeSans"/>
        <family val="2"/>
      </rPr>
      <t xml:space="preserve">איטום פנים</t>
    </r>
  </si>
  <si>
    <r>
      <rPr>
        <sz val="11"/>
        <color theme="1"/>
        <rFont val="Calibri"/>
        <family val="2"/>
        <charset val="1"/>
      </rPr>
      <t xml:space="preserve">11. </t>
    </r>
    <r>
      <rPr>
        <sz val="11"/>
        <color theme="1"/>
        <rFont val="FreeSans"/>
        <family val="2"/>
      </rPr>
      <t xml:space="preserve">איטום גג ופרפט</t>
    </r>
  </si>
  <si>
    <r>
      <rPr>
        <sz val="11"/>
        <color theme="1"/>
        <rFont val="Calibri"/>
        <family val="2"/>
        <charset val="1"/>
      </rPr>
      <t xml:space="preserve">12. </t>
    </r>
    <r>
      <rPr>
        <sz val="11"/>
        <color theme="1"/>
        <rFont val="FreeSans"/>
        <family val="2"/>
      </rPr>
      <t xml:space="preserve">אדני חלונות וספי פתחים</t>
    </r>
  </si>
  <si>
    <r>
      <rPr>
        <sz val="11"/>
        <color theme="1"/>
        <rFont val="Calibri"/>
        <family val="2"/>
        <charset val="1"/>
      </rPr>
      <t xml:space="preserve">13. </t>
    </r>
    <r>
      <rPr>
        <sz val="11"/>
        <color theme="1"/>
        <rFont val="FreeSans"/>
        <family val="2"/>
      </rPr>
      <t xml:space="preserve">ריצופים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חיפויים ופנלים</t>
    </r>
  </si>
  <si>
    <r>
      <rPr>
        <sz val="11"/>
        <color theme="1"/>
        <rFont val="Calibri"/>
        <family val="2"/>
        <charset val="1"/>
      </rPr>
      <t xml:space="preserve">14. </t>
    </r>
    <r>
      <rPr>
        <sz val="11"/>
        <color theme="1"/>
        <rFont val="FreeSans"/>
        <family val="2"/>
      </rPr>
      <t xml:space="preserve">טיח וגמר צבעוני חוץ</t>
    </r>
  </si>
  <si>
    <r>
      <rPr>
        <sz val="11"/>
        <color theme="1"/>
        <rFont val="Calibri"/>
        <family val="2"/>
        <charset val="1"/>
      </rPr>
      <t xml:space="preserve">15. </t>
    </r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</t>
    </r>
  </si>
  <si>
    <r>
      <rPr>
        <sz val="11"/>
        <color theme="1"/>
        <rFont val="Calibri"/>
        <family val="2"/>
        <charset val="1"/>
      </rPr>
      <t xml:space="preserve">17. </t>
    </r>
    <r>
      <rPr>
        <sz val="11"/>
        <color theme="1"/>
        <rFont val="FreeSans"/>
        <family val="2"/>
      </rPr>
      <t xml:space="preserve">פיתוח חוץ</t>
    </r>
  </si>
  <si>
    <r>
      <rPr>
        <sz val="11"/>
        <color theme="1"/>
        <rFont val="Calibri"/>
        <family val="2"/>
        <charset val="1"/>
      </rPr>
      <t xml:space="preserve">18. </t>
    </r>
    <r>
      <rPr>
        <sz val="11"/>
        <color theme="1"/>
        <rFont val="FreeSans"/>
        <family val="2"/>
      </rPr>
      <t xml:space="preserve">תשתיות תקשורת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אינטרקום ושמע</t>
    </r>
  </si>
  <si>
    <t xml:space="preserve">סה״כ לפני הנחה</t>
  </si>
  <si>
    <t xml:space="preserve">הנחה</t>
  </si>
  <si>
    <r>
      <rPr>
        <b val="true"/>
        <sz val="11"/>
        <rFont val="FreeSans"/>
        <family val="2"/>
      </rPr>
      <t xml:space="preserve">סה״כ לאחר הנחה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לפני מע״מ</t>
    </r>
  </si>
  <si>
    <t xml:space="preserve">מע״מ</t>
  </si>
  <si>
    <t xml:space="preserve">סה״כ כולל מע״מ</t>
  </si>
  <si>
    <t xml:space="preserve">#</t>
  </si>
  <si>
    <t xml:space="preserve">סוג</t>
  </si>
  <si>
    <t xml:space="preserve">הערה</t>
  </si>
  <si>
    <t xml:space="preserve">בסיס</t>
  </si>
  <si>
    <r>
      <rPr>
        <sz val="11"/>
        <color theme="1"/>
        <rFont val="FreeSans"/>
        <family val="2"/>
      </rPr>
      <t xml:space="preserve">ההצעה מבוססת על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ספר מפרט טכני מהדורה </t>
    </r>
    <r>
      <rPr>
        <sz val="11"/>
        <color theme="1"/>
        <rFont val="Calibri"/>
        <family val="2"/>
        <charset val="1"/>
      </rPr>
      <t xml:space="preserve">20 (06/07/2026); </t>
    </r>
    <r>
      <rPr>
        <sz val="11"/>
        <color theme="1"/>
        <rFont val="FreeSans"/>
        <family val="2"/>
      </rPr>
      <t xml:space="preserve">תוכניות אדריכלות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בנייה חדשה</t>
    </r>
    <r>
      <rPr>
        <sz val="11"/>
        <color theme="1"/>
        <rFont val="Calibri"/>
        <family val="2"/>
        <charset val="1"/>
      </rPr>
      <t xml:space="preserve">" – </t>
    </r>
    <r>
      <rPr>
        <sz val="11"/>
        <color theme="1"/>
        <rFont val="FreeSans"/>
        <family val="2"/>
      </rPr>
      <t xml:space="preserve">קרקע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גיליון </t>
    </r>
    <r>
      <rPr>
        <sz val="11"/>
        <color theme="1"/>
        <rFont val="Calibri"/>
        <family val="2"/>
        <charset val="1"/>
      </rPr>
      <t xml:space="preserve">13) </t>
    </r>
    <r>
      <rPr>
        <sz val="11"/>
        <color theme="1"/>
        <rFont val="FreeSans"/>
        <family val="2"/>
      </rPr>
      <t xml:space="preserve">וקומה א׳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גיליון </t>
    </r>
    <r>
      <rPr>
        <sz val="11"/>
        <color theme="1"/>
        <rFont val="Calibri"/>
        <family val="2"/>
        <charset val="1"/>
      </rPr>
      <t xml:space="preserve">23)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-17/09/2026; </t>
    </r>
    <r>
      <rPr>
        <sz val="11"/>
        <color theme="1"/>
        <rFont val="FreeSans"/>
        <family val="2"/>
      </rPr>
      <t xml:space="preserve">כתב הכמויות לקבלן מ</t>
    </r>
    <r>
      <rPr>
        <sz val="11"/>
        <color theme="1"/>
        <rFont val="Calibri"/>
        <family val="2"/>
        <charset val="1"/>
      </rPr>
      <t xml:space="preserve">-24/09/2026; </t>
    </r>
    <r>
      <rPr>
        <sz val="11"/>
        <color theme="1"/>
        <rFont val="FreeSans"/>
        <family val="2"/>
      </rPr>
      <t xml:space="preserve">וכתב הכמויות של המזמין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בכל מקום שבו המסמכים סותרים נלקח כתב הכמויות מ</t>
    </r>
    <r>
      <rPr>
        <sz val="11"/>
        <color theme="1"/>
        <rFont val="Calibri"/>
        <family val="2"/>
        <charset val="1"/>
      </rPr>
      <t xml:space="preserve">-24/09/2026.</t>
    </r>
  </si>
  <si>
    <t xml:space="preserve">כמויות</t>
  </si>
  <si>
    <r>
      <rPr>
        <sz val="11"/>
        <color theme="1"/>
        <rFont val="FreeSans"/>
        <family val="2"/>
      </rPr>
      <t xml:space="preserve">סעיפים המסומנים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זמנית – תימדד בפועל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אינם כוללים כמות במסמכים שהתקבלו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מיזוג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מפסקים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תאורת חירום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דודים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נקודות חיבור ישיר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נקודות תקשורת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גג ופרפט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פיגומים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הם מתומחרים לפי כמות משוערת ויימדדו בפועל</t>
    </r>
    <r>
      <rPr>
        <sz val="11"/>
        <color theme="1"/>
        <rFont val="Calibri"/>
        <family val="2"/>
        <charset val="1"/>
      </rPr>
      <t xml:space="preserve">.</t>
    </r>
  </si>
  <si>
    <t xml:space="preserve">שלד</t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</si>
  <si>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3 (</t>
    </r>
    <r>
      <rPr>
        <sz val="11"/>
        <color theme="1"/>
        <rFont val="FreeSans"/>
        <family val="2"/>
      </rPr>
      <t xml:space="preserve">מרפסת ופרגולה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חדר גלריה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כניסה ומדרגות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גרם המדרגות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הוא סכום זמני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תוכניות הקונסטרוקטור המלאות לא התקבלו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והמחיר יותאם עם קבלתן</t>
    </r>
    <r>
      <rPr>
        <sz val="11"/>
        <color theme="1"/>
        <rFont val="Calibri"/>
        <family val="2"/>
        <charset val="1"/>
      </rPr>
      <t xml:space="preserve">.</t>
    </r>
  </si>
  <si>
    <t xml:space="preserve">פיגום</t>
  </si>
  <si>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01.09 – </t>
    </r>
    <r>
      <rPr>
        <sz val="11"/>
        <color theme="1"/>
        <rFont val="FreeSans"/>
        <family val="2"/>
      </rPr>
      <t xml:space="preserve">פיגום חיצוני לניסור המסגרות הדקורטיביות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לפרפט ולטיח החזיתות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שכירות לכ</t>
    </r>
    <r>
      <rPr>
        <sz val="11"/>
        <color theme="1"/>
        <rFont val="Calibri"/>
        <family val="2"/>
        <charset val="1"/>
      </rPr>
      <t xml:space="preserve">-4.5 </t>
    </r>
    <r>
      <rPr>
        <sz val="11"/>
        <color theme="1"/>
        <rFont val="FreeSans"/>
        <family val="2"/>
      </rPr>
      <t xml:space="preserve">חודשים לפי לוח הזמנים</t>
    </r>
    <r>
      <rPr>
        <sz val="11"/>
        <color theme="1"/>
        <rFont val="Calibri"/>
        <family val="2"/>
        <charset val="1"/>
      </rPr>
      <t xml:space="preserve">.</t>
    </r>
  </si>
  <si>
    <t xml:space="preserve">אספקה</t>
  </si>
  <si>
    <r>
      <rPr>
        <sz val="11"/>
        <color theme="1"/>
        <rFont val="FreeSans"/>
        <family val="2"/>
      </rPr>
      <t xml:space="preserve">כלים סניטריים וברזים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גופי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יחידות מיזוג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דודים ואריחי ריצוף וחיפוי – אספקה על המזמין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והקבלן מתקין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אלומיניום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דלתות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שערים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תריסים ואדני אבן – אספקה והתקנה</t>
    </r>
    <r>
      <rPr>
        <sz val="11"/>
        <color theme="1"/>
        <rFont val="Calibri"/>
        <family val="2"/>
        <charset val="1"/>
      </rPr>
      <t xml:space="preserve">.</t>
    </r>
  </si>
  <si>
    <t xml:space="preserve">החרגות</t>
  </si>
  <si>
    <r>
      <rPr>
        <sz val="11"/>
        <color theme="1"/>
        <rFont val="FreeSans"/>
        <family val="2"/>
      </rPr>
      <t xml:space="preserve">בריכת שחייה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כל העבודות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נגרות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ארונות מטבח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רחצה והלבשה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ריהוט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אגרות והיתרים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שכר יועצים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והיטלי חברת החשמל להגדלת החיבור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</si>
  <si>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פריטים התלויים בהחלטות המזמין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תריסים חשמליים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אופציה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סוגי צמחייה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דגמים סופיים</t>
    </r>
    <r>
      <rPr>
        <sz val="11"/>
        <color theme="1"/>
        <rFont val="Calibri"/>
        <family val="2"/>
        <charset val="1"/>
      </rPr>
      <t xml:space="preserve">.</t>
    </r>
  </si>
  <si>
    <t xml:space="preserve">בדיקות</t>
  </si>
  <si>
    <r>
      <rPr>
        <sz val="11"/>
        <color theme="1"/>
        <rFont val="FreeSans"/>
        <family val="2"/>
      </rPr>
      <t xml:space="preserve">הבדיקות והאישורים הנדרשים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יועץ 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חשמלאי בודק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בדיקות הצפה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כלולים לפי המפרט</t>
    </r>
    <r>
      <rPr>
        <sz val="11"/>
        <color theme="1"/>
        <rFont val="Calibri"/>
        <family val="2"/>
        <charset val="1"/>
      </rPr>
      <t xml:space="preserve">.</t>
    </r>
  </si>
  <si>
    <t xml:space="preserve">מסחרי</t>
  </si>
  <si>
    <r>
      <rPr>
        <sz val="11"/>
        <color theme="1"/>
        <rFont val="FreeSans"/>
        <family val="2"/>
      </rPr>
      <t xml:space="preserve">תוקף ההצעה</t>
    </r>
    <r>
      <rPr>
        <sz val="11"/>
        <color theme="1"/>
        <rFont val="Calibri"/>
        <family val="2"/>
        <charset val="1"/>
      </rPr>
      <t xml:space="preserve">: [__ </t>
    </r>
    <r>
      <rPr>
        <sz val="11"/>
        <color theme="1"/>
        <rFont val="FreeSans"/>
        <family val="2"/>
      </rPr>
      <t xml:space="preserve">ימים</t>
    </r>
    <r>
      <rPr>
        <sz val="11"/>
        <color theme="1"/>
        <rFont val="Calibri"/>
        <family val="2"/>
        <charset val="1"/>
      </rPr>
      <t xml:space="preserve">]  |  </t>
    </r>
    <r>
      <rPr>
        <sz val="11"/>
        <color theme="1"/>
        <rFont val="FreeSans"/>
        <family val="2"/>
      </rPr>
      <t xml:space="preserve">תנאי תשלום</t>
    </r>
    <r>
      <rPr>
        <sz val="11"/>
        <color theme="1"/>
        <rFont val="Calibri"/>
        <family val="2"/>
        <charset val="1"/>
      </rPr>
      <t xml:space="preserve">: [__]  |  </t>
    </r>
    <r>
      <rPr>
        <sz val="11"/>
        <color theme="1"/>
        <rFont val="FreeSans"/>
        <family val="2"/>
      </rPr>
      <t xml:space="preserve">הצמדה</t>
    </r>
    <r>
      <rPr>
        <sz val="11"/>
        <color theme="1"/>
        <rFont val="Calibri"/>
        <family val="2"/>
        <charset val="1"/>
      </rPr>
      <t xml:space="preserve">: [__]</t>
    </r>
  </si>
  <si>
    <r>
      <rPr>
        <sz val="11"/>
        <color theme="1"/>
        <rFont val="FreeSans"/>
        <family val="2"/>
      </rPr>
      <t xml:space="preserve">הנחה של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FreeSans"/>
        <family val="2"/>
      </rPr>
      <t xml:space="preserve">על סך ההצעה מוצגת בגיליון הסיכום</t>
    </r>
    <r>
      <rPr>
        <sz val="11"/>
        <color theme="1"/>
        <rFont val="Calibri"/>
        <family val="2"/>
        <charset val="1"/>
      </rPr>
      <t xml:space="preserve">.</t>
    </r>
  </si>
  <si>
    <t xml:space="preserve">שלב</t>
  </si>
  <si>
    <t xml:space="preserve">התחלה</t>
  </si>
  <si>
    <t xml:space="preserve">סיום</t>
  </si>
  <si>
    <t xml:space="preserve">התקשרות והזמנות</t>
  </si>
  <si>
    <t xml:space="preserve">התארגנות ואישור להריסות</t>
  </si>
  <si>
    <t xml:space="preserve">הריסות ופירוקים</t>
  </si>
  <si>
    <t xml:space="preserve">פיגום חיצוני – הקמה ופירוק</t>
  </si>
  <si>
    <t xml:space="preserve">שלד ותוספות מבניות</t>
  </si>
  <si>
    <t xml:space="preserve">גג ופרפט</t>
  </si>
  <si>
    <r>
      <rPr>
        <sz val="11"/>
        <color theme="1"/>
        <rFont val="FreeSans"/>
        <family val="2"/>
      </rPr>
      <t xml:space="preserve">תשתיות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מיזוג ותקשורת ובדיקות</t>
    </r>
  </si>
  <si>
    <t xml:space="preserve">גבס ואיטום</t>
  </si>
  <si>
    <t xml:space="preserve">חזיתות ופיתוח</t>
  </si>
  <si>
    <r>
      <rPr>
        <sz val="11"/>
        <color theme="1"/>
        <rFont val="FreeSans"/>
        <family val="2"/>
      </rPr>
      <t xml:space="preserve">גמרי פנים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ריצוף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צבע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התקנות</t>
    </r>
    <r>
      <rPr>
        <sz val="11"/>
        <color theme="1"/>
        <rFont val="Calibri"/>
        <family val="2"/>
        <charset val="1"/>
      </rPr>
      <t xml:space="preserve">)</t>
    </r>
  </si>
  <si>
    <t xml:space="preserve">בדיקות והכנה למסירה</t>
  </si>
  <si>
    <t xml:space="preserve">מסירה</t>
  </si>
  <si>
    <r>
      <rPr>
        <sz val="11"/>
        <color theme="1"/>
        <rFont val="FreeSans"/>
        <family val="2"/>
      </rPr>
      <t xml:space="preserve">לוח זמנים מנחה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שבוע עבודה א׳–ה׳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תחילת עבודה </t>
    </r>
    <r>
      <rPr>
        <sz val="11"/>
        <color theme="1"/>
        <rFont val="Calibri"/>
        <family val="2"/>
        <charset val="1"/>
      </rPr>
      <t xml:space="preserve">01/11/2026. </t>
    </r>
    <r>
      <rPr>
        <sz val="11"/>
        <color theme="1"/>
        <rFont val="FreeSans"/>
        <family val="2"/>
      </rPr>
      <t xml:space="preserve">ללא חגים ועיכובי מזג אוויר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משך כולל כ</t>
    </r>
    <r>
      <rPr>
        <sz val="11"/>
        <color theme="1"/>
        <rFont val="Calibri"/>
        <family val="2"/>
        <charset val="1"/>
      </rPr>
      <t xml:space="preserve">-31 </t>
    </r>
    <r>
      <rPr>
        <sz val="11"/>
        <color theme="1"/>
        <rFont val="FreeSans"/>
        <family val="2"/>
      </rPr>
      <t xml:space="preserve">שבועות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</si>
</sst>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#,##0"/>
    <numFmt numFmtId="167" formatCode="0%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FreeSans"/>
      <family val="2"/>
    </font>
    <font>
      <b val="true"/>
      <sz val="14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6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1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4" t="s">
        <v>12</v>
      </c>
      <c r="B6" s="4"/>
      <c r="C6" s="4"/>
      <c r="D6" s="4"/>
      <c r="E6" s="4"/>
      <c r="F6" s="4"/>
      <c r="G6" s="4"/>
      <c r="H6" s="4"/>
      <c r="I6" s="4"/>
    </row>
    <row r="7" customFormat="false" ht="48.5" hidden="false" customHeight="false" outlineLevel="0" collapsed="false">
      <c r="A7" s="5" t="s">
        <v>13</v>
      </c>
      <c r="B7" s="6" t="s">
        <v>14</v>
      </c>
      <c r="C7" s="6" t="s">
        <v>15</v>
      </c>
      <c r="D7" s="7" t="s">
        <v>16</v>
      </c>
      <c r="E7" s="8" t="n">
        <v>1</v>
      </c>
      <c r="F7" s="7" t="s">
        <v>17</v>
      </c>
      <c r="G7" s="9" t="n">
        <v>9200</v>
      </c>
      <c r="H7" s="9" t="n">
        <f aca="false">ROUND(E7*G7,2)</f>
        <v>9200</v>
      </c>
      <c r="I7" s="6"/>
    </row>
    <row r="8" customFormat="false" ht="37.3" hidden="false" customHeight="false" outlineLevel="0" collapsed="false">
      <c r="A8" s="5" t="s">
        <v>18</v>
      </c>
      <c r="B8" s="6" t="s">
        <v>19</v>
      </c>
      <c r="C8" s="6" t="s">
        <v>20</v>
      </c>
      <c r="D8" s="7" t="s">
        <v>16</v>
      </c>
      <c r="E8" s="8" t="n">
        <v>1</v>
      </c>
      <c r="F8" s="7" t="s">
        <v>17</v>
      </c>
      <c r="G8" s="9" t="n">
        <v>4600</v>
      </c>
      <c r="H8" s="9" t="n">
        <f aca="false">ROUND(E8*G8,2)</f>
        <v>4600</v>
      </c>
      <c r="I8" s="6"/>
    </row>
    <row r="9" customFormat="false" ht="26.1" hidden="false" customHeight="false" outlineLevel="0" collapsed="false">
      <c r="A9" s="5" t="s">
        <v>21</v>
      </c>
      <c r="B9" s="6" t="s">
        <v>22</v>
      </c>
      <c r="C9" s="6" t="s">
        <v>23</v>
      </c>
      <c r="D9" s="7" t="s">
        <v>16</v>
      </c>
      <c r="E9" s="8" t="n">
        <v>1</v>
      </c>
      <c r="F9" s="7" t="s">
        <v>17</v>
      </c>
      <c r="G9" s="9" t="n">
        <v>1725</v>
      </c>
      <c r="H9" s="9" t="n">
        <f aca="false">ROUND(E9*G9,2)</f>
        <v>1725</v>
      </c>
      <c r="I9" s="6"/>
    </row>
    <row r="10" customFormat="false" ht="26.1" hidden="false" customHeight="false" outlineLevel="0" collapsed="false">
      <c r="A10" s="5" t="s">
        <v>24</v>
      </c>
      <c r="B10" s="6" t="s">
        <v>25</v>
      </c>
      <c r="C10" s="6" t="s">
        <v>26</v>
      </c>
      <c r="D10" s="7" t="s">
        <v>16</v>
      </c>
      <c r="E10" s="8" t="n">
        <v>1</v>
      </c>
      <c r="F10" s="7" t="s">
        <v>17</v>
      </c>
      <c r="G10" s="9" t="n">
        <v>3450</v>
      </c>
      <c r="H10" s="9" t="n">
        <f aca="false">ROUND(E10*G10,2)</f>
        <v>3450</v>
      </c>
      <c r="I10" s="6"/>
    </row>
    <row r="11" customFormat="false" ht="37.3" hidden="false" customHeight="false" outlineLevel="0" collapsed="false">
      <c r="A11" s="5" t="s">
        <v>27</v>
      </c>
      <c r="B11" s="6" t="s">
        <v>28</v>
      </c>
      <c r="C11" s="6" t="s">
        <v>29</v>
      </c>
      <c r="D11" s="7" t="s">
        <v>16</v>
      </c>
      <c r="E11" s="8" t="n">
        <v>1</v>
      </c>
      <c r="F11" s="7" t="s">
        <v>17</v>
      </c>
      <c r="G11" s="9" t="n">
        <v>5750</v>
      </c>
      <c r="H11" s="9" t="n">
        <f aca="false">ROUND(E11*G11,2)</f>
        <v>5750</v>
      </c>
      <c r="I11" s="6"/>
    </row>
    <row r="12" customFormat="false" ht="37.3" hidden="false" customHeight="false" outlineLevel="0" collapsed="false">
      <c r="A12" s="5" t="s">
        <v>30</v>
      </c>
      <c r="B12" s="6" t="s">
        <v>31</v>
      </c>
      <c r="C12" s="6" t="s">
        <v>32</v>
      </c>
      <c r="D12" s="7" t="s">
        <v>16</v>
      </c>
      <c r="E12" s="8" t="n">
        <v>1</v>
      </c>
      <c r="F12" s="7" t="s">
        <v>17</v>
      </c>
      <c r="G12" s="9" t="n">
        <v>3450</v>
      </c>
      <c r="H12" s="9" t="n">
        <f aca="false">ROUND(E12*G12,2)</f>
        <v>3450</v>
      </c>
      <c r="I12" s="6"/>
    </row>
    <row r="13" customFormat="false" ht="37.3" hidden="false" customHeight="false" outlineLevel="0" collapsed="false">
      <c r="A13" s="5" t="s">
        <v>33</v>
      </c>
      <c r="B13" s="6" t="s">
        <v>34</v>
      </c>
      <c r="C13" s="6" t="s">
        <v>35</v>
      </c>
      <c r="D13" s="7" t="s">
        <v>16</v>
      </c>
      <c r="E13" s="8" t="n">
        <v>1</v>
      </c>
      <c r="F13" s="7" t="s">
        <v>17</v>
      </c>
      <c r="G13" s="9" t="n">
        <v>10350</v>
      </c>
      <c r="H13" s="9" t="n">
        <f aca="false">ROUND(E13*G13,2)</f>
        <v>10350</v>
      </c>
      <c r="I13" s="6"/>
    </row>
    <row r="14" customFormat="false" ht="37.3" hidden="false" customHeight="false" outlineLevel="0" collapsed="false">
      <c r="A14" s="5" t="s">
        <v>36</v>
      </c>
      <c r="B14" s="6" t="s">
        <v>37</v>
      </c>
      <c r="C14" s="6" t="s">
        <v>38</v>
      </c>
      <c r="D14" s="7" t="s">
        <v>16</v>
      </c>
      <c r="E14" s="8" t="n">
        <v>1</v>
      </c>
      <c r="F14" s="7" t="s">
        <v>17</v>
      </c>
      <c r="G14" s="9" t="n">
        <v>10350</v>
      </c>
      <c r="H14" s="9" t="n">
        <f aca="false">ROUND(E14*G14,2)</f>
        <v>10350</v>
      </c>
      <c r="I14" s="6"/>
    </row>
    <row r="15" customFormat="false" ht="48.5" hidden="false" customHeight="false" outlineLevel="0" collapsed="false">
      <c r="A15" s="5" t="s">
        <v>39</v>
      </c>
      <c r="B15" s="6" t="s">
        <v>40</v>
      </c>
      <c r="C15" s="6" t="s">
        <v>41</v>
      </c>
      <c r="D15" s="7" t="s">
        <v>42</v>
      </c>
      <c r="E15" s="8" t="n">
        <v>225</v>
      </c>
      <c r="F15" s="7" t="s">
        <v>43</v>
      </c>
      <c r="G15" s="9" t="n">
        <v>98</v>
      </c>
      <c r="H15" s="9" t="n">
        <f aca="false">ROUND(E15*G15,2)</f>
        <v>22050</v>
      </c>
      <c r="I15" s="6" t="s">
        <v>44</v>
      </c>
    </row>
    <row r="16" customFormat="false" ht="15" hidden="false" customHeight="false" outlineLevel="0" collapsed="false">
      <c r="A16" s="10" t="s">
        <v>45</v>
      </c>
      <c r="B16" s="10"/>
      <c r="C16" s="10"/>
      <c r="D16" s="10"/>
      <c r="E16" s="10"/>
      <c r="F16" s="10"/>
      <c r="G16" s="10"/>
      <c r="H16" s="11" t="n">
        <f aca="false">SUM(H7:H15)</f>
        <v>70925</v>
      </c>
      <c r="I16" s="12"/>
    </row>
    <row r="18" customFormat="false" ht="15" hidden="false" customHeight="false" outlineLevel="0" collapsed="false">
      <c r="A18" s="4" t="s">
        <v>46</v>
      </c>
      <c r="B18" s="4"/>
      <c r="C18" s="4"/>
      <c r="D18" s="4"/>
      <c r="E18" s="4"/>
      <c r="F18" s="4"/>
      <c r="G18" s="4"/>
      <c r="H18" s="4"/>
      <c r="I18" s="4"/>
    </row>
    <row r="19" customFormat="false" ht="37.3" hidden="false" customHeight="false" outlineLevel="0" collapsed="false">
      <c r="A19" s="5" t="s">
        <v>47</v>
      </c>
      <c r="B19" s="6" t="s">
        <v>48</v>
      </c>
      <c r="C19" s="6" t="s">
        <v>49</v>
      </c>
      <c r="D19" s="7" t="s">
        <v>42</v>
      </c>
      <c r="E19" s="8" t="n">
        <v>62</v>
      </c>
      <c r="F19" s="7" t="s">
        <v>17</v>
      </c>
      <c r="G19" s="9" t="n">
        <v>138</v>
      </c>
      <c r="H19" s="9" t="n">
        <f aca="false">ROUND(E19*G19,2)</f>
        <v>8556</v>
      </c>
      <c r="I19" s="6"/>
    </row>
    <row r="20" customFormat="false" ht="37.3" hidden="false" customHeight="false" outlineLevel="0" collapsed="false">
      <c r="A20" s="5" t="s">
        <v>50</v>
      </c>
      <c r="B20" s="6" t="s">
        <v>51</v>
      </c>
      <c r="C20" s="6" t="s">
        <v>52</v>
      </c>
      <c r="D20" s="7" t="s">
        <v>42</v>
      </c>
      <c r="E20" s="8" t="n">
        <v>51</v>
      </c>
      <c r="F20" s="7" t="s">
        <v>17</v>
      </c>
      <c r="G20" s="9" t="n">
        <v>138</v>
      </c>
      <c r="H20" s="9" t="n">
        <f aca="false">ROUND(E20*G20,2)</f>
        <v>7038</v>
      </c>
      <c r="I20" s="6"/>
    </row>
    <row r="21" customFormat="false" ht="48.5" hidden="false" customHeight="false" outlineLevel="0" collapsed="false">
      <c r="A21" s="5" t="s">
        <v>53</v>
      </c>
      <c r="B21" s="6" t="s">
        <v>54</v>
      </c>
      <c r="C21" s="6" t="s">
        <v>55</v>
      </c>
      <c r="D21" s="7" t="s">
        <v>42</v>
      </c>
      <c r="E21" s="8" t="n">
        <v>85</v>
      </c>
      <c r="F21" s="7" t="s">
        <v>17</v>
      </c>
      <c r="G21" s="9" t="n">
        <v>138</v>
      </c>
      <c r="H21" s="9" t="n">
        <f aca="false">ROUND(E21*G21,2)</f>
        <v>11730</v>
      </c>
      <c r="I21" s="6"/>
    </row>
    <row r="22" customFormat="false" ht="26.1" hidden="false" customHeight="false" outlineLevel="0" collapsed="false">
      <c r="A22" s="5" t="s">
        <v>56</v>
      </c>
      <c r="B22" s="6" t="s">
        <v>57</v>
      </c>
      <c r="C22" s="6" t="s">
        <v>58</v>
      </c>
      <c r="D22" s="7" t="s">
        <v>42</v>
      </c>
      <c r="E22" s="8" t="n">
        <v>10</v>
      </c>
      <c r="F22" s="7" t="s">
        <v>17</v>
      </c>
      <c r="G22" s="9" t="n">
        <v>57</v>
      </c>
      <c r="H22" s="9" t="n">
        <f aca="false">ROUND(E22*G22,2)</f>
        <v>570</v>
      </c>
      <c r="I22" s="6"/>
    </row>
    <row r="23" customFormat="false" ht="37.3" hidden="false" customHeight="false" outlineLevel="0" collapsed="false">
      <c r="A23" s="5" t="s">
        <v>59</v>
      </c>
      <c r="B23" s="6" t="s">
        <v>60</v>
      </c>
      <c r="C23" s="6" t="s">
        <v>61</v>
      </c>
      <c r="D23" s="7" t="s">
        <v>42</v>
      </c>
      <c r="E23" s="8" t="n">
        <v>40</v>
      </c>
      <c r="F23" s="7" t="s">
        <v>17</v>
      </c>
      <c r="G23" s="9" t="n">
        <v>103</v>
      </c>
      <c r="H23" s="9" t="n">
        <f aca="false">ROUND(E23*G23,2)</f>
        <v>4120</v>
      </c>
      <c r="I23" s="6"/>
    </row>
    <row r="24" customFormat="false" ht="26.1" hidden="false" customHeight="false" outlineLevel="0" collapsed="false">
      <c r="A24" s="5" t="s">
        <v>62</v>
      </c>
      <c r="B24" s="6" t="s">
        <v>63</v>
      </c>
      <c r="C24" s="6" t="s">
        <v>64</v>
      </c>
      <c r="D24" s="7" t="s">
        <v>16</v>
      </c>
      <c r="E24" s="8" t="n">
        <v>1</v>
      </c>
      <c r="F24" s="7" t="s">
        <v>17</v>
      </c>
      <c r="G24" s="9" t="n">
        <v>2300</v>
      </c>
      <c r="H24" s="9" t="n">
        <f aca="false">ROUND(E24*G24,2)</f>
        <v>2300</v>
      </c>
      <c r="I24" s="6"/>
    </row>
    <row r="25" customFormat="false" ht="26.1" hidden="false" customHeight="false" outlineLevel="0" collapsed="false">
      <c r="A25" s="5" t="s">
        <v>65</v>
      </c>
      <c r="B25" s="6" t="s">
        <v>66</v>
      </c>
      <c r="C25" s="6" t="s">
        <v>67</v>
      </c>
      <c r="D25" s="7" t="s">
        <v>68</v>
      </c>
      <c r="E25" s="8" t="n">
        <v>1</v>
      </c>
      <c r="F25" s="7" t="s">
        <v>17</v>
      </c>
      <c r="G25" s="9" t="n">
        <v>2875</v>
      </c>
      <c r="H25" s="9" t="n">
        <f aca="false">ROUND(E25*G25,2)</f>
        <v>2875</v>
      </c>
      <c r="I25" s="6"/>
    </row>
    <row r="26" customFormat="false" ht="37.3" hidden="false" customHeight="false" outlineLevel="0" collapsed="false">
      <c r="A26" s="5" t="s">
        <v>69</v>
      </c>
      <c r="B26" s="6" t="s">
        <v>70</v>
      </c>
      <c r="C26" s="6" t="s">
        <v>71</v>
      </c>
      <c r="D26" s="7" t="s">
        <v>16</v>
      </c>
      <c r="E26" s="8" t="n">
        <v>1</v>
      </c>
      <c r="F26" s="7" t="s">
        <v>17</v>
      </c>
      <c r="G26" s="9" t="n">
        <v>6900</v>
      </c>
      <c r="H26" s="9" t="n">
        <f aca="false">ROUND(E26*G26,2)</f>
        <v>6900</v>
      </c>
      <c r="I26" s="6"/>
    </row>
    <row r="27" customFormat="false" ht="26.1" hidden="false" customHeight="false" outlineLevel="0" collapsed="false">
      <c r="A27" s="5" t="s">
        <v>72</v>
      </c>
      <c r="B27" s="6" t="s">
        <v>73</v>
      </c>
      <c r="C27" s="6" t="s">
        <v>74</v>
      </c>
      <c r="D27" s="7" t="s">
        <v>16</v>
      </c>
      <c r="E27" s="8" t="n">
        <v>1</v>
      </c>
      <c r="F27" s="7" t="s">
        <v>17</v>
      </c>
      <c r="G27" s="9" t="n">
        <v>4025</v>
      </c>
      <c r="H27" s="9" t="n">
        <f aca="false">ROUND(E27*G27,2)</f>
        <v>4025</v>
      </c>
      <c r="I27" s="6"/>
    </row>
    <row r="28" customFormat="false" ht="37.3" hidden="false" customHeight="false" outlineLevel="0" collapsed="false">
      <c r="A28" s="5" t="s">
        <v>75</v>
      </c>
      <c r="B28" s="6" t="s">
        <v>76</v>
      </c>
      <c r="C28" s="6" t="s">
        <v>77</v>
      </c>
      <c r="D28" s="7" t="s">
        <v>16</v>
      </c>
      <c r="E28" s="8" t="n">
        <v>1</v>
      </c>
      <c r="F28" s="7" t="s">
        <v>17</v>
      </c>
      <c r="G28" s="9" t="n">
        <v>9200</v>
      </c>
      <c r="H28" s="9" t="n">
        <f aca="false">ROUND(E28*G28,2)</f>
        <v>9200</v>
      </c>
      <c r="I28" s="6"/>
    </row>
    <row r="29" customFormat="false" ht="37.3" hidden="false" customHeight="false" outlineLevel="0" collapsed="false">
      <c r="A29" s="5" t="s">
        <v>78</v>
      </c>
      <c r="B29" s="6" t="s">
        <v>79</v>
      </c>
      <c r="C29" s="6" t="s">
        <v>80</v>
      </c>
      <c r="D29" s="7" t="s">
        <v>16</v>
      </c>
      <c r="E29" s="8" t="n">
        <v>1</v>
      </c>
      <c r="F29" s="7" t="s">
        <v>17</v>
      </c>
      <c r="G29" s="9" t="n">
        <v>4600</v>
      </c>
      <c r="H29" s="9" t="n">
        <f aca="false">ROUND(E29*G29,2)</f>
        <v>4600</v>
      </c>
      <c r="I29" s="6"/>
    </row>
    <row r="30" customFormat="false" ht="26.1" hidden="false" customHeight="false" outlineLevel="0" collapsed="false">
      <c r="A30" s="5" t="s">
        <v>81</v>
      </c>
      <c r="B30" s="6" t="s">
        <v>82</v>
      </c>
      <c r="C30" s="6" t="s">
        <v>83</v>
      </c>
      <c r="D30" s="7" t="s">
        <v>16</v>
      </c>
      <c r="E30" s="8" t="n">
        <v>1</v>
      </c>
      <c r="F30" s="7" t="s">
        <v>17</v>
      </c>
      <c r="G30" s="9" t="n">
        <v>3450</v>
      </c>
      <c r="H30" s="9" t="n">
        <f aca="false">ROUND(E30*G30,2)</f>
        <v>3450</v>
      </c>
      <c r="I30" s="6"/>
    </row>
    <row r="31" customFormat="false" ht="37.3" hidden="false" customHeight="false" outlineLevel="0" collapsed="false">
      <c r="A31" s="5" t="s">
        <v>84</v>
      </c>
      <c r="B31" s="6" t="s">
        <v>85</v>
      </c>
      <c r="C31" s="6" t="s">
        <v>86</v>
      </c>
      <c r="D31" s="7" t="s">
        <v>16</v>
      </c>
      <c r="E31" s="8" t="n">
        <v>1</v>
      </c>
      <c r="F31" s="7" t="s">
        <v>17</v>
      </c>
      <c r="G31" s="9" t="n">
        <v>2875</v>
      </c>
      <c r="H31" s="9" t="n">
        <f aca="false">ROUND(E31*G31,2)</f>
        <v>2875</v>
      </c>
      <c r="I31" s="6"/>
    </row>
    <row r="32" customFormat="false" ht="37.3" hidden="false" customHeight="false" outlineLevel="0" collapsed="false">
      <c r="A32" s="5" t="s">
        <v>87</v>
      </c>
      <c r="B32" s="6" t="s">
        <v>88</v>
      </c>
      <c r="C32" s="6" t="s">
        <v>89</v>
      </c>
      <c r="D32" s="7" t="s">
        <v>16</v>
      </c>
      <c r="E32" s="8" t="n">
        <v>1</v>
      </c>
      <c r="F32" s="7" t="s">
        <v>17</v>
      </c>
      <c r="G32" s="9" t="n">
        <v>2300</v>
      </c>
      <c r="H32" s="9" t="n">
        <f aca="false">ROUND(E32*G32,2)</f>
        <v>2300</v>
      </c>
      <c r="I32" s="6"/>
    </row>
    <row r="33" customFormat="false" ht="48.5" hidden="false" customHeight="false" outlineLevel="0" collapsed="false">
      <c r="A33" s="5" t="s">
        <v>90</v>
      </c>
      <c r="B33" s="6" t="s">
        <v>91</v>
      </c>
      <c r="C33" s="6" t="s">
        <v>92</v>
      </c>
      <c r="D33" s="7" t="s">
        <v>93</v>
      </c>
      <c r="E33" s="8" t="n">
        <v>45</v>
      </c>
      <c r="F33" s="7" t="s">
        <v>17</v>
      </c>
      <c r="G33" s="9" t="n">
        <v>195</v>
      </c>
      <c r="H33" s="9" t="n">
        <f aca="false">ROUND(E33*G33,2)</f>
        <v>8775</v>
      </c>
      <c r="I33" s="6"/>
    </row>
    <row r="34" customFormat="false" ht="26.1" hidden="false" customHeight="false" outlineLevel="0" collapsed="false">
      <c r="A34" s="5" t="s">
        <v>94</v>
      </c>
      <c r="B34" s="6" t="s">
        <v>95</v>
      </c>
      <c r="C34" s="6" t="s">
        <v>96</v>
      </c>
      <c r="D34" s="7" t="s">
        <v>16</v>
      </c>
      <c r="E34" s="8" t="n">
        <v>1</v>
      </c>
      <c r="F34" s="7" t="s">
        <v>17</v>
      </c>
      <c r="G34" s="9" t="n">
        <v>32200</v>
      </c>
      <c r="H34" s="9" t="n">
        <f aca="false">ROUND(E34*G34,2)</f>
        <v>32200</v>
      </c>
      <c r="I34" s="6"/>
    </row>
    <row r="35" customFormat="false" ht="26.1" hidden="false" customHeight="false" outlineLevel="0" collapsed="false">
      <c r="A35" s="5" t="s">
        <v>97</v>
      </c>
      <c r="B35" s="6" t="s">
        <v>98</v>
      </c>
      <c r="C35" s="6" t="s">
        <v>99</v>
      </c>
      <c r="D35" s="7" t="s">
        <v>16</v>
      </c>
      <c r="E35" s="8" t="n">
        <v>1</v>
      </c>
      <c r="F35" s="7" t="s">
        <v>17</v>
      </c>
      <c r="G35" s="9" t="n">
        <v>3450</v>
      </c>
      <c r="H35" s="9" t="n">
        <f aca="false">ROUND(E35*G35,2)</f>
        <v>3450</v>
      </c>
      <c r="I35" s="6"/>
    </row>
    <row r="36" customFormat="false" ht="26.1" hidden="false" customHeight="false" outlineLevel="0" collapsed="false">
      <c r="A36" s="5" t="s">
        <v>100</v>
      </c>
      <c r="B36" s="6" t="s">
        <v>101</v>
      </c>
      <c r="C36" s="6" t="s">
        <v>102</v>
      </c>
      <c r="D36" s="7" t="s">
        <v>16</v>
      </c>
      <c r="E36" s="8" t="n">
        <v>1</v>
      </c>
      <c r="F36" s="7" t="s">
        <v>17</v>
      </c>
      <c r="G36" s="9" t="n">
        <v>5175</v>
      </c>
      <c r="H36" s="9" t="n">
        <f aca="false">ROUND(E36*G36,2)</f>
        <v>5175</v>
      </c>
      <c r="I36" s="6"/>
    </row>
    <row r="37" customFormat="false" ht="37.3" hidden="false" customHeight="false" outlineLevel="0" collapsed="false">
      <c r="A37" s="5" t="s">
        <v>103</v>
      </c>
      <c r="B37" s="6" t="s">
        <v>104</v>
      </c>
      <c r="C37" s="6" t="s">
        <v>105</v>
      </c>
      <c r="D37" s="7" t="s">
        <v>16</v>
      </c>
      <c r="E37" s="8" t="n">
        <v>1</v>
      </c>
      <c r="F37" s="7" t="s">
        <v>17</v>
      </c>
      <c r="G37" s="9" t="n">
        <v>3450</v>
      </c>
      <c r="H37" s="9" t="n">
        <f aca="false">ROUND(E37*G37,2)</f>
        <v>3450</v>
      </c>
      <c r="I37" s="6"/>
    </row>
    <row r="38" customFormat="false" ht="26.1" hidden="false" customHeight="false" outlineLevel="0" collapsed="false">
      <c r="A38" s="5" t="s">
        <v>106</v>
      </c>
      <c r="B38" s="6" t="s">
        <v>107</v>
      </c>
      <c r="C38" s="6" t="s">
        <v>108</v>
      </c>
      <c r="D38" s="7" t="s">
        <v>42</v>
      </c>
      <c r="E38" s="8" t="n">
        <v>100</v>
      </c>
      <c r="F38" s="7" t="s">
        <v>17</v>
      </c>
      <c r="G38" s="9" t="n">
        <v>115</v>
      </c>
      <c r="H38" s="9" t="n">
        <f aca="false">ROUND(E38*G38,2)</f>
        <v>11500</v>
      </c>
      <c r="I38" s="6"/>
    </row>
    <row r="39" customFormat="false" ht="26.1" hidden="false" customHeight="false" outlineLevel="0" collapsed="false">
      <c r="A39" s="5" t="s">
        <v>109</v>
      </c>
      <c r="B39" s="6" t="s">
        <v>110</v>
      </c>
      <c r="C39" s="6" t="s">
        <v>111</v>
      </c>
      <c r="D39" s="7" t="s">
        <v>42</v>
      </c>
      <c r="E39" s="8" t="n">
        <v>65</v>
      </c>
      <c r="F39" s="7" t="s">
        <v>43</v>
      </c>
      <c r="G39" s="9" t="n">
        <v>40</v>
      </c>
      <c r="H39" s="9" t="n">
        <f aca="false">ROUND(E39*G39,2)</f>
        <v>2600</v>
      </c>
      <c r="I39" s="6"/>
    </row>
    <row r="40" customFormat="false" ht="15" hidden="false" customHeight="false" outlineLevel="0" collapsed="false">
      <c r="A40" s="10" t="s">
        <v>112</v>
      </c>
      <c r="B40" s="10"/>
      <c r="C40" s="10"/>
      <c r="D40" s="10"/>
      <c r="E40" s="10"/>
      <c r="F40" s="10"/>
      <c r="G40" s="10"/>
      <c r="H40" s="11" t="n">
        <f aca="false">SUM(H19:H39)</f>
        <v>137689</v>
      </c>
      <c r="I40" s="12"/>
    </row>
    <row r="42" customFormat="false" ht="15" hidden="false" customHeight="false" outlineLevel="0" collapsed="false">
      <c r="A42" s="4" t="s">
        <v>113</v>
      </c>
      <c r="B42" s="4"/>
      <c r="C42" s="4"/>
      <c r="D42" s="4"/>
      <c r="E42" s="4"/>
      <c r="F42" s="4"/>
      <c r="G42" s="4"/>
      <c r="H42" s="4"/>
      <c r="I42" s="4"/>
    </row>
    <row r="43" customFormat="false" ht="73.1" hidden="false" customHeight="false" outlineLevel="0" collapsed="false">
      <c r="A43" s="5" t="s">
        <v>114</v>
      </c>
      <c r="B43" s="6" t="s">
        <v>115</v>
      </c>
      <c r="C43" s="6" t="s">
        <v>116</v>
      </c>
      <c r="D43" s="7" t="s">
        <v>16</v>
      </c>
      <c r="E43" s="8" t="n">
        <v>1</v>
      </c>
      <c r="F43" s="7" t="s">
        <v>117</v>
      </c>
      <c r="G43" s="9" t="n">
        <v>80500</v>
      </c>
      <c r="H43" s="9" t="n">
        <f aca="false">ROUND(E43*G43,2)</f>
        <v>80500</v>
      </c>
      <c r="I43" s="6" t="s">
        <v>118</v>
      </c>
    </row>
    <row r="44" customFormat="false" ht="59.7" hidden="false" customHeight="false" outlineLevel="0" collapsed="false">
      <c r="A44" s="5" t="s">
        <v>119</v>
      </c>
      <c r="B44" s="6" t="s">
        <v>120</v>
      </c>
      <c r="C44" s="6" t="s">
        <v>121</v>
      </c>
      <c r="D44" s="7" t="s">
        <v>16</v>
      </c>
      <c r="E44" s="8" t="n">
        <v>1</v>
      </c>
      <c r="F44" s="7" t="s">
        <v>117</v>
      </c>
      <c r="G44" s="9" t="n">
        <v>138000</v>
      </c>
      <c r="H44" s="9" t="n">
        <f aca="false">ROUND(E44*G44,2)</f>
        <v>138000</v>
      </c>
      <c r="I44" s="6" t="s">
        <v>118</v>
      </c>
    </row>
    <row r="45" customFormat="false" ht="48.5" hidden="false" customHeight="false" outlineLevel="0" collapsed="false">
      <c r="A45" s="5" t="s">
        <v>122</v>
      </c>
      <c r="B45" s="6" t="s">
        <v>123</v>
      </c>
      <c r="C45" s="6" t="s">
        <v>124</v>
      </c>
      <c r="D45" s="7" t="s">
        <v>16</v>
      </c>
      <c r="E45" s="8" t="n">
        <v>1</v>
      </c>
      <c r="F45" s="7" t="s">
        <v>117</v>
      </c>
      <c r="G45" s="9" t="n">
        <v>43700</v>
      </c>
      <c r="H45" s="9" t="n">
        <f aca="false">ROUND(E45*G45,2)</f>
        <v>43700</v>
      </c>
      <c r="I45" s="6" t="s">
        <v>118</v>
      </c>
    </row>
    <row r="46" customFormat="false" ht="37.3" hidden="false" customHeight="false" outlineLevel="0" collapsed="false">
      <c r="A46" s="5" t="s">
        <v>125</v>
      </c>
      <c r="B46" s="6" t="s">
        <v>126</v>
      </c>
      <c r="C46" s="6" t="s">
        <v>127</v>
      </c>
      <c r="D46" s="7" t="s">
        <v>16</v>
      </c>
      <c r="E46" s="8" t="n">
        <v>1</v>
      </c>
      <c r="F46" s="7" t="s">
        <v>117</v>
      </c>
      <c r="G46" s="9" t="n">
        <v>20700</v>
      </c>
      <c r="H46" s="9" t="n">
        <f aca="false">ROUND(E46*G46,2)</f>
        <v>20700</v>
      </c>
      <c r="I46" s="6" t="s">
        <v>118</v>
      </c>
    </row>
    <row r="47" customFormat="false" ht="15" hidden="false" customHeight="false" outlineLevel="0" collapsed="false">
      <c r="A47" s="10" t="s">
        <v>128</v>
      </c>
      <c r="B47" s="10"/>
      <c r="C47" s="10"/>
      <c r="D47" s="10"/>
      <c r="E47" s="10"/>
      <c r="F47" s="10"/>
      <c r="G47" s="10"/>
      <c r="H47" s="11" t="n">
        <f aca="false">SUM(H43:H46)</f>
        <v>282900</v>
      </c>
      <c r="I47" s="12"/>
    </row>
    <row r="49" customFormat="false" ht="15" hidden="false" customHeight="false" outlineLevel="0" collapsed="false">
      <c r="A49" s="4" t="s">
        <v>129</v>
      </c>
      <c r="B49" s="4"/>
      <c r="C49" s="4"/>
      <c r="D49" s="4"/>
      <c r="E49" s="4"/>
      <c r="F49" s="4"/>
      <c r="G49" s="4"/>
      <c r="H49" s="4"/>
      <c r="I49" s="4"/>
    </row>
    <row r="50" customFormat="false" ht="48.5" hidden="false" customHeight="false" outlineLevel="0" collapsed="false">
      <c r="A50" s="5" t="s">
        <v>130</v>
      </c>
      <c r="B50" s="6" t="s">
        <v>131</v>
      </c>
      <c r="C50" s="6" t="s">
        <v>132</v>
      </c>
      <c r="D50" s="7" t="s">
        <v>42</v>
      </c>
      <c r="E50" s="8" t="n">
        <v>6.3</v>
      </c>
      <c r="F50" s="7" t="s">
        <v>17</v>
      </c>
      <c r="G50" s="9" t="n">
        <v>345</v>
      </c>
      <c r="H50" s="9" t="n">
        <f aca="false">ROUND(E50*G50,2)</f>
        <v>2173.5</v>
      </c>
      <c r="I50" s="6"/>
    </row>
    <row r="51" customFormat="false" ht="48.5" hidden="false" customHeight="false" outlineLevel="0" collapsed="false">
      <c r="A51" s="5" t="s">
        <v>133</v>
      </c>
      <c r="B51" s="6" t="s">
        <v>134</v>
      </c>
      <c r="C51" s="6" t="s">
        <v>135</v>
      </c>
      <c r="D51" s="7" t="s">
        <v>42</v>
      </c>
      <c r="E51" s="8" t="n">
        <v>17.7</v>
      </c>
      <c r="F51" s="7" t="s">
        <v>17</v>
      </c>
      <c r="G51" s="9" t="n">
        <v>345</v>
      </c>
      <c r="H51" s="9" t="n">
        <f aca="false">ROUND(E51*G51,2)</f>
        <v>6106.5</v>
      </c>
      <c r="I51" s="6"/>
    </row>
    <row r="52" customFormat="false" ht="48.5" hidden="false" customHeight="false" outlineLevel="0" collapsed="false">
      <c r="A52" s="5" t="s">
        <v>136</v>
      </c>
      <c r="B52" s="6" t="s">
        <v>137</v>
      </c>
      <c r="C52" s="6" t="s">
        <v>138</v>
      </c>
      <c r="D52" s="7" t="s">
        <v>42</v>
      </c>
      <c r="E52" s="8" t="n">
        <v>2.08</v>
      </c>
      <c r="F52" s="7" t="s">
        <v>17</v>
      </c>
      <c r="G52" s="9" t="n">
        <v>345</v>
      </c>
      <c r="H52" s="9" t="n">
        <f aca="false">ROUND(E52*G52,2)</f>
        <v>717.6</v>
      </c>
      <c r="I52" s="6"/>
    </row>
    <row r="53" customFormat="false" ht="15" hidden="false" customHeight="false" outlineLevel="0" collapsed="false">
      <c r="A53" s="10" t="s">
        <v>139</v>
      </c>
      <c r="B53" s="10"/>
      <c r="C53" s="10"/>
      <c r="D53" s="10"/>
      <c r="E53" s="10"/>
      <c r="F53" s="10"/>
      <c r="G53" s="10"/>
      <c r="H53" s="11" t="n">
        <f aca="false">SUM(H50:H52)</f>
        <v>8997.6</v>
      </c>
      <c r="I53" s="12"/>
    </row>
    <row r="55" customFormat="false" ht="15" hidden="false" customHeight="false" outlineLevel="0" collapsed="false">
      <c r="A55" s="4" t="s">
        <v>140</v>
      </c>
      <c r="B55" s="4"/>
      <c r="C55" s="4"/>
      <c r="D55" s="4"/>
      <c r="E55" s="4"/>
      <c r="F55" s="4"/>
      <c r="G55" s="4"/>
      <c r="H55" s="4"/>
      <c r="I55" s="4"/>
    </row>
    <row r="56" customFormat="false" ht="37.3" hidden="false" customHeight="false" outlineLevel="0" collapsed="false">
      <c r="A56" s="5" t="s">
        <v>141</v>
      </c>
      <c r="B56" s="6" t="s">
        <v>142</v>
      </c>
      <c r="C56" s="6" t="s">
        <v>143</v>
      </c>
      <c r="D56" s="7" t="s">
        <v>68</v>
      </c>
      <c r="E56" s="8" t="n">
        <v>7</v>
      </c>
      <c r="F56" s="7" t="s">
        <v>17</v>
      </c>
      <c r="G56" s="9" t="n">
        <v>920</v>
      </c>
      <c r="H56" s="9" t="n">
        <f aca="false">ROUND(E56*G56,2)</f>
        <v>6440</v>
      </c>
      <c r="I56" s="6" t="s">
        <v>144</v>
      </c>
    </row>
    <row r="57" customFormat="false" ht="37.3" hidden="false" customHeight="false" outlineLevel="0" collapsed="false">
      <c r="A57" s="5" t="s">
        <v>145</v>
      </c>
      <c r="B57" s="6" t="s">
        <v>146</v>
      </c>
      <c r="C57" s="6" t="s">
        <v>147</v>
      </c>
      <c r="D57" s="7" t="s">
        <v>68</v>
      </c>
      <c r="E57" s="8" t="n">
        <v>7</v>
      </c>
      <c r="F57" s="7" t="s">
        <v>17</v>
      </c>
      <c r="G57" s="9" t="n">
        <v>1265</v>
      </c>
      <c r="H57" s="9" t="n">
        <f aca="false">ROUND(E57*G57,2)</f>
        <v>8855</v>
      </c>
      <c r="I57" s="6" t="s">
        <v>144</v>
      </c>
    </row>
    <row r="58" customFormat="false" ht="26.1" hidden="false" customHeight="false" outlineLevel="0" collapsed="false">
      <c r="A58" s="5" t="s">
        <v>148</v>
      </c>
      <c r="B58" s="6" t="s">
        <v>149</v>
      </c>
      <c r="C58" s="6" t="s">
        <v>150</v>
      </c>
      <c r="D58" s="7" t="s">
        <v>68</v>
      </c>
      <c r="E58" s="8" t="n">
        <v>7</v>
      </c>
      <c r="F58" s="7" t="s">
        <v>17</v>
      </c>
      <c r="G58" s="9" t="n">
        <v>172</v>
      </c>
      <c r="H58" s="9" t="n">
        <f aca="false">ROUND(E58*G58,2)</f>
        <v>1204</v>
      </c>
      <c r="I58" s="6" t="s">
        <v>144</v>
      </c>
    </row>
    <row r="59" customFormat="false" ht="26.1" hidden="false" customHeight="false" outlineLevel="0" collapsed="false">
      <c r="A59" s="5" t="s">
        <v>151</v>
      </c>
      <c r="B59" s="6" t="s">
        <v>152</v>
      </c>
      <c r="C59" s="6" t="s">
        <v>153</v>
      </c>
      <c r="D59" s="7" t="s">
        <v>68</v>
      </c>
      <c r="E59" s="8" t="n">
        <v>7</v>
      </c>
      <c r="F59" s="7" t="s">
        <v>17</v>
      </c>
      <c r="G59" s="9" t="n">
        <v>172</v>
      </c>
      <c r="H59" s="9" t="n">
        <f aca="false">ROUND(E59*G59,2)</f>
        <v>1204</v>
      </c>
      <c r="I59" s="6" t="s">
        <v>144</v>
      </c>
    </row>
    <row r="60" customFormat="false" ht="26.1" hidden="false" customHeight="false" outlineLevel="0" collapsed="false">
      <c r="A60" s="5" t="s">
        <v>154</v>
      </c>
      <c r="B60" s="6" t="s">
        <v>155</v>
      </c>
      <c r="C60" s="6" t="s">
        <v>156</v>
      </c>
      <c r="D60" s="7" t="s">
        <v>68</v>
      </c>
      <c r="E60" s="8" t="n">
        <v>1</v>
      </c>
      <c r="F60" s="7" t="s">
        <v>17</v>
      </c>
      <c r="G60" s="9" t="n">
        <v>690</v>
      </c>
      <c r="H60" s="9" t="n">
        <f aca="false">ROUND(E60*G60,2)</f>
        <v>690</v>
      </c>
      <c r="I60" s="6" t="s">
        <v>144</v>
      </c>
    </row>
    <row r="61" customFormat="false" ht="26.1" hidden="false" customHeight="false" outlineLevel="0" collapsed="false">
      <c r="A61" s="5" t="s">
        <v>157</v>
      </c>
      <c r="B61" s="6" t="s">
        <v>158</v>
      </c>
      <c r="C61" s="6" t="s">
        <v>159</v>
      </c>
      <c r="D61" s="7" t="s">
        <v>68</v>
      </c>
      <c r="E61" s="8" t="n">
        <v>6</v>
      </c>
      <c r="F61" s="7" t="s">
        <v>17</v>
      </c>
      <c r="G61" s="9" t="n">
        <v>345</v>
      </c>
      <c r="H61" s="9" t="n">
        <f aca="false">ROUND(E61*G61,2)</f>
        <v>2070</v>
      </c>
      <c r="I61" s="6" t="s">
        <v>144</v>
      </c>
    </row>
    <row r="62" customFormat="false" ht="26.1" hidden="false" customHeight="false" outlineLevel="0" collapsed="false">
      <c r="A62" s="5" t="s">
        <v>160</v>
      </c>
      <c r="B62" s="6" t="s">
        <v>161</v>
      </c>
      <c r="C62" s="6" t="s">
        <v>162</v>
      </c>
      <c r="D62" s="7" t="s">
        <v>68</v>
      </c>
      <c r="E62" s="8" t="n">
        <v>6</v>
      </c>
      <c r="F62" s="7" t="s">
        <v>17</v>
      </c>
      <c r="G62" s="9" t="n">
        <v>518</v>
      </c>
      <c r="H62" s="9" t="n">
        <f aca="false">ROUND(E62*G62,2)</f>
        <v>3108</v>
      </c>
      <c r="I62" s="6" t="s">
        <v>144</v>
      </c>
    </row>
    <row r="63" customFormat="false" ht="37.3" hidden="false" customHeight="false" outlineLevel="0" collapsed="false">
      <c r="A63" s="5" t="s">
        <v>163</v>
      </c>
      <c r="B63" s="6" t="s">
        <v>164</v>
      </c>
      <c r="C63" s="6" t="s">
        <v>165</v>
      </c>
      <c r="D63" s="7" t="s">
        <v>68</v>
      </c>
      <c r="E63" s="8" t="n">
        <v>10</v>
      </c>
      <c r="F63" s="7" t="s">
        <v>17</v>
      </c>
      <c r="G63" s="9" t="n">
        <v>518</v>
      </c>
      <c r="H63" s="9" t="n">
        <f aca="false">ROUND(E63*G63,2)</f>
        <v>5180</v>
      </c>
      <c r="I63" s="6" t="s">
        <v>144</v>
      </c>
    </row>
    <row r="64" customFormat="false" ht="37.3" hidden="false" customHeight="false" outlineLevel="0" collapsed="false">
      <c r="A64" s="5" t="s">
        <v>166</v>
      </c>
      <c r="B64" s="6" t="s">
        <v>167</v>
      </c>
      <c r="C64" s="6" t="s">
        <v>168</v>
      </c>
      <c r="D64" s="7" t="s">
        <v>68</v>
      </c>
      <c r="E64" s="8" t="n">
        <v>2</v>
      </c>
      <c r="F64" s="7" t="s">
        <v>17</v>
      </c>
      <c r="G64" s="9" t="n">
        <v>690</v>
      </c>
      <c r="H64" s="9" t="n">
        <f aca="false">ROUND(E64*G64,2)</f>
        <v>1380</v>
      </c>
      <c r="I64" s="6" t="s">
        <v>144</v>
      </c>
    </row>
    <row r="65" customFormat="false" ht="26.1" hidden="false" customHeight="false" outlineLevel="0" collapsed="false">
      <c r="A65" s="5" t="s">
        <v>169</v>
      </c>
      <c r="B65" s="6" t="s">
        <v>170</v>
      </c>
      <c r="C65" s="6" t="s">
        <v>171</v>
      </c>
      <c r="D65" s="7" t="s">
        <v>68</v>
      </c>
      <c r="E65" s="8" t="n">
        <v>7</v>
      </c>
      <c r="F65" s="7" t="s">
        <v>17</v>
      </c>
      <c r="G65" s="9" t="n">
        <v>288</v>
      </c>
      <c r="H65" s="9" t="n">
        <f aca="false">ROUND(E65*G65,2)</f>
        <v>2016</v>
      </c>
      <c r="I65" s="6" t="s">
        <v>144</v>
      </c>
    </row>
    <row r="66" customFormat="false" ht="37.3" hidden="false" customHeight="false" outlineLevel="0" collapsed="false">
      <c r="A66" s="5" t="s">
        <v>172</v>
      </c>
      <c r="B66" s="6" t="s">
        <v>173</v>
      </c>
      <c r="C66" s="6" t="s">
        <v>174</v>
      </c>
      <c r="D66" s="7" t="s">
        <v>68</v>
      </c>
      <c r="E66" s="8" t="n">
        <v>5</v>
      </c>
      <c r="F66" s="7" t="s">
        <v>17</v>
      </c>
      <c r="G66" s="9" t="n">
        <v>747</v>
      </c>
      <c r="H66" s="9" t="n">
        <f aca="false">ROUND(E66*G66,2)</f>
        <v>3735</v>
      </c>
      <c r="I66" s="6" t="s">
        <v>144</v>
      </c>
    </row>
    <row r="67" customFormat="false" ht="37.3" hidden="false" customHeight="false" outlineLevel="0" collapsed="false">
      <c r="A67" s="5" t="s">
        <v>175</v>
      </c>
      <c r="B67" s="6" t="s">
        <v>176</v>
      </c>
      <c r="C67" s="6" t="s">
        <v>177</v>
      </c>
      <c r="D67" s="7" t="s">
        <v>68</v>
      </c>
      <c r="E67" s="8" t="n">
        <v>1</v>
      </c>
      <c r="F67" s="7" t="s">
        <v>17</v>
      </c>
      <c r="G67" s="9" t="n">
        <v>1725</v>
      </c>
      <c r="H67" s="9" t="n">
        <f aca="false">ROUND(E67*G67,2)</f>
        <v>1725</v>
      </c>
      <c r="I67" s="6" t="s">
        <v>144</v>
      </c>
    </row>
    <row r="68" customFormat="false" ht="39.55" hidden="false" customHeight="false" outlineLevel="0" collapsed="false">
      <c r="A68" s="5" t="s">
        <v>178</v>
      </c>
      <c r="B68" s="6" t="s">
        <v>179</v>
      </c>
      <c r="C68" s="6" t="s">
        <v>180</v>
      </c>
      <c r="D68" s="7" t="s">
        <v>68</v>
      </c>
      <c r="E68" s="8" t="n">
        <v>1</v>
      </c>
      <c r="F68" s="7" t="s">
        <v>17</v>
      </c>
      <c r="G68" s="9" t="n">
        <v>2530</v>
      </c>
      <c r="H68" s="9" t="n">
        <f aca="false">ROUND(E68*G68,2)</f>
        <v>2530</v>
      </c>
      <c r="I68" s="6" t="s">
        <v>144</v>
      </c>
    </row>
    <row r="69" customFormat="false" ht="26.1" hidden="false" customHeight="false" outlineLevel="0" collapsed="false">
      <c r="A69" s="5" t="s">
        <v>181</v>
      </c>
      <c r="B69" s="6" t="s">
        <v>182</v>
      </c>
      <c r="C69" s="6" t="s">
        <v>183</v>
      </c>
      <c r="D69" s="7" t="s">
        <v>68</v>
      </c>
      <c r="E69" s="8" t="n">
        <v>1</v>
      </c>
      <c r="F69" s="7" t="s">
        <v>17</v>
      </c>
      <c r="G69" s="9" t="n">
        <v>1150</v>
      </c>
      <c r="H69" s="9" t="n">
        <f aca="false">ROUND(E69*G69,2)</f>
        <v>1150</v>
      </c>
      <c r="I69" s="6" t="s">
        <v>144</v>
      </c>
    </row>
    <row r="70" customFormat="false" ht="37.3" hidden="false" customHeight="false" outlineLevel="0" collapsed="false">
      <c r="A70" s="5" t="s">
        <v>184</v>
      </c>
      <c r="B70" s="6" t="s">
        <v>185</v>
      </c>
      <c r="C70" s="6" t="s">
        <v>186</v>
      </c>
      <c r="D70" s="7" t="s">
        <v>68</v>
      </c>
      <c r="E70" s="8" t="n">
        <v>3</v>
      </c>
      <c r="F70" s="7" t="s">
        <v>17</v>
      </c>
      <c r="G70" s="9" t="n">
        <v>747</v>
      </c>
      <c r="H70" s="9" t="n">
        <f aca="false">ROUND(E70*G70,2)</f>
        <v>2241</v>
      </c>
      <c r="I70" s="6" t="s">
        <v>144</v>
      </c>
    </row>
    <row r="71" customFormat="false" ht="26.1" hidden="false" customHeight="false" outlineLevel="0" collapsed="false">
      <c r="A71" s="5" t="s">
        <v>187</v>
      </c>
      <c r="B71" s="6" t="s">
        <v>188</v>
      </c>
      <c r="C71" s="6" t="s">
        <v>189</v>
      </c>
      <c r="D71" s="7" t="s">
        <v>68</v>
      </c>
      <c r="E71" s="8" t="n">
        <v>5</v>
      </c>
      <c r="F71" s="7" t="s">
        <v>17</v>
      </c>
      <c r="G71" s="9" t="n">
        <v>518</v>
      </c>
      <c r="H71" s="9" t="n">
        <f aca="false">ROUND(E71*G71,2)</f>
        <v>2590</v>
      </c>
      <c r="I71" s="6" t="s">
        <v>144</v>
      </c>
    </row>
    <row r="72" customFormat="false" ht="26.1" hidden="false" customHeight="false" outlineLevel="0" collapsed="false">
      <c r="A72" s="5" t="s">
        <v>190</v>
      </c>
      <c r="B72" s="6" t="s">
        <v>191</v>
      </c>
      <c r="C72" s="6" t="s">
        <v>192</v>
      </c>
      <c r="D72" s="7" t="s">
        <v>68</v>
      </c>
      <c r="E72" s="8" t="n">
        <v>2</v>
      </c>
      <c r="F72" s="7" t="s">
        <v>17</v>
      </c>
      <c r="G72" s="9" t="n">
        <v>747</v>
      </c>
      <c r="H72" s="9" t="n">
        <f aca="false">ROUND(E72*G72,2)</f>
        <v>1494</v>
      </c>
      <c r="I72" s="6" t="s">
        <v>144</v>
      </c>
    </row>
    <row r="73" customFormat="false" ht="26.1" hidden="false" customHeight="false" outlineLevel="0" collapsed="false">
      <c r="A73" s="5" t="s">
        <v>193</v>
      </c>
      <c r="B73" s="6" t="s">
        <v>194</v>
      </c>
      <c r="C73" s="6" t="s">
        <v>195</v>
      </c>
      <c r="D73" s="7" t="s">
        <v>68</v>
      </c>
      <c r="E73" s="8" t="n">
        <v>2</v>
      </c>
      <c r="F73" s="7" t="s">
        <v>17</v>
      </c>
      <c r="G73" s="9" t="n">
        <v>518</v>
      </c>
      <c r="H73" s="9" t="n">
        <f aca="false">ROUND(E73*G73,2)</f>
        <v>1036</v>
      </c>
      <c r="I73" s="6" t="s">
        <v>144</v>
      </c>
    </row>
    <row r="74" customFormat="false" ht="26.1" hidden="false" customHeight="false" outlineLevel="0" collapsed="false">
      <c r="A74" s="5" t="s">
        <v>196</v>
      </c>
      <c r="B74" s="6" t="s">
        <v>197</v>
      </c>
      <c r="C74" s="6" t="s">
        <v>198</v>
      </c>
      <c r="D74" s="7" t="s">
        <v>68</v>
      </c>
      <c r="E74" s="8" t="n">
        <v>1</v>
      </c>
      <c r="F74" s="7" t="s">
        <v>17</v>
      </c>
      <c r="G74" s="9" t="n">
        <v>747</v>
      </c>
      <c r="H74" s="9" t="n">
        <f aca="false">ROUND(E74*G74,2)</f>
        <v>747</v>
      </c>
      <c r="I74" s="6" t="s">
        <v>144</v>
      </c>
    </row>
    <row r="75" customFormat="false" ht="26.1" hidden="false" customHeight="false" outlineLevel="0" collapsed="false">
      <c r="A75" s="5" t="s">
        <v>199</v>
      </c>
      <c r="B75" s="6" t="s">
        <v>200</v>
      </c>
      <c r="C75" s="6" t="s">
        <v>201</v>
      </c>
      <c r="D75" s="7" t="s">
        <v>68</v>
      </c>
      <c r="E75" s="8" t="n">
        <v>11</v>
      </c>
      <c r="F75" s="7" t="s">
        <v>17</v>
      </c>
      <c r="G75" s="9" t="n">
        <v>207</v>
      </c>
      <c r="H75" s="9" t="n">
        <f aca="false">ROUND(E75*G75,2)</f>
        <v>2277</v>
      </c>
      <c r="I75" s="6" t="s">
        <v>144</v>
      </c>
    </row>
    <row r="76" customFormat="false" ht="37.3" hidden="false" customHeight="false" outlineLevel="0" collapsed="false">
      <c r="A76" s="5" t="s">
        <v>202</v>
      </c>
      <c r="B76" s="6" t="s">
        <v>203</v>
      </c>
      <c r="C76" s="6" t="s">
        <v>204</v>
      </c>
      <c r="D76" s="7" t="s">
        <v>68</v>
      </c>
      <c r="E76" s="8" t="n">
        <v>1</v>
      </c>
      <c r="F76" s="7" t="s">
        <v>17</v>
      </c>
      <c r="G76" s="9" t="n">
        <v>2070</v>
      </c>
      <c r="H76" s="9" t="n">
        <f aca="false">ROUND(E76*G76,2)</f>
        <v>2070</v>
      </c>
      <c r="I76" s="6" t="s">
        <v>144</v>
      </c>
    </row>
    <row r="77" customFormat="false" ht="37.3" hidden="false" customHeight="false" outlineLevel="0" collapsed="false">
      <c r="A77" s="5" t="s">
        <v>205</v>
      </c>
      <c r="B77" s="6" t="s">
        <v>206</v>
      </c>
      <c r="C77" s="6" t="s">
        <v>207</v>
      </c>
      <c r="D77" s="7" t="s">
        <v>68</v>
      </c>
      <c r="E77" s="8" t="n">
        <v>1</v>
      </c>
      <c r="F77" s="7" t="s">
        <v>17</v>
      </c>
      <c r="G77" s="9" t="n">
        <v>1380</v>
      </c>
      <c r="H77" s="9" t="n">
        <f aca="false">ROUND(E77*G77,2)</f>
        <v>1380</v>
      </c>
      <c r="I77" s="6" t="s">
        <v>144</v>
      </c>
    </row>
    <row r="78" customFormat="false" ht="26.1" hidden="false" customHeight="false" outlineLevel="0" collapsed="false">
      <c r="A78" s="5" t="s">
        <v>208</v>
      </c>
      <c r="B78" s="6" t="s">
        <v>209</v>
      </c>
      <c r="C78" s="6" t="s">
        <v>210</v>
      </c>
      <c r="D78" s="7" t="s">
        <v>68</v>
      </c>
      <c r="E78" s="8" t="n">
        <v>2</v>
      </c>
      <c r="F78" s="7" t="s">
        <v>17</v>
      </c>
      <c r="G78" s="9" t="n">
        <v>632</v>
      </c>
      <c r="H78" s="9" t="n">
        <f aca="false">ROUND(E78*G78,2)</f>
        <v>1264</v>
      </c>
      <c r="I78" s="6" t="s">
        <v>144</v>
      </c>
    </row>
    <row r="79" customFormat="false" ht="26.1" hidden="false" customHeight="false" outlineLevel="0" collapsed="false">
      <c r="A79" s="5" t="s">
        <v>211</v>
      </c>
      <c r="B79" s="6" t="s">
        <v>212</v>
      </c>
      <c r="C79" s="6" t="s">
        <v>213</v>
      </c>
      <c r="D79" s="7" t="s">
        <v>214</v>
      </c>
      <c r="E79" s="8" t="n">
        <v>23</v>
      </c>
      <c r="F79" s="7" t="s">
        <v>17</v>
      </c>
      <c r="G79" s="9" t="n">
        <v>1380</v>
      </c>
      <c r="H79" s="9" t="n">
        <f aca="false">ROUND(E79*G79,2)</f>
        <v>31740</v>
      </c>
      <c r="I79" s="6"/>
    </row>
    <row r="80" customFormat="false" ht="15" hidden="false" customHeight="false" outlineLevel="0" collapsed="false">
      <c r="A80" s="5" t="s">
        <v>215</v>
      </c>
      <c r="B80" s="6" t="s">
        <v>216</v>
      </c>
      <c r="C80" s="6" t="s">
        <v>217</v>
      </c>
      <c r="D80" s="7" t="s">
        <v>214</v>
      </c>
      <c r="E80" s="8" t="n">
        <v>7</v>
      </c>
      <c r="F80" s="7" t="s">
        <v>17</v>
      </c>
      <c r="G80" s="9" t="n">
        <v>575</v>
      </c>
      <c r="H80" s="9" t="n">
        <f aca="false">ROUND(E80*G80,2)</f>
        <v>4025</v>
      </c>
      <c r="I80" s="6"/>
    </row>
    <row r="81" customFormat="false" ht="26.1" hidden="false" customHeight="false" outlineLevel="0" collapsed="false">
      <c r="A81" s="5" t="s">
        <v>218</v>
      </c>
      <c r="B81" s="6" t="s">
        <v>219</v>
      </c>
      <c r="C81" s="6" t="s">
        <v>220</v>
      </c>
      <c r="D81" s="7" t="s">
        <v>214</v>
      </c>
      <c r="E81" s="8" t="n">
        <v>7</v>
      </c>
      <c r="F81" s="7" t="s">
        <v>17</v>
      </c>
      <c r="G81" s="9" t="n">
        <v>805</v>
      </c>
      <c r="H81" s="9" t="n">
        <f aca="false">ROUND(E81*G81,2)</f>
        <v>5635</v>
      </c>
      <c r="I81" s="6"/>
    </row>
    <row r="82" customFormat="false" ht="26.1" hidden="false" customHeight="false" outlineLevel="0" collapsed="false">
      <c r="A82" s="5" t="s">
        <v>221</v>
      </c>
      <c r="B82" s="6" t="s">
        <v>222</v>
      </c>
      <c r="C82" s="6" t="s">
        <v>223</v>
      </c>
      <c r="D82" s="7" t="s">
        <v>214</v>
      </c>
      <c r="E82" s="8" t="n">
        <v>15</v>
      </c>
      <c r="F82" s="7" t="s">
        <v>17</v>
      </c>
      <c r="G82" s="9" t="n">
        <v>518</v>
      </c>
      <c r="H82" s="9" t="n">
        <f aca="false">ROUND(E82*G82,2)</f>
        <v>7770</v>
      </c>
      <c r="I82" s="6"/>
    </row>
    <row r="83" customFormat="false" ht="26.1" hidden="false" customHeight="false" outlineLevel="0" collapsed="false">
      <c r="A83" s="5" t="s">
        <v>224</v>
      </c>
      <c r="B83" s="6" t="s">
        <v>225</v>
      </c>
      <c r="C83" s="6" t="s">
        <v>226</v>
      </c>
      <c r="D83" s="7" t="s">
        <v>214</v>
      </c>
      <c r="E83" s="8" t="n">
        <v>2</v>
      </c>
      <c r="F83" s="7" t="s">
        <v>17</v>
      </c>
      <c r="G83" s="9" t="n">
        <v>1035</v>
      </c>
      <c r="H83" s="9" t="n">
        <f aca="false">ROUND(E83*G83,2)</f>
        <v>2070</v>
      </c>
      <c r="I83" s="6"/>
    </row>
    <row r="84" customFormat="false" ht="26.1" hidden="false" customHeight="false" outlineLevel="0" collapsed="false">
      <c r="A84" s="5" t="s">
        <v>227</v>
      </c>
      <c r="B84" s="6" t="s">
        <v>228</v>
      </c>
      <c r="C84" s="6" t="s">
        <v>229</v>
      </c>
      <c r="D84" s="7" t="s">
        <v>68</v>
      </c>
      <c r="E84" s="8" t="n">
        <v>2</v>
      </c>
      <c r="F84" s="7" t="s">
        <v>17</v>
      </c>
      <c r="G84" s="9" t="n">
        <v>207</v>
      </c>
      <c r="H84" s="9" t="n">
        <f aca="false">ROUND(E84*G84,2)</f>
        <v>414</v>
      </c>
      <c r="I84" s="6"/>
    </row>
    <row r="85" customFormat="false" ht="26.1" hidden="false" customHeight="false" outlineLevel="0" collapsed="false">
      <c r="A85" s="5" t="s">
        <v>230</v>
      </c>
      <c r="B85" s="6" t="s">
        <v>231</v>
      </c>
      <c r="C85" s="6" t="s">
        <v>232</v>
      </c>
      <c r="D85" s="7" t="s">
        <v>16</v>
      </c>
      <c r="E85" s="8" t="n">
        <v>1</v>
      </c>
      <c r="F85" s="7" t="s">
        <v>17</v>
      </c>
      <c r="G85" s="9" t="n">
        <v>23000</v>
      </c>
      <c r="H85" s="9" t="n">
        <f aca="false">ROUND(E85*G85,2)</f>
        <v>23000</v>
      </c>
      <c r="I85" s="6"/>
    </row>
    <row r="86" customFormat="false" ht="26.1" hidden="false" customHeight="false" outlineLevel="0" collapsed="false">
      <c r="A86" s="5" t="s">
        <v>233</v>
      </c>
      <c r="B86" s="6" t="s">
        <v>234</v>
      </c>
      <c r="C86" s="6" t="s">
        <v>235</v>
      </c>
      <c r="D86" s="7" t="s">
        <v>16</v>
      </c>
      <c r="E86" s="8" t="n">
        <v>1</v>
      </c>
      <c r="F86" s="7" t="s">
        <v>17</v>
      </c>
      <c r="G86" s="9" t="n">
        <v>20700</v>
      </c>
      <c r="H86" s="9" t="n">
        <f aca="false">ROUND(E86*G86,2)</f>
        <v>20700</v>
      </c>
      <c r="I86" s="6"/>
    </row>
    <row r="87" customFormat="false" ht="26.1" hidden="false" customHeight="false" outlineLevel="0" collapsed="false">
      <c r="A87" s="5" t="s">
        <v>236</v>
      </c>
      <c r="B87" s="6" t="s">
        <v>237</v>
      </c>
      <c r="C87" s="6" t="s">
        <v>238</v>
      </c>
      <c r="D87" s="7" t="s">
        <v>68</v>
      </c>
      <c r="E87" s="8" t="n">
        <v>2</v>
      </c>
      <c r="F87" s="7" t="s">
        <v>43</v>
      </c>
      <c r="G87" s="9" t="n">
        <v>1380</v>
      </c>
      <c r="H87" s="9" t="n">
        <f aca="false">ROUND(E87*G87,2)</f>
        <v>2760</v>
      </c>
      <c r="I87" s="6" t="s">
        <v>144</v>
      </c>
    </row>
    <row r="88" customFormat="false" ht="26.1" hidden="false" customHeight="false" outlineLevel="0" collapsed="false">
      <c r="A88" s="5" t="s">
        <v>239</v>
      </c>
      <c r="B88" s="6" t="s">
        <v>240</v>
      </c>
      <c r="C88" s="6" t="s">
        <v>241</v>
      </c>
      <c r="D88" s="7" t="s">
        <v>16</v>
      </c>
      <c r="E88" s="8" t="n">
        <v>1</v>
      </c>
      <c r="F88" s="7" t="s">
        <v>17</v>
      </c>
      <c r="G88" s="9" t="n">
        <v>2875</v>
      </c>
      <c r="H88" s="9" t="n">
        <f aca="false">ROUND(E88*G88,2)</f>
        <v>2875</v>
      </c>
      <c r="I88" s="6"/>
    </row>
    <row r="89" customFormat="false" ht="15" hidden="false" customHeight="false" outlineLevel="0" collapsed="false">
      <c r="A89" s="10" t="s">
        <v>242</v>
      </c>
      <c r="B89" s="10"/>
      <c r="C89" s="10"/>
      <c r="D89" s="10"/>
      <c r="E89" s="10"/>
      <c r="F89" s="10"/>
      <c r="G89" s="10"/>
      <c r="H89" s="11" t="n">
        <f aca="false">SUM(H56:H88)</f>
        <v>157375</v>
      </c>
      <c r="I89" s="12"/>
    </row>
    <row r="91" customFormat="false" ht="15" hidden="false" customHeight="false" outlineLevel="0" collapsed="false">
      <c r="A91" s="4" t="s">
        <v>243</v>
      </c>
      <c r="B91" s="4"/>
      <c r="C91" s="4"/>
      <c r="D91" s="4"/>
      <c r="E91" s="4"/>
      <c r="F91" s="4"/>
      <c r="G91" s="4"/>
      <c r="H91" s="4"/>
      <c r="I91" s="4"/>
    </row>
    <row r="92" customFormat="false" ht="26.1" hidden="false" customHeight="false" outlineLevel="0" collapsed="false">
      <c r="A92" s="5" t="s">
        <v>244</v>
      </c>
      <c r="B92" s="6" t="s">
        <v>245</v>
      </c>
      <c r="C92" s="6" t="s">
        <v>246</v>
      </c>
      <c r="D92" s="7" t="s">
        <v>68</v>
      </c>
      <c r="E92" s="8" t="n">
        <v>119</v>
      </c>
      <c r="F92" s="7" t="s">
        <v>17</v>
      </c>
      <c r="G92" s="9" t="n">
        <v>310</v>
      </c>
      <c r="H92" s="9" t="n">
        <f aca="false">ROUND(E92*G92,2)</f>
        <v>36890</v>
      </c>
      <c r="I92" s="6"/>
    </row>
    <row r="93" customFormat="false" ht="37.3" hidden="false" customHeight="false" outlineLevel="0" collapsed="false">
      <c r="A93" s="5" t="s">
        <v>247</v>
      </c>
      <c r="B93" s="6" t="s">
        <v>248</v>
      </c>
      <c r="C93" s="6" t="s">
        <v>249</v>
      </c>
      <c r="D93" s="7" t="s">
        <v>68</v>
      </c>
      <c r="E93" s="8" t="n">
        <v>51</v>
      </c>
      <c r="F93" s="7" t="s">
        <v>17</v>
      </c>
      <c r="G93" s="9" t="n">
        <v>368</v>
      </c>
      <c r="H93" s="9" t="n">
        <f aca="false">ROUND(E93*G93,2)</f>
        <v>18768</v>
      </c>
      <c r="I93" s="6"/>
    </row>
    <row r="94" customFormat="false" ht="37.3" hidden="false" customHeight="false" outlineLevel="0" collapsed="false">
      <c r="A94" s="5" t="s">
        <v>250</v>
      </c>
      <c r="B94" s="6" t="s">
        <v>251</v>
      </c>
      <c r="C94" s="6" t="s">
        <v>252</v>
      </c>
      <c r="D94" s="7" t="s">
        <v>68</v>
      </c>
      <c r="E94" s="8" t="n">
        <v>18</v>
      </c>
      <c r="F94" s="7" t="s">
        <v>17</v>
      </c>
      <c r="G94" s="9" t="n">
        <v>437</v>
      </c>
      <c r="H94" s="9" t="n">
        <f aca="false">ROUND(E94*G94,2)</f>
        <v>7866</v>
      </c>
      <c r="I94" s="6"/>
    </row>
    <row r="95" customFormat="false" ht="37.3" hidden="false" customHeight="false" outlineLevel="0" collapsed="false">
      <c r="A95" s="5" t="s">
        <v>253</v>
      </c>
      <c r="B95" s="6" t="s">
        <v>254</v>
      </c>
      <c r="C95" s="6" t="s">
        <v>255</v>
      </c>
      <c r="D95" s="7" t="s">
        <v>68</v>
      </c>
      <c r="E95" s="8" t="n">
        <v>9</v>
      </c>
      <c r="F95" s="7" t="s">
        <v>17</v>
      </c>
      <c r="G95" s="9" t="n">
        <v>253</v>
      </c>
      <c r="H95" s="9" t="n">
        <f aca="false">ROUND(E95*G95,2)</f>
        <v>2277</v>
      </c>
      <c r="I95" s="6"/>
    </row>
    <row r="96" customFormat="false" ht="26.1" hidden="false" customHeight="false" outlineLevel="0" collapsed="false">
      <c r="A96" s="5" t="s">
        <v>256</v>
      </c>
      <c r="B96" s="6" t="s">
        <v>257</v>
      </c>
      <c r="C96" s="6" t="s">
        <v>258</v>
      </c>
      <c r="D96" s="7" t="s">
        <v>68</v>
      </c>
      <c r="E96" s="8" t="n">
        <v>1</v>
      </c>
      <c r="F96" s="7" t="s">
        <v>17</v>
      </c>
      <c r="G96" s="9" t="n">
        <v>1035</v>
      </c>
      <c r="H96" s="9" t="n">
        <f aca="false">ROUND(E96*G96,2)</f>
        <v>1035</v>
      </c>
      <c r="I96" s="6"/>
    </row>
    <row r="97" customFormat="false" ht="37.3" hidden="false" customHeight="false" outlineLevel="0" collapsed="false">
      <c r="A97" s="5" t="s">
        <v>259</v>
      </c>
      <c r="B97" s="6" t="s">
        <v>260</v>
      </c>
      <c r="C97" s="6" t="s">
        <v>261</v>
      </c>
      <c r="D97" s="7" t="s">
        <v>16</v>
      </c>
      <c r="E97" s="8" t="n">
        <v>1</v>
      </c>
      <c r="F97" s="7" t="s">
        <v>17</v>
      </c>
      <c r="G97" s="9" t="n">
        <v>9775</v>
      </c>
      <c r="H97" s="9" t="n">
        <f aca="false">ROUND(E97*G97,2)</f>
        <v>9775</v>
      </c>
      <c r="I97" s="6"/>
    </row>
    <row r="98" customFormat="false" ht="37.3" hidden="false" customHeight="false" outlineLevel="0" collapsed="false">
      <c r="A98" s="5" t="s">
        <v>262</v>
      </c>
      <c r="B98" s="6" t="s">
        <v>263</v>
      </c>
      <c r="C98" s="6" t="s">
        <v>264</v>
      </c>
      <c r="D98" s="7" t="s">
        <v>16</v>
      </c>
      <c r="E98" s="8" t="n">
        <v>1</v>
      </c>
      <c r="F98" s="7" t="s">
        <v>17</v>
      </c>
      <c r="G98" s="9" t="n">
        <v>8050</v>
      </c>
      <c r="H98" s="9" t="n">
        <f aca="false">ROUND(E98*G98,2)</f>
        <v>8050</v>
      </c>
      <c r="I98" s="6"/>
    </row>
    <row r="99" customFormat="false" ht="48.5" hidden="false" customHeight="false" outlineLevel="0" collapsed="false">
      <c r="A99" s="5" t="s">
        <v>265</v>
      </c>
      <c r="B99" s="6" t="s">
        <v>266</v>
      </c>
      <c r="C99" s="6" t="s">
        <v>267</v>
      </c>
      <c r="D99" s="7" t="s">
        <v>16</v>
      </c>
      <c r="E99" s="8" t="n">
        <v>1</v>
      </c>
      <c r="F99" s="7" t="s">
        <v>17</v>
      </c>
      <c r="G99" s="9" t="n">
        <v>5175</v>
      </c>
      <c r="H99" s="9" t="n">
        <f aca="false">ROUND(E99*G99,2)</f>
        <v>5175</v>
      </c>
      <c r="I99" s="6"/>
    </row>
    <row r="100" customFormat="false" ht="37.3" hidden="false" customHeight="false" outlineLevel="0" collapsed="false">
      <c r="A100" s="5" t="s">
        <v>268</v>
      </c>
      <c r="B100" s="6" t="s">
        <v>269</v>
      </c>
      <c r="C100" s="6" t="s">
        <v>270</v>
      </c>
      <c r="D100" s="7" t="s">
        <v>16</v>
      </c>
      <c r="E100" s="8" t="n">
        <v>1</v>
      </c>
      <c r="F100" s="7" t="s">
        <v>17</v>
      </c>
      <c r="G100" s="9" t="n">
        <v>2875</v>
      </c>
      <c r="H100" s="9" t="n">
        <f aca="false">ROUND(E100*G100,2)</f>
        <v>2875</v>
      </c>
      <c r="I100" s="6"/>
    </row>
    <row r="101" customFormat="false" ht="37.3" hidden="false" customHeight="false" outlineLevel="0" collapsed="false">
      <c r="A101" s="5" t="s">
        <v>271</v>
      </c>
      <c r="B101" s="6" t="s">
        <v>272</v>
      </c>
      <c r="C101" s="6" t="s">
        <v>273</v>
      </c>
      <c r="D101" s="7" t="s">
        <v>68</v>
      </c>
      <c r="E101" s="8" t="n">
        <v>9</v>
      </c>
      <c r="F101" s="7" t="s">
        <v>17</v>
      </c>
      <c r="G101" s="9" t="n">
        <v>437</v>
      </c>
      <c r="H101" s="9" t="n">
        <f aca="false">ROUND(E101*G101,2)</f>
        <v>3933</v>
      </c>
      <c r="I101" s="6"/>
    </row>
    <row r="102" customFormat="false" ht="15" hidden="false" customHeight="false" outlineLevel="0" collapsed="false">
      <c r="A102" s="5" t="s">
        <v>274</v>
      </c>
      <c r="B102" s="6" t="s">
        <v>275</v>
      </c>
      <c r="C102" s="6" t="s">
        <v>276</v>
      </c>
      <c r="D102" s="7" t="s">
        <v>214</v>
      </c>
      <c r="E102" s="8" t="n">
        <v>8</v>
      </c>
      <c r="F102" s="7" t="s">
        <v>43</v>
      </c>
      <c r="G102" s="9" t="n">
        <v>862</v>
      </c>
      <c r="H102" s="9" t="n">
        <f aca="false">ROUND(E102*G102,2)</f>
        <v>6896</v>
      </c>
      <c r="I102" s="6"/>
    </row>
    <row r="103" customFormat="false" ht="26.1" hidden="false" customHeight="false" outlineLevel="0" collapsed="false">
      <c r="A103" s="5" t="s">
        <v>277</v>
      </c>
      <c r="B103" s="6" t="s">
        <v>278</v>
      </c>
      <c r="C103" s="6" t="s">
        <v>279</v>
      </c>
      <c r="D103" s="7" t="s">
        <v>214</v>
      </c>
      <c r="E103" s="8" t="n">
        <v>6</v>
      </c>
      <c r="F103" s="7" t="s">
        <v>43</v>
      </c>
      <c r="G103" s="9" t="n">
        <v>598</v>
      </c>
      <c r="H103" s="9" t="n">
        <f aca="false">ROUND(E103*G103,2)</f>
        <v>3588</v>
      </c>
      <c r="I103" s="6"/>
    </row>
    <row r="104" customFormat="false" ht="15" hidden="false" customHeight="false" outlineLevel="0" collapsed="false">
      <c r="A104" s="5" t="s">
        <v>280</v>
      </c>
      <c r="B104" s="6" t="s">
        <v>281</v>
      </c>
      <c r="C104" s="6" t="s">
        <v>282</v>
      </c>
      <c r="D104" s="7" t="s">
        <v>68</v>
      </c>
      <c r="E104" s="8" t="n">
        <v>2</v>
      </c>
      <c r="F104" s="7" t="s">
        <v>43</v>
      </c>
      <c r="G104" s="9" t="n">
        <v>402</v>
      </c>
      <c r="H104" s="9" t="n">
        <f aca="false">ROUND(E104*G104,2)</f>
        <v>804</v>
      </c>
      <c r="I104" s="6"/>
    </row>
    <row r="105" customFormat="false" ht="15" hidden="false" customHeight="false" outlineLevel="0" collapsed="false">
      <c r="A105" s="5" t="s">
        <v>283</v>
      </c>
      <c r="B105" s="6" t="s">
        <v>284</v>
      </c>
      <c r="C105" s="6" t="s">
        <v>285</v>
      </c>
      <c r="D105" s="7" t="s">
        <v>214</v>
      </c>
      <c r="E105" s="8" t="n">
        <v>8</v>
      </c>
      <c r="F105" s="7" t="s">
        <v>43</v>
      </c>
      <c r="G105" s="9" t="n">
        <v>460</v>
      </c>
      <c r="H105" s="9" t="n">
        <f aca="false">ROUND(E105*G105,2)</f>
        <v>3680</v>
      </c>
      <c r="I105" s="6"/>
    </row>
    <row r="106" customFormat="false" ht="26.1" hidden="false" customHeight="false" outlineLevel="0" collapsed="false">
      <c r="A106" s="5" t="s">
        <v>286</v>
      </c>
      <c r="B106" s="6" t="s">
        <v>287</v>
      </c>
      <c r="C106" s="6" t="s">
        <v>288</v>
      </c>
      <c r="D106" s="7" t="s">
        <v>16</v>
      </c>
      <c r="E106" s="8" t="n">
        <v>1</v>
      </c>
      <c r="F106" s="7" t="s">
        <v>17</v>
      </c>
      <c r="G106" s="9" t="n">
        <v>747</v>
      </c>
      <c r="H106" s="9" t="n">
        <f aca="false">ROUND(E106*G106,2)</f>
        <v>747</v>
      </c>
      <c r="I106" s="6"/>
    </row>
    <row r="107" customFormat="false" ht="15" hidden="false" customHeight="false" outlineLevel="0" collapsed="false">
      <c r="A107" s="10" t="s">
        <v>289</v>
      </c>
      <c r="B107" s="10"/>
      <c r="C107" s="10"/>
      <c r="D107" s="10"/>
      <c r="E107" s="10"/>
      <c r="F107" s="10"/>
      <c r="G107" s="10"/>
      <c r="H107" s="11" t="n">
        <f aca="false">SUM(H92:H106)</f>
        <v>112359</v>
      </c>
      <c r="I107" s="12"/>
    </row>
    <row r="109" customFormat="false" ht="15" hidden="false" customHeight="false" outlineLevel="0" collapsed="false">
      <c r="A109" s="4" t="s">
        <v>290</v>
      </c>
      <c r="B109" s="4"/>
      <c r="C109" s="4"/>
      <c r="D109" s="4"/>
      <c r="E109" s="4"/>
      <c r="F109" s="4"/>
      <c r="G109" s="4"/>
      <c r="H109" s="4"/>
      <c r="I109" s="4"/>
    </row>
    <row r="110" customFormat="false" ht="37.3" hidden="false" customHeight="false" outlineLevel="0" collapsed="false">
      <c r="A110" s="5" t="s">
        <v>291</v>
      </c>
      <c r="B110" s="6" t="s">
        <v>292</v>
      </c>
      <c r="C110" s="6" t="s">
        <v>293</v>
      </c>
      <c r="D110" s="7" t="s">
        <v>68</v>
      </c>
      <c r="E110" s="8" t="n">
        <v>55</v>
      </c>
      <c r="F110" s="7" t="s">
        <v>43</v>
      </c>
      <c r="G110" s="9" t="n">
        <v>172</v>
      </c>
      <c r="H110" s="9" t="n">
        <f aca="false">ROUND(E110*G110,2)</f>
        <v>9460</v>
      </c>
      <c r="I110" s="6"/>
    </row>
    <row r="111" customFormat="false" ht="26.1" hidden="false" customHeight="false" outlineLevel="0" collapsed="false">
      <c r="A111" s="5" t="s">
        <v>294</v>
      </c>
      <c r="B111" s="6" t="s">
        <v>295</v>
      </c>
      <c r="C111" s="6" t="s">
        <v>296</v>
      </c>
      <c r="D111" s="7" t="s">
        <v>68</v>
      </c>
      <c r="E111" s="8" t="n">
        <v>12</v>
      </c>
      <c r="F111" s="7" t="s">
        <v>43</v>
      </c>
      <c r="G111" s="9" t="n">
        <v>230</v>
      </c>
      <c r="H111" s="9" t="n">
        <f aca="false">ROUND(E111*G111,2)</f>
        <v>2760</v>
      </c>
      <c r="I111" s="6"/>
    </row>
    <row r="112" customFormat="false" ht="26.1" hidden="false" customHeight="false" outlineLevel="0" collapsed="false">
      <c r="A112" s="5" t="s">
        <v>297</v>
      </c>
      <c r="B112" s="6" t="s">
        <v>298</v>
      </c>
      <c r="C112" s="6" t="s">
        <v>299</v>
      </c>
      <c r="D112" s="7" t="s">
        <v>68</v>
      </c>
      <c r="E112" s="8" t="n">
        <v>15</v>
      </c>
      <c r="F112" s="7" t="s">
        <v>17</v>
      </c>
      <c r="G112" s="9" t="n">
        <v>253</v>
      </c>
      <c r="H112" s="9" t="n">
        <f aca="false">ROUND(E112*G112,2)</f>
        <v>3795</v>
      </c>
      <c r="I112" s="6" t="s">
        <v>144</v>
      </c>
    </row>
    <row r="113" customFormat="false" ht="26.1" hidden="false" customHeight="false" outlineLevel="0" collapsed="false">
      <c r="A113" s="5" t="s">
        <v>300</v>
      </c>
      <c r="B113" s="6" t="s">
        <v>301</v>
      </c>
      <c r="C113" s="6" t="s">
        <v>302</v>
      </c>
      <c r="D113" s="7" t="s">
        <v>68</v>
      </c>
      <c r="E113" s="8" t="n">
        <v>22</v>
      </c>
      <c r="F113" s="7" t="s">
        <v>17</v>
      </c>
      <c r="G113" s="9" t="n">
        <v>368</v>
      </c>
      <c r="H113" s="9" t="n">
        <f aca="false">ROUND(E113*G113,2)</f>
        <v>8096</v>
      </c>
      <c r="I113" s="6" t="s">
        <v>144</v>
      </c>
    </row>
    <row r="114" customFormat="false" ht="26.1" hidden="false" customHeight="false" outlineLevel="0" collapsed="false">
      <c r="A114" s="5" t="s">
        <v>303</v>
      </c>
      <c r="B114" s="6" t="s">
        <v>304</v>
      </c>
      <c r="C114" s="6" t="s">
        <v>305</v>
      </c>
      <c r="D114" s="7" t="s">
        <v>68</v>
      </c>
      <c r="E114" s="8" t="n">
        <v>30</v>
      </c>
      <c r="F114" s="7" t="s">
        <v>17</v>
      </c>
      <c r="G114" s="9" t="n">
        <v>253</v>
      </c>
      <c r="H114" s="9" t="n">
        <f aca="false">ROUND(E114*G114,2)</f>
        <v>7590</v>
      </c>
      <c r="I114" s="6" t="s">
        <v>144</v>
      </c>
    </row>
    <row r="115" customFormat="false" ht="26.1" hidden="false" customHeight="false" outlineLevel="0" collapsed="false">
      <c r="A115" s="5" t="s">
        <v>306</v>
      </c>
      <c r="B115" s="6" t="s">
        <v>307</v>
      </c>
      <c r="C115" s="6" t="s">
        <v>308</v>
      </c>
      <c r="D115" s="7" t="s">
        <v>68</v>
      </c>
      <c r="E115" s="8" t="n">
        <v>35</v>
      </c>
      <c r="F115" s="7" t="s">
        <v>17</v>
      </c>
      <c r="G115" s="9" t="n">
        <v>345</v>
      </c>
      <c r="H115" s="9" t="n">
        <f aca="false">ROUND(E115*G115,2)</f>
        <v>12075</v>
      </c>
      <c r="I115" s="6" t="s">
        <v>144</v>
      </c>
    </row>
    <row r="116" customFormat="false" ht="26.1" hidden="false" customHeight="false" outlineLevel="0" collapsed="false">
      <c r="A116" s="5" t="s">
        <v>309</v>
      </c>
      <c r="B116" s="6" t="s">
        <v>310</v>
      </c>
      <c r="C116" s="6" t="s">
        <v>311</v>
      </c>
      <c r="D116" s="7" t="s">
        <v>68</v>
      </c>
      <c r="E116" s="8" t="n">
        <v>25</v>
      </c>
      <c r="F116" s="7" t="s">
        <v>17</v>
      </c>
      <c r="G116" s="9" t="n">
        <v>98</v>
      </c>
      <c r="H116" s="9" t="n">
        <f aca="false">ROUND(E116*G116,2)</f>
        <v>2450</v>
      </c>
      <c r="I116" s="6" t="s">
        <v>144</v>
      </c>
    </row>
    <row r="117" customFormat="false" ht="37.3" hidden="false" customHeight="false" outlineLevel="0" collapsed="false">
      <c r="A117" s="5" t="s">
        <v>312</v>
      </c>
      <c r="B117" s="6" t="s">
        <v>313</v>
      </c>
      <c r="C117" s="6" t="s">
        <v>314</v>
      </c>
      <c r="D117" s="7" t="s">
        <v>68</v>
      </c>
      <c r="E117" s="8" t="n">
        <v>11</v>
      </c>
      <c r="F117" s="7" t="s">
        <v>17</v>
      </c>
      <c r="G117" s="9" t="n">
        <v>402</v>
      </c>
      <c r="H117" s="9" t="n">
        <f aca="false">ROUND(E117*G117,2)</f>
        <v>4422</v>
      </c>
      <c r="I117" s="6" t="s">
        <v>144</v>
      </c>
    </row>
    <row r="118" customFormat="false" ht="26.1" hidden="false" customHeight="false" outlineLevel="0" collapsed="false">
      <c r="A118" s="5" t="s">
        <v>315</v>
      </c>
      <c r="B118" s="6" t="s">
        <v>316</v>
      </c>
      <c r="C118" s="6" t="s">
        <v>317</v>
      </c>
      <c r="D118" s="7" t="s">
        <v>68</v>
      </c>
      <c r="E118" s="8" t="n">
        <v>2</v>
      </c>
      <c r="F118" s="7" t="s">
        <v>17</v>
      </c>
      <c r="G118" s="9" t="n">
        <v>518</v>
      </c>
      <c r="H118" s="9" t="n">
        <f aca="false">ROUND(E118*G118,2)</f>
        <v>1036</v>
      </c>
      <c r="I118" s="6" t="s">
        <v>144</v>
      </c>
    </row>
    <row r="119" customFormat="false" ht="26.1" hidden="false" customHeight="false" outlineLevel="0" collapsed="false">
      <c r="A119" s="5" t="s">
        <v>318</v>
      </c>
      <c r="B119" s="6" t="s">
        <v>319</v>
      </c>
      <c r="C119" s="6" t="s">
        <v>320</v>
      </c>
      <c r="D119" s="7" t="s">
        <v>68</v>
      </c>
      <c r="E119" s="8" t="n">
        <v>9</v>
      </c>
      <c r="F119" s="7" t="s">
        <v>17</v>
      </c>
      <c r="G119" s="9" t="n">
        <v>345</v>
      </c>
      <c r="H119" s="9" t="n">
        <f aca="false">ROUND(E119*G119,2)</f>
        <v>3105</v>
      </c>
      <c r="I119" s="6" t="s">
        <v>144</v>
      </c>
    </row>
    <row r="120" customFormat="false" ht="26.1" hidden="false" customHeight="false" outlineLevel="0" collapsed="false">
      <c r="A120" s="5" t="s">
        <v>321</v>
      </c>
      <c r="B120" s="6" t="s">
        <v>322</v>
      </c>
      <c r="C120" s="6" t="s">
        <v>323</v>
      </c>
      <c r="D120" s="7" t="s">
        <v>68</v>
      </c>
      <c r="E120" s="8" t="n">
        <v>25</v>
      </c>
      <c r="F120" s="7" t="s">
        <v>17</v>
      </c>
      <c r="G120" s="9" t="n">
        <v>322</v>
      </c>
      <c r="H120" s="9" t="n">
        <f aca="false">ROUND(E120*G120,2)</f>
        <v>8050</v>
      </c>
      <c r="I120" s="6" t="s">
        <v>144</v>
      </c>
    </row>
    <row r="121" customFormat="false" ht="26.1" hidden="false" customHeight="false" outlineLevel="0" collapsed="false">
      <c r="A121" s="5" t="s">
        <v>324</v>
      </c>
      <c r="B121" s="6" t="s">
        <v>325</v>
      </c>
      <c r="C121" s="6" t="s">
        <v>326</v>
      </c>
      <c r="D121" s="7" t="s">
        <v>68</v>
      </c>
      <c r="E121" s="8" t="n">
        <v>8</v>
      </c>
      <c r="F121" s="7" t="s">
        <v>17</v>
      </c>
      <c r="G121" s="9" t="n">
        <v>276</v>
      </c>
      <c r="H121" s="9" t="n">
        <f aca="false">ROUND(E121*G121,2)</f>
        <v>2208</v>
      </c>
      <c r="I121" s="6" t="s">
        <v>144</v>
      </c>
    </row>
    <row r="122" customFormat="false" ht="26.1" hidden="false" customHeight="false" outlineLevel="0" collapsed="false">
      <c r="A122" s="5" t="s">
        <v>327</v>
      </c>
      <c r="B122" s="6" t="s">
        <v>328</v>
      </c>
      <c r="C122" s="6" t="s">
        <v>329</v>
      </c>
      <c r="D122" s="7" t="s">
        <v>68</v>
      </c>
      <c r="E122" s="8" t="n">
        <v>5</v>
      </c>
      <c r="F122" s="7" t="s">
        <v>17</v>
      </c>
      <c r="G122" s="9" t="n">
        <v>230</v>
      </c>
      <c r="H122" s="9" t="n">
        <f aca="false">ROUND(E122*G122,2)</f>
        <v>1150</v>
      </c>
      <c r="I122" s="6" t="s">
        <v>144</v>
      </c>
    </row>
    <row r="123" customFormat="false" ht="26.1" hidden="false" customHeight="false" outlineLevel="0" collapsed="false">
      <c r="A123" s="5" t="s">
        <v>330</v>
      </c>
      <c r="B123" s="6" t="s">
        <v>331</v>
      </c>
      <c r="C123" s="6" t="s">
        <v>332</v>
      </c>
      <c r="D123" s="7" t="s">
        <v>68</v>
      </c>
      <c r="E123" s="8" t="n">
        <v>10</v>
      </c>
      <c r="F123" s="7" t="s">
        <v>17</v>
      </c>
      <c r="G123" s="9" t="n">
        <v>345</v>
      </c>
      <c r="H123" s="9" t="n">
        <f aca="false">ROUND(E123*G123,2)</f>
        <v>3450</v>
      </c>
      <c r="I123" s="6" t="s">
        <v>144</v>
      </c>
    </row>
    <row r="124" customFormat="false" ht="26.1" hidden="false" customHeight="false" outlineLevel="0" collapsed="false">
      <c r="A124" s="5" t="s">
        <v>333</v>
      </c>
      <c r="B124" s="6" t="s">
        <v>334</v>
      </c>
      <c r="C124" s="6" t="s">
        <v>335</v>
      </c>
      <c r="D124" s="7" t="s">
        <v>68</v>
      </c>
      <c r="E124" s="8" t="n">
        <v>6</v>
      </c>
      <c r="F124" s="7" t="s">
        <v>17</v>
      </c>
      <c r="G124" s="9" t="n">
        <v>598</v>
      </c>
      <c r="H124" s="9" t="n">
        <f aca="false">ROUND(E124*G124,2)</f>
        <v>3588</v>
      </c>
      <c r="I124" s="6" t="s">
        <v>144</v>
      </c>
    </row>
    <row r="125" customFormat="false" ht="37.3" hidden="false" customHeight="false" outlineLevel="0" collapsed="false">
      <c r="A125" s="5" t="s">
        <v>336</v>
      </c>
      <c r="B125" s="6" t="s">
        <v>337</v>
      </c>
      <c r="C125" s="6" t="s">
        <v>338</v>
      </c>
      <c r="D125" s="7" t="s">
        <v>68</v>
      </c>
      <c r="E125" s="8" t="n">
        <v>6</v>
      </c>
      <c r="F125" s="7" t="s">
        <v>17</v>
      </c>
      <c r="G125" s="9" t="n">
        <v>690</v>
      </c>
      <c r="H125" s="9" t="n">
        <f aca="false">ROUND(E125*G125,2)</f>
        <v>4140</v>
      </c>
      <c r="I125" s="6" t="s">
        <v>144</v>
      </c>
    </row>
    <row r="126" customFormat="false" ht="26.1" hidden="false" customHeight="false" outlineLevel="0" collapsed="false">
      <c r="A126" s="5" t="s">
        <v>339</v>
      </c>
      <c r="B126" s="6" t="s">
        <v>340</v>
      </c>
      <c r="C126" s="6" t="s">
        <v>341</v>
      </c>
      <c r="D126" s="7" t="s">
        <v>68</v>
      </c>
      <c r="E126" s="8" t="n">
        <v>111</v>
      </c>
      <c r="F126" s="7" t="s">
        <v>17</v>
      </c>
      <c r="G126" s="9" t="n">
        <v>115</v>
      </c>
      <c r="H126" s="9" t="n">
        <f aca="false">ROUND(E126*G126,2)</f>
        <v>12765</v>
      </c>
      <c r="I126" s="6" t="s">
        <v>144</v>
      </c>
    </row>
    <row r="127" customFormat="false" ht="26.1" hidden="false" customHeight="false" outlineLevel="0" collapsed="false">
      <c r="A127" s="5" t="s">
        <v>342</v>
      </c>
      <c r="B127" s="6" t="s">
        <v>343</v>
      </c>
      <c r="C127" s="6" t="s">
        <v>344</v>
      </c>
      <c r="D127" s="7" t="s">
        <v>68</v>
      </c>
      <c r="E127" s="8" t="n">
        <v>8</v>
      </c>
      <c r="F127" s="7" t="s">
        <v>43</v>
      </c>
      <c r="G127" s="9" t="n">
        <v>322</v>
      </c>
      <c r="H127" s="9" t="n">
        <f aca="false">ROUND(E127*G127,2)</f>
        <v>2576</v>
      </c>
      <c r="I127" s="6" t="s">
        <v>144</v>
      </c>
    </row>
    <row r="128" customFormat="false" ht="37.3" hidden="false" customHeight="false" outlineLevel="0" collapsed="false">
      <c r="A128" s="5" t="s">
        <v>345</v>
      </c>
      <c r="B128" s="6" t="s">
        <v>346</v>
      </c>
      <c r="C128" s="6" t="s">
        <v>347</v>
      </c>
      <c r="D128" s="7" t="s">
        <v>68</v>
      </c>
      <c r="E128" s="8" t="n">
        <v>28</v>
      </c>
      <c r="F128" s="7" t="s">
        <v>17</v>
      </c>
      <c r="G128" s="9" t="n">
        <v>195</v>
      </c>
      <c r="H128" s="9" t="n">
        <f aca="false">ROUND(E128*G128,2)</f>
        <v>5460</v>
      </c>
      <c r="I128" s="6" t="s">
        <v>144</v>
      </c>
    </row>
    <row r="129" customFormat="false" ht="26.1" hidden="false" customHeight="false" outlineLevel="0" collapsed="false">
      <c r="A129" s="5" t="s">
        <v>348</v>
      </c>
      <c r="B129" s="6" t="s">
        <v>349</v>
      </c>
      <c r="C129" s="6" t="s">
        <v>350</v>
      </c>
      <c r="D129" s="7" t="s">
        <v>68</v>
      </c>
      <c r="E129" s="8" t="n">
        <v>14</v>
      </c>
      <c r="F129" s="7" t="s">
        <v>17</v>
      </c>
      <c r="G129" s="9" t="n">
        <v>345</v>
      </c>
      <c r="H129" s="9" t="n">
        <f aca="false">ROUND(E129*G129,2)</f>
        <v>4830</v>
      </c>
      <c r="I129" s="6"/>
    </row>
    <row r="130" customFormat="false" ht="15" hidden="false" customHeight="false" outlineLevel="0" collapsed="false">
      <c r="A130" s="10" t="s">
        <v>351</v>
      </c>
      <c r="B130" s="10"/>
      <c r="C130" s="10"/>
      <c r="D130" s="10"/>
      <c r="E130" s="10"/>
      <c r="F130" s="10"/>
      <c r="G130" s="10"/>
      <c r="H130" s="11" t="n">
        <f aca="false">SUM(H110:H129)</f>
        <v>103006</v>
      </c>
      <c r="I130" s="12"/>
    </row>
    <row r="132" customFormat="false" ht="15" hidden="false" customHeight="false" outlineLevel="0" collapsed="false">
      <c r="A132" s="4" t="s">
        <v>352</v>
      </c>
      <c r="B132" s="4"/>
      <c r="C132" s="4"/>
      <c r="D132" s="4"/>
      <c r="E132" s="4"/>
      <c r="F132" s="4"/>
      <c r="G132" s="4"/>
      <c r="H132" s="4"/>
      <c r="I132" s="4"/>
    </row>
    <row r="133" customFormat="false" ht="48.5" hidden="false" customHeight="false" outlineLevel="0" collapsed="false">
      <c r="A133" s="5" t="s">
        <v>353</v>
      </c>
      <c r="B133" s="6" t="s">
        <v>354</v>
      </c>
      <c r="C133" s="6" t="s">
        <v>355</v>
      </c>
      <c r="D133" s="7" t="s">
        <v>68</v>
      </c>
      <c r="E133" s="8" t="n">
        <v>8</v>
      </c>
      <c r="F133" s="7" t="s">
        <v>43</v>
      </c>
      <c r="G133" s="9" t="n">
        <v>805</v>
      </c>
      <c r="H133" s="9" t="n">
        <f aca="false">ROUND(E133*G133,2)</f>
        <v>6440</v>
      </c>
      <c r="I133" s="6" t="s">
        <v>144</v>
      </c>
    </row>
    <row r="134" customFormat="false" ht="26.1" hidden="false" customHeight="false" outlineLevel="0" collapsed="false">
      <c r="A134" s="5" t="s">
        <v>356</v>
      </c>
      <c r="B134" s="6" t="s">
        <v>357</v>
      </c>
      <c r="C134" s="6" t="s">
        <v>358</v>
      </c>
      <c r="D134" s="7" t="s">
        <v>93</v>
      </c>
      <c r="E134" s="8" t="n">
        <v>100</v>
      </c>
      <c r="F134" s="7" t="s">
        <v>43</v>
      </c>
      <c r="G134" s="9" t="n">
        <v>172</v>
      </c>
      <c r="H134" s="9" t="n">
        <f aca="false">ROUND(E134*G134,2)</f>
        <v>17200</v>
      </c>
      <c r="I134" s="6"/>
    </row>
    <row r="135" customFormat="false" ht="26.1" hidden="false" customHeight="false" outlineLevel="0" collapsed="false">
      <c r="A135" s="5" t="s">
        <v>359</v>
      </c>
      <c r="B135" s="6" t="s">
        <v>360</v>
      </c>
      <c r="C135" s="6" t="s">
        <v>361</v>
      </c>
      <c r="D135" s="7" t="s">
        <v>16</v>
      </c>
      <c r="E135" s="8" t="n">
        <v>1</v>
      </c>
      <c r="F135" s="7" t="s">
        <v>17</v>
      </c>
      <c r="G135" s="9" t="n">
        <v>2530</v>
      </c>
      <c r="H135" s="9" t="n">
        <f aca="false">ROUND(E135*G135,2)</f>
        <v>2530</v>
      </c>
      <c r="I135" s="6"/>
    </row>
    <row r="136" customFormat="false" ht="26.1" hidden="false" customHeight="false" outlineLevel="0" collapsed="false">
      <c r="A136" s="5" t="s">
        <v>362</v>
      </c>
      <c r="B136" s="6" t="s">
        <v>363</v>
      </c>
      <c r="C136" s="6" t="s">
        <v>364</v>
      </c>
      <c r="D136" s="7" t="s">
        <v>68</v>
      </c>
      <c r="E136" s="8" t="n">
        <v>5</v>
      </c>
      <c r="F136" s="7" t="s">
        <v>43</v>
      </c>
      <c r="G136" s="9" t="n">
        <v>977</v>
      </c>
      <c r="H136" s="9" t="n">
        <f aca="false">ROUND(E136*G136,2)</f>
        <v>4885</v>
      </c>
      <c r="I136" s="6" t="s">
        <v>144</v>
      </c>
    </row>
    <row r="137" customFormat="false" ht="15" hidden="false" customHeight="false" outlineLevel="0" collapsed="false">
      <c r="A137" s="10" t="s">
        <v>365</v>
      </c>
      <c r="B137" s="10"/>
      <c r="C137" s="10"/>
      <c r="D137" s="10"/>
      <c r="E137" s="10"/>
      <c r="F137" s="10"/>
      <c r="G137" s="10"/>
      <c r="H137" s="11" t="n">
        <f aca="false">SUM(H133:H136)</f>
        <v>31055</v>
      </c>
      <c r="I137" s="12"/>
    </row>
    <row r="139" customFormat="false" ht="15" hidden="false" customHeight="false" outlineLevel="0" collapsed="false">
      <c r="A139" s="4" t="s">
        <v>366</v>
      </c>
      <c r="B139" s="4"/>
      <c r="C139" s="4"/>
      <c r="D139" s="4"/>
      <c r="E139" s="4"/>
      <c r="F139" s="4"/>
      <c r="G139" s="4"/>
      <c r="H139" s="4"/>
      <c r="I139" s="4"/>
    </row>
    <row r="140" customFormat="false" ht="59.7" hidden="false" customHeight="false" outlineLevel="0" collapsed="false">
      <c r="A140" s="5" t="s">
        <v>367</v>
      </c>
      <c r="B140" s="6" t="s">
        <v>368</v>
      </c>
      <c r="C140" s="6" t="s">
        <v>369</v>
      </c>
      <c r="D140" s="7" t="s">
        <v>42</v>
      </c>
      <c r="E140" s="8" t="n">
        <v>64</v>
      </c>
      <c r="F140" s="7" t="s">
        <v>17</v>
      </c>
      <c r="G140" s="9" t="n">
        <v>437</v>
      </c>
      <c r="H140" s="9" t="n">
        <f aca="false">ROUND(E140*G140,2)</f>
        <v>27968</v>
      </c>
      <c r="I140" s="6"/>
    </row>
    <row r="141" customFormat="false" ht="48.5" hidden="false" customHeight="false" outlineLevel="0" collapsed="false">
      <c r="A141" s="5" t="s">
        <v>370</v>
      </c>
      <c r="B141" s="6" t="s">
        <v>371</v>
      </c>
      <c r="C141" s="6" t="s">
        <v>372</v>
      </c>
      <c r="D141" s="7" t="s">
        <v>42</v>
      </c>
      <c r="E141" s="8" t="n">
        <v>17</v>
      </c>
      <c r="F141" s="7" t="s">
        <v>17</v>
      </c>
      <c r="G141" s="9" t="n">
        <v>437</v>
      </c>
      <c r="H141" s="9" t="n">
        <f aca="false">ROUND(E141*G141,2)</f>
        <v>7429</v>
      </c>
      <c r="I141" s="6"/>
    </row>
    <row r="142" customFormat="false" ht="48.5" hidden="false" customHeight="false" outlineLevel="0" collapsed="false">
      <c r="A142" s="5" t="s">
        <v>373</v>
      </c>
      <c r="B142" s="6" t="s">
        <v>374</v>
      </c>
      <c r="C142" s="6" t="s">
        <v>375</v>
      </c>
      <c r="D142" s="7" t="s">
        <v>42</v>
      </c>
      <c r="E142" s="8" t="n">
        <v>52</v>
      </c>
      <c r="F142" s="7" t="s">
        <v>17</v>
      </c>
      <c r="G142" s="9" t="n">
        <v>437</v>
      </c>
      <c r="H142" s="9" t="n">
        <f aca="false">ROUND(E142*G142,2)</f>
        <v>22724</v>
      </c>
      <c r="I142" s="6"/>
    </row>
    <row r="143" customFormat="false" ht="48.5" hidden="false" customHeight="false" outlineLevel="0" collapsed="false">
      <c r="A143" s="5" t="s">
        <v>376</v>
      </c>
      <c r="B143" s="6" t="s">
        <v>377</v>
      </c>
      <c r="C143" s="6" t="s">
        <v>378</v>
      </c>
      <c r="D143" s="7" t="s">
        <v>42</v>
      </c>
      <c r="E143" s="8" t="n">
        <v>33.3</v>
      </c>
      <c r="F143" s="7" t="s">
        <v>17</v>
      </c>
      <c r="G143" s="9" t="n">
        <v>379</v>
      </c>
      <c r="H143" s="9" t="n">
        <f aca="false">ROUND(E143*G143,2)</f>
        <v>12620.7</v>
      </c>
      <c r="I143" s="6"/>
    </row>
    <row r="144" customFormat="false" ht="15" hidden="false" customHeight="false" outlineLevel="0" collapsed="false">
      <c r="A144" s="10" t="s">
        <v>379</v>
      </c>
      <c r="B144" s="10"/>
      <c r="C144" s="10"/>
      <c r="D144" s="10"/>
      <c r="E144" s="10"/>
      <c r="F144" s="10"/>
      <c r="G144" s="10"/>
      <c r="H144" s="11" t="n">
        <f aca="false">SUM(H140:H143)</f>
        <v>70741.7</v>
      </c>
      <c r="I144" s="12"/>
    </row>
    <row r="146" customFormat="false" ht="15" hidden="false" customHeight="false" outlineLevel="0" collapsed="false">
      <c r="A146" s="4" t="s">
        <v>380</v>
      </c>
      <c r="B146" s="4"/>
      <c r="C146" s="4"/>
      <c r="D146" s="4"/>
      <c r="E146" s="4"/>
      <c r="F146" s="4"/>
      <c r="G146" s="4"/>
      <c r="H146" s="4"/>
      <c r="I146" s="4"/>
    </row>
    <row r="147" customFormat="false" ht="48.5" hidden="false" customHeight="false" outlineLevel="0" collapsed="false">
      <c r="A147" s="5" t="s">
        <v>381</v>
      </c>
      <c r="B147" s="6" t="s">
        <v>382</v>
      </c>
      <c r="C147" s="6" t="s">
        <v>383</v>
      </c>
      <c r="D147" s="7" t="s">
        <v>42</v>
      </c>
      <c r="E147" s="8" t="n">
        <v>40</v>
      </c>
      <c r="F147" s="7" t="s">
        <v>17</v>
      </c>
      <c r="G147" s="9" t="n">
        <v>161</v>
      </c>
      <c r="H147" s="9" t="n">
        <f aca="false">ROUND(E147*G147,2)</f>
        <v>6440</v>
      </c>
      <c r="I147" s="6"/>
    </row>
    <row r="148" customFormat="false" ht="37.3" hidden="false" customHeight="false" outlineLevel="0" collapsed="false">
      <c r="A148" s="5" t="s">
        <v>384</v>
      </c>
      <c r="B148" s="6" t="s">
        <v>385</v>
      </c>
      <c r="C148" s="6" t="s">
        <v>386</v>
      </c>
      <c r="D148" s="7" t="s">
        <v>42</v>
      </c>
      <c r="E148" s="8" t="n">
        <v>186</v>
      </c>
      <c r="F148" s="7" t="s">
        <v>17</v>
      </c>
      <c r="G148" s="9" t="n">
        <v>126</v>
      </c>
      <c r="H148" s="9" t="n">
        <f aca="false">ROUND(E148*G148,2)</f>
        <v>23436</v>
      </c>
      <c r="I148" s="6"/>
    </row>
    <row r="149" customFormat="false" ht="37.3" hidden="false" customHeight="false" outlineLevel="0" collapsed="false">
      <c r="A149" s="5" t="s">
        <v>387</v>
      </c>
      <c r="B149" s="6" t="s">
        <v>388</v>
      </c>
      <c r="C149" s="6" t="s">
        <v>389</v>
      </c>
      <c r="D149" s="7" t="s">
        <v>16</v>
      </c>
      <c r="E149" s="8" t="n">
        <v>5</v>
      </c>
      <c r="F149" s="7" t="s">
        <v>17</v>
      </c>
      <c r="G149" s="9" t="n">
        <v>575</v>
      </c>
      <c r="H149" s="9" t="n">
        <f aca="false">ROUND(E149*G149,2)</f>
        <v>2875</v>
      </c>
      <c r="I149" s="6"/>
    </row>
    <row r="150" customFormat="false" ht="26.1" hidden="false" customHeight="false" outlineLevel="0" collapsed="false">
      <c r="A150" s="5" t="s">
        <v>390</v>
      </c>
      <c r="B150" s="6" t="s">
        <v>391</v>
      </c>
      <c r="C150" s="6" t="s">
        <v>392</v>
      </c>
      <c r="D150" s="7" t="s">
        <v>42</v>
      </c>
      <c r="E150" s="8" t="n">
        <v>52.7</v>
      </c>
      <c r="F150" s="7" t="s">
        <v>17</v>
      </c>
      <c r="G150" s="9" t="n">
        <v>195</v>
      </c>
      <c r="H150" s="9" t="n">
        <f aca="false">ROUND(E150*G150,2)</f>
        <v>10276.5</v>
      </c>
      <c r="I150" s="6"/>
    </row>
    <row r="151" customFormat="false" ht="15" hidden="false" customHeight="false" outlineLevel="0" collapsed="false">
      <c r="A151" s="10" t="s">
        <v>393</v>
      </c>
      <c r="B151" s="10"/>
      <c r="C151" s="10"/>
      <c r="D151" s="10"/>
      <c r="E151" s="10"/>
      <c r="F151" s="10"/>
      <c r="G151" s="10"/>
      <c r="H151" s="11" t="n">
        <f aca="false">SUM(H147:H150)</f>
        <v>43027.5</v>
      </c>
      <c r="I151" s="12"/>
    </row>
    <row r="153" customFormat="false" ht="15" hidden="false" customHeight="false" outlineLevel="0" collapsed="false">
      <c r="A153" s="4" t="s">
        <v>394</v>
      </c>
      <c r="B153" s="4"/>
      <c r="C153" s="4"/>
      <c r="D153" s="4"/>
      <c r="E153" s="4"/>
      <c r="F153" s="4"/>
      <c r="G153" s="4"/>
      <c r="H153" s="4"/>
      <c r="I153" s="4"/>
    </row>
    <row r="154" customFormat="false" ht="26.1" hidden="false" customHeight="false" outlineLevel="0" collapsed="false">
      <c r="A154" s="5" t="s">
        <v>395</v>
      </c>
      <c r="B154" s="6" t="s">
        <v>396</v>
      </c>
      <c r="C154" s="6" t="s">
        <v>397</v>
      </c>
      <c r="D154" s="7" t="s">
        <v>16</v>
      </c>
      <c r="E154" s="8" t="n">
        <v>1</v>
      </c>
      <c r="F154" s="7" t="s">
        <v>17</v>
      </c>
      <c r="G154" s="9" t="n">
        <v>2875</v>
      </c>
      <c r="H154" s="9" t="n">
        <f aca="false">ROUND(E154*G154,2)</f>
        <v>2875</v>
      </c>
      <c r="I154" s="6"/>
    </row>
    <row r="155" customFormat="false" ht="26.1" hidden="false" customHeight="false" outlineLevel="0" collapsed="false">
      <c r="A155" s="5" t="s">
        <v>398</v>
      </c>
      <c r="B155" s="6" t="s">
        <v>399</v>
      </c>
      <c r="C155" s="6" t="s">
        <v>400</v>
      </c>
      <c r="D155" s="7" t="s">
        <v>93</v>
      </c>
      <c r="E155" s="8" t="n">
        <v>55</v>
      </c>
      <c r="F155" s="7" t="s">
        <v>43</v>
      </c>
      <c r="G155" s="9" t="n">
        <v>598</v>
      </c>
      <c r="H155" s="9" t="n">
        <f aca="false">ROUND(E155*G155,2)</f>
        <v>32890</v>
      </c>
      <c r="I155" s="6"/>
    </row>
    <row r="156" customFormat="false" ht="26.1" hidden="false" customHeight="false" outlineLevel="0" collapsed="false">
      <c r="A156" s="5" t="s">
        <v>401</v>
      </c>
      <c r="B156" s="6" t="s">
        <v>402</v>
      </c>
      <c r="C156" s="6" t="s">
        <v>403</v>
      </c>
      <c r="D156" s="7" t="s">
        <v>42</v>
      </c>
      <c r="E156" s="8" t="n">
        <v>180</v>
      </c>
      <c r="F156" s="7" t="s">
        <v>43</v>
      </c>
      <c r="G156" s="9" t="n">
        <v>218</v>
      </c>
      <c r="H156" s="9" t="n">
        <f aca="false">ROUND(E156*G156,2)</f>
        <v>39240</v>
      </c>
      <c r="I156" s="6"/>
    </row>
    <row r="157" customFormat="false" ht="26.1" hidden="false" customHeight="false" outlineLevel="0" collapsed="false">
      <c r="A157" s="5" t="s">
        <v>404</v>
      </c>
      <c r="B157" s="6" t="s">
        <v>405</v>
      </c>
      <c r="C157" s="6" t="s">
        <v>406</v>
      </c>
      <c r="D157" s="7" t="s">
        <v>93</v>
      </c>
      <c r="E157" s="8" t="n">
        <v>55</v>
      </c>
      <c r="F157" s="7" t="s">
        <v>43</v>
      </c>
      <c r="G157" s="9" t="n">
        <v>264</v>
      </c>
      <c r="H157" s="9" t="n">
        <f aca="false">ROUND(E157*G157,2)</f>
        <v>14520</v>
      </c>
      <c r="I157" s="6"/>
    </row>
    <row r="158" customFormat="false" ht="15" hidden="false" customHeight="false" outlineLevel="0" collapsed="false">
      <c r="A158" s="5" t="s">
        <v>407</v>
      </c>
      <c r="B158" s="6" t="s">
        <v>408</v>
      </c>
      <c r="C158" s="6" t="s">
        <v>409</v>
      </c>
      <c r="D158" s="7" t="s">
        <v>16</v>
      </c>
      <c r="E158" s="8" t="n">
        <v>1</v>
      </c>
      <c r="F158" s="7" t="s">
        <v>17</v>
      </c>
      <c r="G158" s="9" t="n">
        <v>4025</v>
      </c>
      <c r="H158" s="9" t="n">
        <f aca="false">ROUND(E158*G158,2)</f>
        <v>4025</v>
      </c>
      <c r="I158" s="6"/>
    </row>
    <row r="159" customFormat="false" ht="15" hidden="false" customHeight="false" outlineLevel="0" collapsed="false">
      <c r="A159" s="10" t="s">
        <v>410</v>
      </c>
      <c r="B159" s="10"/>
      <c r="C159" s="10"/>
      <c r="D159" s="10"/>
      <c r="E159" s="10"/>
      <c r="F159" s="10"/>
      <c r="G159" s="10"/>
      <c r="H159" s="11" t="n">
        <f aca="false">SUM(H154:H158)</f>
        <v>93550</v>
      </c>
      <c r="I159" s="12"/>
    </row>
    <row r="161" customFormat="false" ht="15" hidden="false" customHeight="false" outlineLevel="0" collapsed="false">
      <c r="A161" s="4" t="s">
        <v>411</v>
      </c>
      <c r="B161" s="4"/>
      <c r="C161" s="4"/>
      <c r="D161" s="4"/>
      <c r="E161" s="4"/>
      <c r="F161" s="4"/>
      <c r="G161" s="4"/>
      <c r="H161" s="4"/>
      <c r="I161" s="4"/>
    </row>
    <row r="162" customFormat="false" ht="37.3" hidden="false" customHeight="false" outlineLevel="0" collapsed="false">
      <c r="A162" s="5" t="s">
        <v>412</v>
      </c>
      <c r="B162" s="6" t="s">
        <v>413</v>
      </c>
      <c r="C162" s="6" t="s">
        <v>414</v>
      </c>
      <c r="D162" s="7" t="s">
        <v>93</v>
      </c>
      <c r="E162" s="8" t="n">
        <v>33.23</v>
      </c>
      <c r="F162" s="7" t="s">
        <v>17</v>
      </c>
      <c r="G162" s="9" t="n">
        <v>391</v>
      </c>
      <c r="H162" s="9" t="n">
        <f aca="false">ROUND(E162*G162,2)</f>
        <v>12992.93</v>
      </c>
      <c r="I162" s="6"/>
    </row>
    <row r="163" customFormat="false" ht="37.3" hidden="false" customHeight="false" outlineLevel="0" collapsed="false">
      <c r="A163" s="5" t="s">
        <v>415</v>
      </c>
      <c r="B163" s="6" t="s">
        <v>416</v>
      </c>
      <c r="C163" s="6" t="s">
        <v>417</v>
      </c>
      <c r="D163" s="7" t="s">
        <v>93</v>
      </c>
      <c r="E163" s="8" t="n">
        <v>35</v>
      </c>
      <c r="F163" s="7" t="s">
        <v>17</v>
      </c>
      <c r="G163" s="9" t="n">
        <v>345</v>
      </c>
      <c r="H163" s="9" t="n">
        <f aca="false">ROUND(E163*G163,2)</f>
        <v>12075</v>
      </c>
      <c r="I163" s="6"/>
    </row>
    <row r="164" customFormat="false" ht="26.1" hidden="false" customHeight="false" outlineLevel="0" collapsed="false">
      <c r="A164" s="5" t="s">
        <v>418</v>
      </c>
      <c r="B164" s="6" t="s">
        <v>419</v>
      </c>
      <c r="C164" s="6" t="s">
        <v>420</v>
      </c>
      <c r="D164" s="7" t="s">
        <v>93</v>
      </c>
      <c r="E164" s="8" t="n">
        <v>19</v>
      </c>
      <c r="F164" s="7" t="s">
        <v>17</v>
      </c>
      <c r="G164" s="9" t="n">
        <v>230</v>
      </c>
      <c r="H164" s="9" t="n">
        <f aca="false">ROUND(E164*G164,2)</f>
        <v>4370</v>
      </c>
      <c r="I164" s="6"/>
    </row>
    <row r="165" customFormat="false" ht="48.5" hidden="false" customHeight="false" outlineLevel="0" collapsed="false">
      <c r="A165" s="5" t="s">
        <v>421</v>
      </c>
      <c r="B165" s="6" t="s">
        <v>422</v>
      </c>
      <c r="C165" s="6" t="s">
        <v>423</v>
      </c>
      <c r="D165" s="7" t="s">
        <v>93</v>
      </c>
      <c r="E165" s="8" t="n">
        <v>125.62</v>
      </c>
      <c r="F165" s="7" t="s">
        <v>17</v>
      </c>
      <c r="G165" s="9" t="n">
        <v>40</v>
      </c>
      <c r="H165" s="9" t="n">
        <f aca="false">ROUND(E165*G165,2)</f>
        <v>5024.8</v>
      </c>
      <c r="I165" s="6"/>
    </row>
    <row r="166" customFormat="false" ht="15" hidden="false" customHeight="false" outlineLevel="0" collapsed="false">
      <c r="A166" s="10" t="s">
        <v>424</v>
      </c>
      <c r="B166" s="10"/>
      <c r="C166" s="10"/>
      <c r="D166" s="10"/>
      <c r="E166" s="10"/>
      <c r="F166" s="10"/>
      <c r="G166" s="10"/>
      <c r="H166" s="11" t="n">
        <f aca="false">SUM(H162:H165)</f>
        <v>34462.73</v>
      </c>
      <c r="I166" s="12"/>
    </row>
    <row r="168" customFormat="false" ht="15" hidden="false" customHeight="false" outlineLevel="0" collapsed="false">
      <c r="A168" s="4" t="s">
        <v>425</v>
      </c>
      <c r="B168" s="4"/>
      <c r="C168" s="4"/>
      <c r="D168" s="4"/>
      <c r="E168" s="4"/>
      <c r="F168" s="4"/>
      <c r="G168" s="4"/>
      <c r="H168" s="4"/>
      <c r="I168" s="4"/>
    </row>
    <row r="169" customFormat="false" ht="37.3" hidden="false" customHeight="false" outlineLevel="0" collapsed="false">
      <c r="A169" s="5" t="s">
        <v>426</v>
      </c>
      <c r="B169" s="6" t="s">
        <v>427</v>
      </c>
      <c r="C169" s="6" t="s">
        <v>428</v>
      </c>
      <c r="D169" s="7" t="s">
        <v>42</v>
      </c>
      <c r="E169" s="8" t="n">
        <v>219.9</v>
      </c>
      <c r="F169" s="7" t="s">
        <v>17</v>
      </c>
      <c r="G169" s="9" t="n">
        <v>322</v>
      </c>
      <c r="H169" s="9" t="n">
        <f aca="false">ROUND(E169*G169,2)</f>
        <v>70807.8</v>
      </c>
      <c r="I169" s="6" t="s">
        <v>144</v>
      </c>
    </row>
    <row r="170" customFormat="false" ht="37.3" hidden="false" customHeight="false" outlineLevel="0" collapsed="false">
      <c r="A170" s="5" t="s">
        <v>429</v>
      </c>
      <c r="B170" s="6" t="s">
        <v>430</v>
      </c>
      <c r="C170" s="6" t="s">
        <v>431</v>
      </c>
      <c r="D170" s="7" t="s">
        <v>42</v>
      </c>
      <c r="E170" s="8" t="n">
        <v>105</v>
      </c>
      <c r="F170" s="7" t="s">
        <v>17</v>
      </c>
      <c r="G170" s="9" t="n">
        <v>264</v>
      </c>
      <c r="H170" s="9" t="n">
        <f aca="false">ROUND(E170*G170,2)</f>
        <v>27720</v>
      </c>
      <c r="I170" s="6" t="s">
        <v>144</v>
      </c>
    </row>
    <row r="171" customFormat="false" ht="37.3" hidden="false" customHeight="false" outlineLevel="0" collapsed="false">
      <c r="A171" s="5" t="s">
        <v>432</v>
      </c>
      <c r="B171" s="6" t="s">
        <v>433</v>
      </c>
      <c r="C171" s="6" t="s">
        <v>434</v>
      </c>
      <c r="D171" s="7" t="s">
        <v>42</v>
      </c>
      <c r="E171" s="8" t="n">
        <v>121.2</v>
      </c>
      <c r="F171" s="7" t="s">
        <v>17</v>
      </c>
      <c r="G171" s="9" t="n">
        <v>483</v>
      </c>
      <c r="H171" s="9" t="n">
        <f aca="false">ROUND(E171*G171,2)</f>
        <v>58539.6</v>
      </c>
      <c r="I171" s="6" t="s">
        <v>144</v>
      </c>
    </row>
    <row r="172" customFormat="false" ht="26.1" hidden="false" customHeight="false" outlineLevel="0" collapsed="false">
      <c r="A172" s="5" t="s">
        <v>435</v>
      </c>
      <c r="B172" s="6" t="s">
        <v>436</v>
      </c>
      <c r="C172" s="6" t="s">
        <v>437</v>
      </c>
      <c r="D172" s="7" t="s">
        <v>93</v>
      </c>
      <c r="E172" s="8" t="n">
        <v>285</v>
      </c>
      <c r="F172" s="7" t="s">
        <v>17</v>
      </c>
      <c r="G172" s="9" t="n">
        <v>86</v>
      </c>
      <c r="H172" s="9" t="n">
        <f aca="false">ROUND(E172*G172,2)</f>
        <v>24510</v>
      </c>
      <c r="I172" s="6" t="s">
        <v>144</v>
      </c>
    </row>
    <row r="173" customFormat="false" ht="39.55" hidden="false" customHeight="false" outlineLevel="0" collapsed="false">
      <c r="A173" s="5" t="s">
        <v>438</v>
      </c>
      <c r="B173" s="6" t="s">
        <v>439</v>
      </c>
      <c r="C173" s="6" t="s">
        <v>440</v>
      </c>
      <c r="D173" s="7" t="s">
        <v>42</v>
      </c>
      <c r="E173" s="8" t="n">
        <v>263.7</v>
      </c>
      <c r="F173" s="7" t="s">
        <v>17</v>
      </c>
      <c r="G173" s="9" t="n">
        <v>299</v>
      </c>
      <c r="H173" s="9" t="n">
        <f aca="false">ROUND(E173*G173,2)</f>
        <v>78846.3</v>
      </c>
      <c r="I173" s="6" t="s">
        <v>144</v>
      </c>
    </row>
    <row r="174" customFormat="false" ht="26.1" hidden="false" customHeight="false" outlineLevel="0" collapsed="false">
      <c r="A174" s="5" t="s">
        <v>441</v>
      </c>
      <c r="B174" s="6" t="s">
        <v>442</v>
      </c>
      <c r="C174" s="6" t="s">
        <v>443</v>
      </c>
      <c r="D174" s="7" t="s">
        <v>93</v>
      </c>
      <c r="E174" s="8" t="n">
        <v>50</v>
      </c>
      <c r="F174" s="7" t="s">
        <v>17</v>
      </c>
      <c r="G174" s="9" t="n">
        <v>368</v>
      </c>
      <c r="H174" s="9" t="n">
        <f aca="false">ROUND(E174*G174,2)</f>
        <v>18400</v>
      </c>
      <c r="I174" s="6" t="s">
        <v>144</v>
      </c>
    </row>
    <row r="175" customFormat="false" ht="15" hidden="false" customHeight="false" outlineLevel="0" collapsed="false">
      <c r="A175" s="10" t="s">
        <v>444</v>
      </c>
      <c r="B175" s="10"/>
      <c r="C175" s="10"/>
      <c r="D175" s="10"/>
      <c r="E175" s="10"/>
      <c r="F175" s="10"/>
      <c r="G175" s="10"/>
      <c r="H175" s="11" t="n">
        <f aca="false">SUM(H169:H174)</f>
        <v>278823.7</v>
      </c>
      <c r="I175" s="12"/>
    </row>
    <row r="177" customFormat="false" ht="15" hidden="false" customHeight="false" outlineLevel="0" collapsed="false">
      <c r="A177" s="4" t="s">
        <v>445</v>
      </c>
      <c r="B177" s="4"/>
      <c r="C177" s="4"/>
      <c r="D177" s="4"/>
      <c r="E177" s="4"/>
      <c r="F177" s="4"/>
      <c r="G177" s="4"/>
      <c r="H177" s="4"/>
      <c r="I177" s="4"/>
    </row>
    <row r="178" customFormat="false" ht="37.3" hidden="false" customHeight="false" outlineLevel="0" collapsed="false">
      <c r="A178" s="5" t="s">
        <v>446</v>
      </c>
      <c r="B178" s="6" t="s">
        <v>447</v>
      </c>
      <c r="C178" s="6" t="s">
        <v>448</v>
      </c>
      <c r="D178" s="7" t="s">
        <v>42</v>
      </c>
      <c r="E178" s="8" t="n">
        <v>225</v>
      </c>
      <c r="F178" s="7" t="s">
        <v>17</v>
      </c>
      <c r="G178" s="9" t="n">
        <v>241</v>
      </c>
      <c r="H178" s="9" t="n">
        <f aca="false">ROUND(E178*G178,2)</f>
        <v>54225</v>
      </c>
      <c r="I178" s="6"/>
    </row>
    <row r="179" customFormat="false" ht="26.1" hidden="false" customHeight="false" outlineLevel="0" collapsed="false">
      <c r="A179" s="5" t="s">
        <v>449</v>
      </c>
      <c r="B179" s="6" t="s">
        <v>450</v>
      </c>
      <c r="C179" s="6" t="s">
        <v>451</v>
      </c>
      <c r="D179" s="7" t="s">
        <v>16</v>
      </c>
      <c r="E179" s="8" t="n">
        <v>1</v>
      </c>
      <c r="F179" s="7" t="s">
        <v>17</v>
      </c>
      <c r="G179" s="9" t="n">
        <v>8050</v>
      </c>
      <c r="H179" s="9" t="n">
        <f aca="false">ROUND(E179*G179,2)</f>
        <v>8050</v>
      </c>
      <c r="I179" s="6"/>
    </row>
    <row r="180" customFormat="false" ht="26.1" hidden="false" customHeight="false" outlineLevel="0" collapsed="false">
      <c r="A180" s="5" t="s">
        <v>452</v>
      </c>
      <c r="B180" s="6" t="s">
        <v>453</v>
      </c>
      <c r="C180" s="6" t="s">
        <v>454</v>
      </c>
      <c r="D180" s="7" t="s">
        <v>16</v>
      </c>
      <c r="E180" s="8" t="n">
        <v>1</v>
      </c>
      <c r="F180" s="7" t="s">
        <v>17</v>
      </c>
      <c r="G180" s="9" t="n">
        <v>1150</v>
      </c>
      <c r="H180" s="9" t="n">
        <f aca="false">ROUND(E180*G180,2)</f>
        <v>1150</v>
      </c>
      <c r="I180" s="6"/>
    </row>
    <row r="181" customFormat="false" ht="15" hidden="false" customHeight="false" outlineLevel="0" collapsed="false">
      <c r="A181" s="10" t="s">
        <v>455</v>
      </c>
      <c r="B181" s="10"/>
      <c r="C181" s="10"/>
      <c r="D181" s="10"/>
      <c r="E181" s="10"/>
      <c r="F181" s="10"/>
      <c r="G181" s="10"/>
      <c r="H181" s="11" t="n">
        <f aca="false">SUM(H178:H180)</f>
        <v>63425</v>
      </c>
      <c r="I181" s="12"/>
    </row>
    <row r="183" customFormat="false" ht="15" hidden="false" customHeight="false" outlineLevel="0" collapsed="false">
      <c r="A183" s="4" t="s">
        <v>456</v>
      </c>
      <c r="B183" s="4"/>
      <c r="C183" s="4"/>
      <c r="D183" s="4"/>
      <c r="E183" s="4"/>
      <c r="F183" s="4"/>
      <c r="G183" s="4"/>
      <c r="H183" s="4"/>
      <c r="I183" s="4"/>
    </row>
    <row r="184" customFormat="false" ht="26.1" hidden="false" customHeight="false" outlineLevel="0" collapsed="false">
      <c r="A184" s="5" t="s">
        <v>457</v>
      </c>
      <c r="B184" s="6" t="s">
        <v>458</v>
      </c>
      <c r="C184" s="6" t="s">
        <v>459</v>
      </c>
      <c r="D184" s="7" t="s">
        <v>42</v>
      </c>
      <c r="E184" s="8" t="n">
        <v>254</v>
      </c>
      <c r="F184" s="7" t="s">
        <v>17</v>
      </c>
      <c r="G184" s="9" t="n">
        <v>115</v>
      </c>
      <c r="H184" s="9" t="n">
        <f aca="false">ROUND(E184*G184,2)</f>
        <v>29210</v>
      </c>
      <c r="I184" s="6"/>
    </row>
    <row r="185" customFormat="false" ht="26.1" hidden="false" customHeight="false" outlineLevel="0" collapsed="false">
      <c r="A185" s="5" t="s">
        <v>460</v>
      </c>
      <c r="B185" s="6" t="s">
        <v>461</v>
      </c>
      <c r="C185" s="6" t="s">
        <v>459</v>
      </c>
      <c r="D185" s="7" t="s">
        <v>42</v>
      </c>
      <c r="E185" s="8" t="n">
        <v>118</v>
      </c>
      <c r="F185" s="7" t="s">
        <v>17</v>
      </c>
      <c r="G185" s="9" t="n">
        <v>115</v>
      </c>
      <c r="H185" s="9" t="n">
        <f aca="false">ROUND(E185*G185,2)</f>
        <v>13570</v>
      </c>
      <c r="I185" s="6"/>
    </row>
    <row r="186" customFormat="false" ht="26.1" hidden="false" customHeight="false" outlineLevel="0" collapsed="false">
      <c r="A186" s="5" t="s">
        <v>462</v>
      </c>
      <c r="B186" s="6" t="s">
        <v>463</v>
      </c>
      <c r="C186" s="6" t="s">
        <v>459</v>
      </c>
      <c r="D186" s="7" t="s">
        <v>42</v>
      </c>
      <c r="E186" s="8" t="n">
        <v>204</v>
      </c>
      <c r="F186" s="7" t="s">
        <v>17</v>
      </c>
      <c r="G186" s="9" t="n">
        <v>115</v>
      </c>
      <c r="H186" s="9" t="n">
        <f aca="false">ROUND(E186*G186,2)</f>
        <v>23460</v>
      </c>
      <c r="I186" s="6"/>
    </row>
    <row r="187" customFormat="false" ht="15" hidden="false" customHeight="false" outlineLevel="0" collapsed="false">
      <c r="A187" s="10" t="s">
        <v>464</v>
      </c>
      <c r="B187" s="10"/>
      <c r="C187" s="10"/>
      <c r="D187" s="10"/>
      <c r="E187" s="10"/>
      <c r="F187" s="10"/>
      <c r="G187" s="10"/>
      <c r="H187" s="11" t="n">
        <f aca="false">SUM(H184:H186)</f>
        <v>66240</v>
      </c>
      <c r="I187" s="12"/>
    </row>
    <row r="189" customFormat="false" ht="15" hidden="false" customHeight="false" outlineLevel="0" collapsed="false">
      <c r="A189" s="4" t="s">
        <v>465</v>
      </c>
      <c r="B189" s="4"/>
      <c r="C189" s="4"/>
      <c r="D189" s="4"/>
      <c r="E189" s="4"/>
      <c r="F189" s="4"/>
      <c r="G189" s="4"/>
      <c r="H189" s="4"/>
      <c r="I189" s="4"/>
    </row>
    <row r="190" customFormat="false" ht="26.1" hidden="false" customHeight="false" outlineLevel="0" collapsed="false">
      <c r="A190" s="5" t="s">
        <v>466</v>
      </c>
      <c r="B190" s="6" t="s">
        <v>467</v>
      </c>
      <c r="C190" s="6" t="s">
        <v>468</v>
      </c>
      <c r="D190" s="7" t="s">
        <v>42</v>
      </c>
      <c r="E190" s="8" t="n">
        <v>65</v>
      </c>
      <c r="F190" s="7" t="s">
        <v>17</v>
      </c>
      <c r="G190" s="9" t="n">
        <v>86</v>
      </c>
      <c r="H190" s="9" t="n">
        <f aca="false">ROUND(E190*G190,2)</f>
        <v>5590</v>
      </c>
      <c r="I190" s="6"/>
    </row>
    <row r="191" customFormat="false" ht="37.3" hidden="false" customHeight="false" outlineLevel="0" collapsed="false">
      <c r="A191" s="5" t="s">
        <v>469</v>
      </c>
      <c r="B191" s="6" t="s">
        <v>470</v>
      </c>
      <c r="C191" s="6" t="s">
        <v>471</v>
      </c>
      <c r="D191" s="7" t="s">
        <v>16</v>
      </c>
      <c r="E191" s="8" t="n">
        <v>1</v>
      </c>
      <c r="F191" s="7" t="s">
        <v>17</v>
      </c>
      <c r="G191" s="9" t="n">
        <v>11500</v>
      </c>
      <c r="H191" s="9" t="n">
        <f aca="false">ROUND(E191*G191,2)</f>
        <v>11500</v>
      </c>
      <c r="I191" s="6"/>
    </row>
    <row r="192" customFormat="false" ht="37.3" hidden="false" customHeight="false" outlineLevel="0" collapsed="false">
      <c r="A192" s="5" t="s">
        <v>472</v>
      </c>
      <c r="B192" s="6" t="s">
        <v>473</v>
      </c>
      <c r="C192" s="6" t="s">
        <v>474</v>
      </c>
      <c r="D192" s="7" t="s">
        <v>16</v>
      </c>
      <c r="E192" s="8" t="n">
        <v>1</v>
      </c>
      <c r="F192" s="7" t="s">
        <v>17</v>
      </c>
      <c r="G192" s="9" t="n">
        <v>32200</v>
      </c>
      <c r="H192" s="9" t="n">
        <f aca="false">ROUND(E192*G192,2)</f>
        <v>32200</v>
      </c>
      <c r="I192" s="6"/>
    </row>
    <row r="193" customFormat="false" ht="37.3" hidden="false" customHeight="false" outlineLevel="0" collapsed="false">
      <c r="A193" s="5" t="s">
        <v>475</v>
      </c>
      <c r="B193" s="6" t="s">
        <v>476</v>
      </c>
      <c r="C193" s="6" t="s">
        <v>477</v>
      </c>
      <c r="D193" s="7" t="s">
        <v>16</v>
      </c>
      <c r="E193" s="8" t="n">
        <v>1</v>
      </c>
      <c r="F193" s="7" t="s">
        <v>17</v>
      </c>
      <c r="G193" s="9" t="n">
        <v>10350</v>
      </c>
      <c r="H193" s="9" t="n">
        <f aca="false">ROUND(E193*G193,2)</f>
        <v>10350</v>
      </c>
      <c r="I193" s="6"/>
    </row>
    <row r="194" customFormat="false" ht="37.3" hidden="false" customHeight="false" outlineLevel="0" collapsed="false">
      <c r="A194" s="5" t="s">
        <v>478</v>
      </c>
      <c r="B194" s="6" t="s">
        <v>479</v>
      </c>
      <c r="C194" s="6" t="s">
        <v>480</v>
      </c>
      <c r="D194" s="7" t="s">
        <v>42</v>
      </c>
      <c r="E194" s="8" t="n">
        <v>60</v>
      </c>
      <c r="F194" s="7" t="s">
        <v>43</v>
      </c>
      <c r="G194" s="9" t="n">
        <v>460</v>
      </c>
      <c r="H194" s="9" t="n">
        <f aca="false">ROUND(E194*G194,2)</f>
        <v>27600</v>
      </c>
      <c r="I194" s="6"/>
    </row>
    <row r="195" customFormat="false" ht="15" hidden="false" customHeight="false" outlineLevel="0" collapsed="false">
      <c r="A195" s="10" t="s">
        <v>481</v>
      </c>
      <c r="B195" s="10"/>
      <c r="C195" s="10"/>
      <c r="D195" s="10"/>
      <c r="E195" s="10"/>
      <c r="F195" s="10"/>
      <c r="G195" s="10"/>
      <c r="H195" s="11" t="n">
        <f aca="false">SUM(H190:H194)</f>
        <v>87240</v>
      </c>
      <c r="I195" s="12"/>
    </row>
    <row r="197" customFormat="false" ht="15" hidden="false" customHeight="false" outlineLevel="0" collapsed="false">
      <c r="A197" s="4" t="s">
        <v>482</v>
      </c>
      <c r="B197" s="4"/>
      <c r="C197" s="4"/>
      <c r="D197" s="4"/>
      <c r="E197" s="4"/>
      <c r="F197" s="4"/>
      <c r="G197" s="4"/>
      <c r="H197" s="4"/>
      <c r="I197" s="4"/>
    </row>
    <row r="198" customFormat="false" ht="37.3" hidden="false" customHeight="false" outlineLevel="0" collapsed="false">
      <c r="A198" s="5" t="s">
        <v>483</v>
      </c>
      <c r="B198" s="6" t="s">
        <v>484</v>
      </c>
      <c r="C198" s="6" t="s">
        <v>485</v>
      </c>
      <c r="D198" s="7" t="s">
        <v>16</v>
      </c>
      <c r="E198" s="8" t="n">
        <v>1</v>
      </c>
      <c r="F198" s="7" t="s">
        <v>17</v>
      </c>
      <c r="G198" s="9" t="n">
        <v>11500</v>
      </c>
      <c r="H198" s="9" t="n">
        <f aca="false">ROUND(E198*G198,2)</f>
        <v>11500</v>
      </c>
      <c r="I198" s="6"/>
    </row>
    <row r="199" customFormat="false" ht="37.3" hidden="false" customHeight="false" outlineLevel="0" collapsed="false">
      <c r="A199" s="5" t="s">
        <v>486</v>
      </c>
      <c r="B199" s="6" t="s">
        <v>487</v>
      </c>
      <c r="C199" s="6" t="s">
        <v>488</v>
      </c>
      <c r="D199" s="7" t="s">
        <v>16</v>
      </c>
      <c r="E199" s="8" t="n">
        <v>1</v>
      </c>
      <c r="F199" s="7" t="s">
        <v>17</v>
      </c>
      <c r="G199" s="9" t="n">
        <v>4025</v>
      </c>
      <c r="H199" s="9" t="n">
        <f aca="false">ROUND(E199*G199,2)</f>
        <v>4025</v>
      </c>
      <c r="I199" s="6"/>
    </row>
    <row r="200" customFormat="false" ht="37.3" hidden="false" customHeight="false" outlineLevel="0" collapsed="false">
      <c r="A200" s="5" t="s">
        <v>489</v>
      </c>
      <c r="B200" s="6" t="s">
        <v>490</v>
      </c>
      <c r="C200" s="6" t="s">
        <v>491</v>
      </c>
      <c r="D200" s="7" t="s">
        <v>16</v>
      </c>
      <c r="E200" s="8" t="n">
        <v>1</v>
      </c>
      <c r="F200" s="7" t="s">
        <v>17</v>
      </c>
      <c r="G200" s="9" t="n">
        <v>2300</v>
      </c>
      <c r="H200" s="9" t="n">
        <f aca="false">ROUND(E200*G200,2)</f>
        <v>2300</v>
      </c>
      <c r="I200" s="6"/>
    </row>
    <row r="201" customFormat="false" ht="37.3" hidden="false" customHeight="false" outlineLevel="0" collapsed="false">
      <c r="A201" s="5" t="s">
        <v>492</v>
      </c>
      <c r="B201" s="6" t="s">
        <v>493</v>
      </c>
      <c r="C201" s="6" t="s">
        <v>494</v>
      </c>
      <c r="D201" s="7" t="s">
        <v>16</v>
      </c>
      <c r="E201" s="8" t="n">
        <v>1</v>
      </c>
      <c r="F201" s="7" t="s">
        <v>17</v>
      </c>
      <c r="G201" s="9" t="n">
        <v>1725</v>
      </c>
      <c r="H201" s="9" t="n">
        <f aca="false">ROUND(E201*G201,2)</f>
        <v>1725</v>
      </c>
      <c r="I201" s="6"/>
    </row>
    <row r="202" customFormat="false" ht="28.35" hidden="false" customHeight="false" outlineLevel="0" collapsed="false">
      <c r="A202" s="5" t="s">
        <v>495</v>
      </c>
      <c r="B202" s="6" t="s">
        <v>496</v>
      </c>
      <c r="C202" s="6" t="s">
        <v>497</v>
      </c>
      <c r="D202" s="7" t="s">
        <v>214</v>
      </c>
      <c r="E202" s="8" t="n">
        <v>24</v>
      </c>
      <c r="F202" s="7" t="s">
        <v>43</v>
      </c>
      <c r="G202" s="9" t="n">
        <v>288</v>
      </c>
      <c r="H202" s="9" t="n">
        <f aca="false">ROUND(E202*G202,2)</f>
        <v>6912</v>
      </c>
      <c r="I202" s="6"/>
    </row>
    <row r="203" customFormat="false" ht="15" hidden="false" customHeight="false" outlineLevel="0" collapsed="false">
      <c r="A203" s="10" t="s">
        <v>498</v>
      </c>
      <c r="B203" s="10"/>
      <c r="C203" s="10"/>
      <c r="D203" s="10"/>
      <c r="E203" s="10"/>
      <c r="F203" s="10"/>
      <c r="G203" s="10"/>
      <c r="H203" s="11" t="n">
        <f aca="false">SUM(H198:H202)</f>
        <v>26462</v>
      </c>
      <c r="I203" s="12"/>
    </row>
  </sheetData>
  <mergeCells count="17">
    <mergeCell ref="A16:G16"/>
    <mergeCell ref="A40:G40"/>
    <mergeCell ref="A47:G47"/>
    <mergeCell ref="A53:G53"/>
    <mergeCell ref="A89:G89"/>
    <mergeCell ref="A107:G107"/>
    <mergeCell ref="A130:G130"/>
    <mergeCell ref="A137:G137"/>
    <mergeCell ref="A144:G144"/>
    <mergeCell ref="A151:G151"/>
    <mergeCell ref="A159:G159"/>
    <mergeCell ref="A166:G166"/>
    <mergeCell ref="A175:G175"/>
    <mergeCell ref="A181:G181"/>
    <mergeCell ref="A187:G187"/>
    <mergeCell ref="A195:G195"/>
    <mergeCell ref="A203:G2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499</v>
      </c>
    </row>
    <row r="3" customFormat="false" ht="15" hidden="false" customHeight="false" outlineLevel="0" collapsed="false">
      <c r="A3" s="13" t="s">
        <v>500</v>
      </c>
      <c r="B3" s="13" t="s">
        <v>501</v>
      </c>
    </row>
    <row r="4" customFormat="false" ht="15" hidden="false" customHeight="false" outlineLevel="0" collapsed="false">
      <c r="A4" s="0" t="s">
        <v>502</v>
      </c>
      <c r="B4" s="14" t="n">
        <f aca="false">'הצעת מחיר'!H16</f>
        <v>70925</v>
      </c>
    </row>
    <row r="5" customFormat="false" ht="15" hidden="false" customHeight="false" outlineLevel="0" collapsed="false">
      <c r="A5" s="0" t="s">
        <v>503</v>
      </c>
      <c r="B5" s="14" t="n">
        <f aca="false">'הצעת מחיר'!H40</f>
        <v>137689</v>
      </c>
    </row>
    <row r="6" customFormat="false" ht="15" hidden="false" customHeight="false" outlineLevel="0" collapsed="false">
      <c r="A6" s="0" t="s">
        <v>504</v>
      </c>
      <c r="B6" s="14" t="n">
        <f aca="false">'הצעת מחיר'!H47</f>
        <v>282900</v>
      </c>
    </row>
    <row r="7" customFormat="false" ht="15" hidden="false" customHeight="false" outlineLevel="0" collapsed="false">
      <c r="A7" s="0" t="s">
        <v>505</v>
      </c>
      <c r="B7" s="14" t="n">
        <f aca="false">'הצעת מחיר'!H53</f>
        <v>8997.6</v>
      </c>
    </row>
    <row r="8" customFormat="false" ht="15" hidden="false" customHeight="false" outlineLevel="0" collapsed="false">
      <c r="A8" s="0" t="s">
        <v>506</v>
      </c>
      <c r="B8" s="14" t="n">
        <f aca="false">'הצעת מחיר'!H89</f>
        <v>157375</v>
      </c>
    </row>
    <row r="9" customFormat="false" ht="15" hidden="false" customHeight="false" outlineLevel="0" collapsed="false">
      <c r="A9" s="0" t="s">
        <v>507</v>
      </c>
      <c r="B9" s="14" t="n">
        <f aca="false">'הצעת מחיר'!H107</f>
        <v>112359</v>
      </c>
    </row>
    <row r="10" customFormat="false" ht="15" hidden="false" customHeight="false" outlineLevel="0" collapsed="false">
      <c r="A10" s="0" t="s">
        <v>508</v>
      </c>
      <c r="B10" s="14" t="n">
        <f aca="false">'הצעת מחיר'!H130</f>
        <v>103006</v>
      </c>
    </row>
    <row r="11" customFormat="false" ht="15" hidden="false" customHeight="false" outlineLevel="0" collapsed="false">
      <c r="A11" s="0" t="s">
        <v>509</v>
      </c>
      <c r="B11" s="14" t="n">
        <f aca="false">'הצעת מחיר'!H137</f>
        <v>31055</v>
      </c>
    </row>
    <row r="12" customFormat="false" ht="15" hidden="false" customHeight="false" outlineLevel="0" collapsed="false">
      <c r="A12" s="0" t="s">
        <v>510</v>
      </c>
      <c r="B12" s="14" t="n">
        <f aca="false">'הצעת מחיר'!H144</f>
        <v>70741.7</v>
      </c>
    </row>
    <row r="13" customFormat="false" ht="15" hidden="false" customHeight="false" outlineLevel="0" collapsed="false">
      <c r="A13" s="0" t="s">
        <v>511</v>
      </c>
      <c r="B13" s="14" t="n">
        <f aca="false">'הצעת מחיר'!H151</f>
        <v>43027.5</v>
      </c>
    </row>
    <row r="14" customFormat="false" ht="15" hidden="false" customHeight="false" outlineLevel="0" collapsed="false">
      <c r="A14" s="0" t="s">
        <v>512</v>
      </c>
      <c r="B14" s="14" t="n">
        <f aca="false">'הצעת מחיר'!H159</f>
        <v>93550</v>
      </c>
    </row>
    <row r="15" customFormat="false" ht="15" hidden="false" customHeight="false" outlineLevel="0" collapsed="false">
      <c r="A15" s="0" t="s">
        <v>513</v>
      </c>
      <c r="B15" s="14" t="n">
        <f aca="false">'הצעת מחיר'!H166</f>
        <v>34462.73</v>
      </c>
    </row>
    <row r="16" customFormat="false" ht="15" hidden="false" customHeight="false" outlineLevel="0" collapsed="false">
      <c r="A16" s="0" t="s">
        <v>514</v>
      </c>
      <c r="B16" s="14" t="n">
        <f aca="false">'הצעת מחיר'!H175</f>
        <v>278823.7</v>
      </c>
    </row>
    <row r="17" customFormat="false" ht="15" hidden="false" customHeight="false" outlineLevel="0" collapsed="false">
      <c r="A17" s="0" t="s">
        <v>515</v>
      </c>
      <c r="B17" s="14" t="n">
        <f aca="false">'הצעת מחיר'!H181</f>
        <v>63425</v>
      </c>
    </row>
    <row r="18" customFormat="false" ht="15" hidden="false" customHeight="false" outlineLevel="0" collapsed="false">
      <c r="A18" s="0" t="s">
        <v>516</v>
      </c>
      <c r="B18" s="14" t="n">
        <f aca="false">'הצעת מחיר'!H187</f>
        <v>66240</v>
      </c>
    </row>
    <row r="19" customFormat="false" ht="15" hidden="false" customHeight="false" outlineLevel="0" collapsed="false">
      <c r="A19" s="0" t="s">
        <v>517</v>
      </c>
      <c r="B19" s="14" t="n">
        <f aca="false">'הצעת מחיר'!H195</f>
        <v>87240</v>
      </c>
    </row>
    <row r="20" customFormat="false" ht="15" hidden="false" customHeight="false" outlineLevel="0" collapsed="false">
      <c r="A20" s="0" t="s">
        <v>518</v>
      </c>
      <c r="B20" s="14" t="n">
        <f aca="false">'הצעת מחיר'!H203</f>
        <v>26462</v>
      </c>
    </row>
    <row r="21" customFormat="false" ht="15" hidden="false" customHeight="false" outlineLevel="0" collapsed="false">
      <c r="A21" s="15" t="s">
        <v>519</v>
      </c>
      <c r="B21" s="16" t="n">
        <f aca="false">SUM(B4:B20)</f>
        <v>1668279.23</v>
      </c>
    </row>
    <row r="22" customFormat="false" ht="15" hidden="false" customHeight="false" outlineLevel="0" collapsed="false">
      <c r="A22" s="15" t="s">
        <v>520</v>
      </c>
      <c r="B22" s="16" t="n">
        <f aca="false">-ROUND(B21*C22,2)</f>
        <v>-417069.81</v>
      </c>
      <c r="C22" s="17" t="n">
        <v>0.25</v>
      </c>
    </row>
    <row r="23" customFormat="false" ht="15" hidden="false" customHeight="false" outlineLevel="0" collapsed="false">
      <c r="A23" s="15" t="s">
        <v>521</v>
      </c>
      <c r="B23" s="16" t="n">
        <f aca="false">B21+B22</f>
        <v>1251209.42</v>
      </c>
    </row>
    <row r="24" customFormat="false" ht="15" hidden="false" customHeight="false" outlineLevel="0" collapsed="false">
      <c r="A24" s="15" t="s">
        <v>522</v>
      </c>
      <c r="B24" s="16" t="n">
        <f aca="false">ROUND(B23*C24,2)</f>
        <v>225217.7</v>
      </c>
      <c r="C24" s="17" t="n">
        <v>0.18</v>
      </c>
    </row>
    <row r="25" customFormat="false" ht="15" hidden="false" customHeight="false" outlineLevel="0" collapsed="false">
      <c r="A25" s="15" t="s">
        <v>523</v>
      </c>
      <c r="B25" s="16" t="n">
        <f aca="false">B23+B24</f>
        <v>1476427.12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18" t="s">
        <v>524</v>
      </c>
      <c r="B1" s="19" t="s">
        <v>525</v>
      </c>
      <c r="C1" s="19" t="s">
        <v>526</v>
      </c>
    </row>
    <row r="2" customFormat="false" ht="37.3" hidden="false" customHeight="false" outlineLevel="0" collapsed="false">
      <c r="A2" s="20" t="n">
        <v>1</v>
      </c>
      <c r="B2" s="21" t="s">
        <v>527</v>
      </c>
      <c r="C2" s="21" t="s">
        <v>528</v>
      </c>
    </row>
    <row r="3" customFormat="false" ht="26.1" hidden="false" customHeight="false" outlineLevel="0" collapsed="false">
      <c r="A3" s="20" t="n">
        <v>2</v>
      </c>
      <c r="B3" s="21" t="s">
        <v>529</v>
      </c>
      <c r="C3" s="21" t="s">
        <v>530</v>
      </c>
    </row>
    <row r="4" customFormat="false" ht="26.1" hidden="false" customHeight="false" outlineLevel="0" collapsed="false">
      <c r="A4" s="20" t="n">
        <v>3</v>
      </c>
      <c r="B4" s="21" t="s">
        <v>531</v>
      </c>
      <c r="C4" s="21" t="s">
        <v>532</v>
      </c>
    </row>
    <row r="5" customFormat="false" ht="15" hidden="false" customHeight="false" outlineLevel="0" collapsed="false">
      <c r="A5" s="20" t="n">
        <v>4</v>
      </c>
      <c r="B5" s="21" t="s">
        <v>533</v>
      </c>
      <c r="C5" s="21" t="s">
        <v>534</v>
      </c>
    </row>
    <row r="6" customFormat="false" ht="26.1" hidden="false" customHeight="false" outlineLevel="0" collapsed="false">
      <c r="A6" s="20" t="n">
        <v>5</v>
      </c>
      <c r="B6" s="21" t="s">
        <v>535</v>
      </c>
      <c r="C6" s="21" t="s">
        <v>536</v>
      </c>
    </row>
    <row r="7" customFormat="false" ht="15" hidden="false" customHeight="false" outlineLevel="0" collapsed="false">
      <c r="A7" s="20" t="n">
        <v>6</v>
      </c>
      <c r="B7" s="21" t="s">
        <v>537</v>
      </c>
      <c r="C7" s="21" t="s">
        <v>538</v>
      </c>
    </row>
    <row r="8" customFormat="false" ht="15" hidden="false" customHeight="false" outlineLevel="0" collapsed="false">
      <c r="A8" s="20" t="n">
        <v>7</v>
      </c>
      <c r="B8" s="21" t="s">
        <v>537</v>
      </c>
      <c r="C8" s="21" t="s">
        <v>539</v>
      </c>
    </row>
    <row r="9" customFormat="false" ht="15" hidden="false" customHeight="false" outlineLevel="0" collapsed="false">
      <c r="A9" s="20" t="n">
        <v>8</v>
      </c>
      <c r="B9" s="21" t="s">
        <v>540</v>
      </c>
      <c r="C9" s="21" t="s">
        <v>541</v>
      </c>
    </row>
    <row r="10" customFormat="false" ht="15" hidden="false" customHeight="false" outlineLevel="0" collapsed="false">
      <c r="A10" s="20" t="n">
        <v>9</v>
      </c>
      <c r="B10" s="21" t="s">
        <v>542</v>
      </c>
      <c r="C10" s="21" t="s">
        <v>543</v>
      </c>
    </row>
    <row r="11" customFormat="false" ht="15" hidden="false" customHeight="false" outlineLevel="0" collapsed="false">
      <c r="A11" s="20" t="n">
        <v>10</v>
      </c>
      <c r="B11" s="21" t="s">
        <v>520</v>
      </c>
      <c r="C11" s="21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9" t="s">
        <v>545</v>
      </c>
      <c r="B1" s="19" t="s">
        <v>546</v>
      </c>
      <c r="C1" s="19" t="s">
        <v>547</v>
      </c>
    </row>
    <row r="2" customFormat="false" ht="15" hidden="false" customHeight="false" outlineLevel="0" collapsed="false">
      <c r="A2" s="21" t="s">
        <v>548</v>
      </c>
      <c r="B2" s="22" t="n">
        <v>46327</v>
      </c>
      <c r="C2" s="22" t="n">
        <v>46327</v>
      </c>
    </row>
    <row r="3" customFormat="false" ht="15" hidden="false" customHeight="false" outlineLevel="0" collapsed="false">
      <c r="A3" s="21" t="s">
        <v>549</v>
      </c>
      <c r="B3" s="22" t="n">
        <v>46328</v>
      </c>
      <c r="C3" s="22" t="n">
        <v>46341</v>
      </c>
    </row>
    <row r="4" customFormat="false" ht="15" hidden="false" customHeight="false" outlineLevel="0" collapsed="false">
      <c r="A4" s="21" t="s">
        <v>550</v>
      </c>
      <c r="B4" s="22" t="n">
        <v>46342</v>
      </c>
      <c r="C4" s="22" t="n">
        <v>46369</v>
      </c>
    </row>
    <row r="5" customFormat="false" ht="15" hidden="false" customHeight="false" outlineLevel="0" collapsed="false">
      <c r="A5" s="21" t="s">
        <v>551</v>
      </c>
      <c r="B5" s="22" t="n">
        <v>46342</v>
      </c>
      <c r="C5" s="22" t="n">
        <v>46475</v>
      </c>
    </row>
    <row r="6" customFormat="false" ht="15" hidden="false" customHeight="false" outlineLevel="0" collapsed="false">
      <c r="A6" s="21" t="s">
        <v>552</v>
      </c>
      <c r="B6" s="22" t="n">
        <v>46370</v>
      </c>
      <c r="C6" s="22" t="n">
        <v>46420</v>
      </c>
    </row>
    <row r="7" customFormat="false" ht="15" hidden="false" customHeight="false" outlineLevel="0" collapsed="false">
      <c r="A7" s="21" t="s">
        <v>553</v>
      </c>
      <c r="B7" s="22" t="n">
        <v>46370</v>
      </c>
      <c r="C7" s="22" t="n">
        <v>46405</v>
      </c>
    </row>
    <row r="8" customFormat="false" ht="15" hidden="false" customHeight="false" outlineLevel="0" collapsed="false">
      <c r="A8" s="21" t="s">
        <v>554</v>
      </c>
      <c r="B8" s="22" t="n">
        <v>46376</v>
      </c>
      <c r="C8" s="22" t="n">
        <v>46406</v>
      </c>
    </row>
    <row r="9" customFormat="false" ht="15" hidden="false" customHeight="false" outlineLevel="0" collapsed="false">
      <c r="A9" s="21" t="s">
        <v>555</v>
      </c>
      <c r="B9" s="22" t="n">
        <v>46407</v>
      </c>
      <c r="C9" s="22" t="n">
        <v>46448</v>
      </c>
    </row>
    <row r="10" customFormat="false" ht="15" hidden="false" customHeight="false" outlineLevel="0" collapsed="false">
      <c r="A10" s="21" t="s">
        <v>556</v>
      </c>
      <c r="B10" s="22" t="n">
        <v>46421</v>
      </c>
      <c r="C10" s="22" t="n">
        <v>46484</v>
      </c>
    </row>
    <row r="11" customFormat="false" ht="15" hidden="false" customHeight="false" outlineLevel="0" collapsed="false">
      <c r="A11" s="21" t="s">
        <v>557</v>
      </c>
      <c r="B11" s="22" t="n">
        <v>46422</v>
      </c>
      <c r="C11" s="22" t="n">
        <v>46525</v>
      </c>
    </row>
    <row r="12" customFormat="false" ht="15" hidden="false" customHeight="false" outlineLevel="0" collapsed="false">
      <c r="A12" s="21" t="s">
        <v>558</v>
      </c>
      <c r="B12" s="22" t="n">
        <v>46526</v>
      </c>
      <c r="C12" s="22" t="n">
        <v>46546</v>
      </c>
    </row>
    <row r="13" customFormat="false" ht="15" hidden="false" customHeight="false" outlineLevel="0" collapsed="false">
      <c r="A13" s="21" t="s">
        <v>559</v>
      </c>
      <c r="B13" s="22" t="n">
        <v>46546</v>
      </c>
      <c r="C13" s="22" t="n">
        <v>46546</v>
      </c>
    </row>
    <row r="15" customFormat="false" ht="26.1" hidden="false" customHeight="false" outlineLevel="0" collapsed="false">
      <c r="A15" s="21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2026-10-09T10:46:19Z</dcterms:created>
  <dc:creator>openpyxl</dc:creator>
  <dc:description/>
  <dc:language>en-US</dc:language>
  <cp:lastModifiedBy/>
  <dcterms:modified xsi:type="dcterms:W3CDTF">2026-10-09T10:46:19Z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