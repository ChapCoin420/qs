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כתב כמויות להצעה" sheetId="1" state="visible" r:id="rId1"/>
    <sheet xmlns:r="http://schemas.openxmlformats.org/officeDocument/2006/relationships" name="מעקב כמויות" sheetId="2" state="visible" r:id="rId2"/>
    <sheet xmlns:r="http://schemas.openxmlformats.org/officeDocument/2006/relationships" name="יומן חריגים" sheetId="3" state="visible" r:id="rId3"/>
    <sheet xmlns:r="http://schemas.openxmlformats.org/officeDocument/2006/relationships" name="יומן שינויים" sheetId="4" state="visible" r:id="rId4"/>
  </sheets>
  <definedNames>
    <definedName name="_xlnm._FilterDatabase" localSheetId="0" hidden="1">'כתב כמויות להצעה'!$A$3:$H$216</definedName>
    <definedName name="_xlnm.Print_Titles" localSheetId="0">'כתב כמויות להצעה'!$3:$3</definedName>
    <definedName name="_xlnm._FilterDatabase" localSheetId="1" hidden="1">'מעקב כמויות'!$A$1:$F$158</definedName>
    <definedName name="_xlnm._FilterDatabase" localSheetId="2" hidden="1">'יומן חריגים'!$A$1:$F$17</definedName>
    <definedName name="_xlnm._FilterDatabase" localSheetId="3" hidden="1">'יומן שינויים'!$A$1:$E$30</definedName>
  </definedNames>
  <calcPr calcId="124519" fullCalcOnLoad="1"/>
</workbook>
</file>

<file path=xl/styles.xml><?xml version="1.0" encoding="utf-8"?>
<styleSheet xmlns="http://schemas.openxmlformats.org/spreadsheetml/2006/main">
  <numFmts count="1">
    <numFmt numFmtId="164" formatCode="#,##0.##"/>
  </numFmts>
  <fonts count="4">
    <font>
      <name val="Calibri"/>
      <family val="2"/>
      <color theme="1"/>
      <sz val="11"/>
      <scheme val="minor"/>
    </font>
    <font>
      <b val="1"/>
      <sz val="14"/>
    </font>
    <font>
      <b val="1"/>
      <color rgb="00FFFFFF"/>
    </font>
    <font>
      <b val="1"/>
    </font>
  </fonts>
  <fills count="5">
    <fill>
      <patternFill/>
    </fill>
    <fill>
      <patternFill patternType="gray125"/>
    </fill>
    <fill>
      <patternFill patternType="solid">
        <fgColor rgb="001F3864"/>
      </patternFill>
    </fill>
    <fill>
      <patternFill patternType="solid">
        <fgColor rgb="00D9E1F2"/>
      </patternFill>
    </fill>
    <fill>
      <patternFill patternType="solid">
        <fgColor rgb="00EDEDED"/>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0" pivotButton="0" quotePrefix="0" xfId="0"/>
    <xf numFmtId="0" fontId="0" fillId="0" borderId="1" applyAlignment="1" pivotButton="0" quotePrefix="0" xfId="0">
      <alignment horizontal="center" vertical="top" wrapText="1"/>
    </xf>
    <xf numFmtId="0" fontId="0" fillId="0" borderId="1" applyAlignment="1" pivotButton="0" quotePrefix="0" xfId="0">
      <alignment vertical="top" wrapText="1"/>
    </xf>
    <xf numFmtId="164" fontId="0" fillId="0" borderId="1" applyAlignment="1" pivotButton="0" quotePrefix="0" xfId="0">
      <alignment horizontal="center" vertical="top" wrapText="1"/>
    </xf>
    <xf numFmtId="4" fontId="0" fillId="0" borderId="1" applyAlignment="1" pivotButton="0" quotePrefix="0" xfId="0">
      <alignment vertical="top" wrapText="1"/>
    </xf>
    <xf numFmtId="0" fontId="3" fillId="4" borderId="0" pivotButton="0" quotePrefix="0" xfId="0"/>
    <xf numFmtId="4" fontId="3" fillId="4" borderId="0" pivotButton="0" quotePrefix="0" xfId="0"/>
    <xf numFmtId="4" fontId="0" fillId="0" borderId="1" applyAlignment="1" pivotButton="0" quotePrefix="0" xfId="0">
      <alignment horizontal="center" vertical="top" wrapText="1"/>
    </xf>
    <xf numFmtId="0" fontId="3" fillId="0" borderId="0" pivotButton="0" quotePrefix="0" xfId="0"/>
    <xf numFmtId="4" fontId="3" fillId="0" borderId="0" pivotButton="0" quotePrefix="0" xfId="0"/>
    <xf numFmtId="9" fontId="3"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220"/>
  <sheetViews>
    <sheetView rightToLeft="1" workbookViewId="0">
      <pane ySplit="3" topLeftCell="A4" activePane="bottomLeft" state="frozen"/>
      <selection pane="bottomLeft" activeCell="A1" sqref="A1"/>
    </sheetView>
  </sheetViews>
  <sheetFormatPr baseColWidth="8" defaultRowHeight="15"/>
  <cols>
    <col width="11" customWidth="1" min="1" max="1"/>
    <col width="34" customWidth="1" min="2" max="2"/>
    <col width="60" customWidth="1" min="3" max="3"/>
    <col width="9" customWidth="1" min="4" max="4"/>
    <col width="10" customWidth="1" min="5" max="5"/>
    <col width="14" customWidth="1" min="6" max="6"/>
    <col width="14" customWidth="1" min="7" max="7"/>
    <col width="38" customWidth="1" min="8" max="8"/>
  </cols>
  <sheetData>
    <row r="1">
      <c r="A1" s="1" t="inlineStr">
        <is>
          <t>כתב כמויות — שלונסקי 53, חיפה | הצעת מחיר קבלן</t>
        </is>
      </c>
    </row>
    <row r="2">
      <c r="A2" t="inlineStr">
        <is>
          <t>מחירים לא הוזנו. מע״מ 18% (לעדכון בתא E219). הערות והנחות – בגיליון "יומן חריגים".</t>
        </is>
      </c>
    </row>
    <row r="3">
      <c r="A3" s="2" t="inlineStr">
        <is>
          <t>מס׳ סעיף</t>
        </is>
      </c>
      <c r="B3" s="2" t="inlineStr">
        <is>
          <t>שם הסעיף</t>
        </is>
      </c>
      <c r="C3" s="2" t="inlineStr">
        <is>
          <t>תיאור סעיף</t>
        </is>
      </c>
      <c r="D3" s="2" t="inlineStr">
        <is>
          <t>יחידה</t>
        </is>
      </c>
      <c r="E3" s="2" t="inlineStr">
        <is>
          <t>כמות</t>
        </is>
      </c>
      <c r="F3" s="2" t="inlineStr">
        <is>
          <t>מחיר יחידה (₪)</t>
        </is>
      </c>
      <c r="G3" s="2" t="inlineStr">
        <is>
          <t>סה״כ (₪)</t>
        </is>
      </c>
      <c r="H3" s="2" t="inlineStr">
        <is>
          <t>הערות לתמחור</t>
        </is>
      </c>
    </row>
    <row r="4">
      <c r="A4" s="3" t="inlineStr">
        <is>
          <t>פרק 01 — הכנות והתארגנות לביצוע</t>
        </is>
      </c>
      <c r="B4" s="3" t="n"/>
      <c r="C4" s="3" t="n"/>
      <c r="D4" s="3" t="n"/>
      <c r="E4" s="3" t="n"/>
      <c r="F4" s="3" t="n"/>
      <c r="G4" s="3" t="n"/>
      <c r="H4" s="3" t="n"/>
    </row>
    <row r="5">
      <c r="A5" s="4" t="inlineStr">
        <is>
          <t>01.01</t>
        </is>
      </c>
      <c r="B5" s="5" t="inlineStr">
        <is>
          <t>התארגנות אתר</t>
        </is>
      </c>
      <c r="C5" s="5" t="inlineStr">
        <is>
          <t>התארגנות לביצוע עבודות השיפוץ, לרבות הקצאת אזורי עבודה ואחסון חומרים, הסדרת שירותים לעובדים ותיאום דרכי הגישה לעבודה, בהתאם לתנאי האתר ולהנחיות המתכננת. סעיף זה אינו כולל את הגידור, החיבורים הזמניים, ההגנות ומכולת הפסולת המפורטים בנפרד.</t>
        </is>
      </c>
      <c r="D5" s="4" t="inlineStr">
        <is>
          <t>קומפ׳</t>
        </is>
      </c>
      <c r="E5" s="6" t="n">
        <v>1</v>
      </c>
      <c r="F5" s="7" t="n"/>
      <c r="G5" s="7">
        <f>IF(AND(ISNUMBER(E5),ISNUMBER(F5)),ROUND(E5*F5,2),"")</f>
        <v/>
      </c>
      <c r="H5" s="5" t="n"/>
    </row>
    <row r="6">
      <c r="A6" s="4" t="inlineStr">
        <is>
          <t>01.02</t>
        </is>
      </c>
      <c r="B6" s="5" t="inlineStr">
        <is>
          <t>גידור, שילוט ואמצעי בטיחות באתר</t>
        </is>
      </c>
      <c r="C6" s="5" t="inlineStr">
        <is>
          <t>הקמה והחזקה של גידור זמני מפח או מרשת תקנית, שילוט אתר ואזהרה, סימון אזורים מסוכנים ואמצעי הבטיחות הנדרשים, לאורך כל שלבי הביצוע, לרבות פירוק הגידור בתום הצורך.</t>
        </is>
      </c>
      <c r="D6" s="4" t="inlineStr">
        <is>
          <t>קומפ׳</t>
        </is>
      </c>
      <c r="E6" s="6" t="n">
        <v>1</v>
      </c>
      <c r="F6" s="7" t="n"/>
      <c r="G6" s="7">
        <f>IF(AND(ISNUMBER(E6),ISNUMBER(F6)),ROUND(E6*F6,2),"")</f>
        <v/>
      </c>
      <c r="H6" s="5" t="n"/>
    </row>
    <row r="7">
      <c r="A7" s="4" t="inlineStr">
        <is>
          <t>01.03</t>
        </is>
      </c>
      <c r="B7" s="5" t="inlineStr">
        <is>
          <t>חיבור מים זמני</t>
        </is>
      </c>
      <c r="C7" s="5" t="inlineStr">
        <is>
          <t>הסדרת חיבור מים זמני לצורכי ביצוע העבודות, לרבות חיבור למקור המים המאושר באתר ובדיקת תקינות החיבור.</t>
        </is>
      </c>
      <c r="D7" s="4" t="inlineStr">
        <is>
          <t>קומפ׳</t>
        </is>
      </c>
      <c r="E7" s="6" t="n">
        <v>1</v>
      </c>
      <c r="F7" s="7" t="n"/>
      <c r="G7" s="7">
        <f>IF(AND(ISNUMBER(E7),ISNUMBER(F7)),ROUND(E7*F7,2),"")</f>
        <v/>
      </c>
      <c r="H7" s="5" t="n"/>
    </row>
    <row r="8">
      <c r="A8" s="4" t="inlineStr">
        <is>
          <t>01.04</t>
        </is>
      </c>
      <c r="B8" s="5" t="inlineStr">
        <is>
          <t>חיבור חשמל זמני</t>
        </is>
      </c>
      <c r="C8" s="5" t="inlineStr">
        <is>
          <t>הסדרת חיבור חשמל זמני לצורכי ביצוע העבודות, באמצעות חשמלאי בעל רישיון מתאים, לרבות אמצעי ההגנה הנדרשים ובדיקת תקינות החיבור.</t>
        </is>
      </c>
      <c r="D8" s="4" t="inlineStr">
        <is>
          <t>קומפ׳</t>
        </is>
      </c>
      <c r="E8" s="6" t="n">
        <v>1</v>
      </c>
      <c r="F8" s="7" t="n"/>
      <c r="G8" s="7">
        <f>IF(AND(ISNUMBER(E8),ISNUMBER(F8)),ROUND(E8*F8,2),"")</f>
        <v/>
      </c>
      <c r="H8" s="5" t="n"/>
    </row>
    <row r="9">
      <c r="A9" s="4" t="inlineStr">
        <is>
          <t>01.05</t>
        </is>
      </c>
      <c r="B9" s="5" t="inlineStr">
        <is>
          <t>הגנה על אלמנטים קיימים</t>
        </is>
      </c>
      <c r="C9" s="5" t="inlineStr">
        <is>
          <t>ביצוע והחזקה של כיסויי הגנה לאלמנטים המיועדים להישאר, לרבות ריצופים, פתחים, חלונות, מדרגות, מעקות, קירות, ציוד וצמחייה לשימור, בהתאם להיקף העבודה ולמצב הקיים.</t>
        </is>
      </c>
      <c r="D9" s="4" t="inlineStr">
        <is>
          <t>קומפ׳</t>
        </is>
      </c>
      <c r="E9" s="6" t="n">
        <v>1</v>
      </c>
      <c r="F9" s="7" t="n"/>
      <c r="G9" s="7">
        <f>IF(AND(ISNUMBER(E9),ISNUMBER(F9)),ROUND(E9*F9,2),"")</f>
        <v/>
      </c>
      <c r="H9" s="5" t="n"/>
    </row>
    <row r="10">
      <c r="A10" s="4" t="inlineStr">
        <is>
          <t>01.06</t>
        </is>
      </c>
      <c r="B10" s="5" t="inlineStr">
        <is>
          <t>מדידות, אימות וסימון בלייזר</t>
        </is>
      </c>
      <c r="C10" s="5" t="inlineStr">
        <is>
          <t>מדידת המבנה הקיים ואימות המידות מול תוכניות האדריכלות והמערכות, סימון מיקומי העבודות ומפלסי הביצוע באמצעות פלס לייזר, תיעוד המצב הקיים ודיווח על אי־התאמות לפני תחילת העבודה.</t>
        </is>
      </c>
      <c r="D10" s="4" t="inlineStr">
        <is>
          <t>קומפ׳</t>
        </is>
      </c>
      <c r="E10" s="6" t="n">
        <v>1</v>
      </c>
      <c r="F10" s="7" t="n"/>
      <c r="G10" s="7">
        <f>IF(AND(ISNUMBER(E10),ISNUMBER(F10)),ROUND(E10*F10,2),"")</f>
        <v/>
      </c>
      <c r="H10" s="5" t="n"/>
    </row>
    <row r="11">
      <c r="A11" s="4" t="inlineStr">
        <is>
          <t>01.07</t>
        </is>
      </c>
      <c r="B11" s="5" t="inlineStr">
        <is>
          <t>מכולת פסולת והסדרת אזור ריכוז פסולת</t>
        </is>
      </c>
      <c r="C11" s="5" t="inlineStr">
        <is>
          <t>הצבת מכולת פסולת והסדרת מקום לריכוז פסולת הבנייה באתר, בהתאם לתנאי הגישה ולשלבי הביצוע. פינוי הפסולת לאתר מורשה מפורט בפרק ההריסות.</t>
        </is>
      </c>
      <c r="D11" s="4" t="inlineStr">
        <is>
          <t>קומפ׳</t>
        </is>
      </c>
      <c r="E11" s="6" t="n">
        <v>1</v>
      </c>
      <c r="F11" s="7" t="n"/>
      <c r="G11" s="7">
        <f>IF(AND(ISNUMBER(E11),ISNUMBER(F11)),ROUND(E11*F11,2),"")</f>
        <v/>
      </c>
      <c r="H11" s="5" t="n"/>
    </row>
    <row r="12">
      <c r="A12" s="4" t="inlineStr">
        <is>
          <t>01.08</t>
        </is>
      </c>
      <c r="B12" s="5" t="inlineStr">
        <is>
          <t>ניקיון שוטף בתקופת הביצוע</t>
        </is>
      </c>
      <c r="C12" s="5" t="inlineStr">
        <is>
          <t>ניקיון שוטף של שטחי העבודה והמעברים לאורך תקופת הביצוע, איסוף שאריות חומרים וריכוז הפסולת באזור המיועד לכך, לשמירת אתר מסודר ובטוח.</t>
        </is>
      </c>
      <c r="D12" s="4" t="inlineStr">
        <is>
          <t>קומפ׳</t>
        </is>
      </c>
      <c r="E12" s="6" t="n">
        <v>1</v>
      </c>
      <c r="F12" s="7" t="n"/>
      <c r="G12" s="7">
        <f>IF(AND(ISNUMBER(E12),ISNUMBER(F12)),ROUND(E12*F12,2),"")</f>
        <v/>
      </c>
      <c r="H12" s="5" t="n"/>
    </row>
    <row r="13">
      <c r="A13" s="8" t="inlineStr">
        <is>
          <t>סה״כ פרק 01 — הכנות והתארגנות לביצוע</t>
        </is>
      </c>
      <c r="B13" s="8" t="n"/>
      <c r="C13" s="8" t="n"/>
      <c r="D13" s="8" t="n"/>
      <c r="E13" s="8" t="n"/>
      <c r="F13" s="8" t="n"/>
      <c r="G13" s="9">
        <f>IF(COUNT(G5:G12)=0,"",SUM(G5:G12))</f>
        <v/>
      </c>
      <c r="H13" s="8" t="n"/>
    </row>
    <row r="15">
      <c r="A15" s="3" t="inlineStr">
        <is>
          <t>פרק 02 — הריסות, פירוקים ופינוי</t>
        </is>
      </c>
      <c r="B15" s="3" t="n"/>
      <c r="C15" s="3" t="n"/>
      <c r="D15" s="3" t="n"/>
      <c r="E15" s="3" t="n"/>
      <c r="F15" s="3" t="n"/>
      <c r="G15" s="3" t="n"/>
      <c r="H15" s="3" t="n"/>
    </row>
    <row r="16">
      <c r="A16" s="4" t="inlineStr">
        <is>
          <t>02.01</t>
        </is>
      </c>
      <c r="B16" s="5" t="inlineStr">
        <is>
          <t>פירוק קירות ומחיצות במרתף</t>
        </is>
      </c>
      <c r="C16" s="5" t="inlineStr">
        <is>
          <t>הריסה מבוקרת של כל הקירות והמחיצות המסומנים להריסה בקומת המרתף, בהתאם לתוכנית ההריסה: 10 מ״ר קירות בלוקים ו־52 מ״ר מחיצות גבס. אלמנטים נושאים – רק באישור קונסטרוקטור בכתב.</t>
        </is>
      </c>
      <c r="D16" s="4" t="inlineStr">
        <is>
          <t>מ״ר</t>
        </is>
      </c>
      <c r="E16" s="6" t="n">
        <v>62</v>
      </c>
      <c r="F16" s="7" t="n"/>
      <c r="G16" s="7">
        <f>IF(AND(ISNUMBER(E16),ISNUMBER(F16)),ROUND(E16*F16,2),"")</f>
        <v/>
      </c>
      <c r="H16" s="5" t="n"/>
    </row>
    <row r="17">
      <c r="A17" s="4" t="inlineStr">
        <is>
          <t>02.02</t>
        </is>
      </c>
      <c r="B17" s="5" t="inlineStr">
        <is>
          <t>פירוק קירות ומחיצות בקומת הקרקע</t>
        </is>
      </c>
      <c r="C17" s="5" t="inlineStr">
        <is>
          <t>הריסה ופירוק מבוקרים של כל הקירות והמחיצות (בלוקים, בטון וגבס) המסומנים להריסה בקומת הקרקע, בהתאם לתוכנית ההריסה. קירות בטון ואלמנטים נושאים – רק לאחר אישור הקונסטרוקטור בכתב.</t>
        </is>
      </c>
      <c r="D17" s="4" t="inlineStr">
        <is>
          <t>מ״ר</t>
        </is>
      </c>
      <c r="E17" s="6" t="n">
        <v>51</v>
      </c>
      <c r="F17" s="7" t="n"/>
      <c r="G17" s="7">
        <f>IF(AND(ISNUMBER(E17),ISNUMBER(F17)),ROUND(E17*F17,2),"")</f>
        <v/>
      </c>
      <c r="H17" s="5" t="n"/>
    </row>
    <row r="18">
      <c r="A18" s="4" t="inlineStr">
        <is>
          <t>02.03</t>
        </is>
      </c>
      <c r="B18" s="5" t="inlineStr">
        <is>
          <t>פירוק קירות ומחיצות בקומה א׳</t>
        </is>
      </c>
      <c r="C18" s="5" t="inlineStr">
        <is>
          <t>הריסה ופירוק מבוקרים של כל הקירות והמחיצות (בלוקים, בטון וגבס) המסומנים להריסה בקומה א׳, בהתאם לתוכנית ההריסה (כמות משוערת לפי התוכנית). קירות בטון ואלמנטים נושאים – רק לאחר אישור הקונסטרוקטור בכתב.</t>
        </is>
      </c>
      <c r="D18" s="4" t="inlineStr">
        <is>
          <t>מ״ר</t>
        </is>
      </c>
      <c r="E18" s="6" t="n">
        <v>85</v>
      </c>
      <c r="F18" s="7" t="n"/>
      <c r="G18" s="7">
        <f>IF(AND(ISNUMBER(E18),ISNUMBER(F18)),ROUND(E18*F18,2),"")</f>
        <v/>
      </c>
      <c r="H18" s="5" t="n"/>
    </row>
    <row r="19">
      <c r="A19" s="4" t="inlineStr">
        <is>
          <t>02.04</t>
        </is>
      </c>
      <c r="B19" s="5" t="inlineStr">
        <is>
          <t>פירוק תקרות גבס קיימות</t>
        </is>
      </c>
      <c r="C19" s="5" t="inlineStr">
        <is>
          <t>פירוק תקרות גבס קיימות המיועדות להסרה, לרבות לוחות, פרופילים ומתלים, בתיאום עם בעלי המקצוע ולאחר ניתוק המערכות הרלוונטיות.</t>
        </is>
      </c>
      <c r="D19" s="4" t="inlineStr">
        <is>
          <t>מ״ר</t>
        </is>
      </c>
      <c r="E19" s="6" t="n">
        <v>10</v>
      </c>
      <c r="F19" s="7" t="n"/>
      <c r="G19" s="7">
        <f>IF(AND(ISNUMBER(E19),ISNUMBER(F19)),ROUND(E19*F19,2),"")</f>
        <v/>
      </c>
      <c r="H19" s="5" t="n"/>
    </row>
    <row r="20">
      <c r="A20" s="4" t="inlineStr">
        <is>
          <t>02.05</t>
        </is>
      </c>
      <c r="B20" s="5" t="inlineStr">
        <is>
          <t>פירוק ריצופים קיימים</t>
        </is>
      </c>
      <c r="C20" s="5" t="inlineStr">
        <is>
          <t>פירוק ריצופים קיימים באזורים שיאושרו לביצוע, בהתאם להחלטה משותפת בשטח ובהתחשב במצב הריצוף הקיים. היקף הפירוק ייקבע לפני תחילת העבודה.</t>
        </is>
      </c>
      <c r="D20" s="4" t="inlineStr">
        <is>
          <t>מ״ר</t>
        </is>
      </c>
      <c r="E20" s="6" t="n">
        <v>40</v>
      </c>
      <c r="F20" s="7" t="n"/>
      <c r="G20" s="7">
        <f>IF(AND(ISNUMBER(E20),ISNUMBER(F20)),ROUND(E20*F20,2),"")</f>
        <v/>
      </c>
      <c r="H20" s="5" t="n"/>
    </row>
    <row r="21">
      <c r="A21" s="4" t="inlineStr">
        <is>
          <t>02.06</t>
        </is>
      </c>
      <c r="B21" s="5" t="inlineStr">
        <is>
          <t>פירוק ארונות מטבח קיימים</t>
        </is>
      </c>
      <c r="C21" s="5" t="inlineStr">
        <is>
          <t>פירוק ארונות מטבח קיימים, לרבות יחידות הארונות ורכיבי החיבור שלהן למבנה, בתיאום עם המזמין לגבי פריטים המיועדים לשימור.</t>
        </is>
      </c>
      <c r="D21" s="4" t="inlineStr">
        <is>
          <t>קומפ׳</t>
        </is>
      </c>
      <c r="E21" s="6" t="n">
        <v>1</v>
      </c>
      <c r="F21" s="7" t="n"/>
      <c r="G21" s="7">
        <f>IF(AND(ISNUMBER(E21),ISNUMBER(F21)),ROUND(E21*F21,2),"")</f>
        <v/>
      </c>
      <c r="H21" s="5" t="n"/>
    </row>
    <row r="22">
      <c r="A22" s="4" t="inlineStr">
        <is>
          <t>02.07</t>
        </is>
      </c>
      <c r="B22" s="5" t="inlineStr">
        <is>
          <t>פירוק ארונות ונגרות קיימת אחרת</t>
        </is>
      </c>
      <c r="C22" s="5" t="inlineStr">
        <is>
          <t>פירוק ארונות הלבשה ופריטי נגרות קיימים אחרים המיועדים להסרה, לרבות רכיבי החיבור למבנה, בהתאם להחלטת המזמין בדבר שימור או פינוי.</t>
        </is>
      </c>
      <c r="D22" s="4" t="inlineStr">
        <is>
          <t>יח׳</t>
        </is>
      </c>
      <c r="E22" s="6" t="n">
        <v>1</v>
      </c>
      <c r="F22" s="7" t="n"/>
      <c r="G22" s="7">
        <f>IF(AND(ISNUMBER(E22),ISNUMBER(F22)),ROUND(E22*F22,2),"")</f>
        <v/>
      </c>
      <c r="H22" s="5" t="n"/>
    </row>
    <row r="23">
      <c r="A23" s="4" t="inlineStr">
        <is>
          <t>02.08</t>
        </is>
      </c>
      <c r="B23" s="5" t="inlineStr">
        <is>
          <t>פירוק חלונות אלומיניום ותריסים קיימים – קומפלט</t>
        </is>
      </c>
      <c r="C23" s="5" t="inlineStr">
        <is>
          <t>פירוק כל החלונות והתריסים הקיימים המיועדים להחלפה לפי תוכנית הבנייה, לרבות כנפיים, זיגוג, מסגרות, רכיבי הפעלה ועיגון, וניתוק הזנת תריסים חשמליים, תוך שמירה על הפתח.</t>
        </is>
      </c>
      <c r="D23" s="4" t="inlineStr">
        <is>
          <t>קומפ׳</t>
        </is>
      </c>
      <c r="E23" s="6" t="n">
        <v>1</v>
      </c>
      <c r="F23" s="7" t="n"/>
      <c r="G23" s="7">
        <f>IF(AND(ISNUMBER(E23),ISNUMBER(F23)),ROUND(E23*F23,2),"")</f>
        <v/>
      </c>
      <c r="H23" s="5" t="n"/>
    </row>
    <row r="24">
      <c r="A24" s="4" t="inlineStr">
        <is>
          <t>02.09</t>
        </is>
      </c>
      <c r="B24" s="5" t="inlineStr">
        <is>
          <t>פירוק דלתות פנים וכניסה ומשקופים – קומפלט</t>
        </is>
      </c>
      <c r="C24" s="5" t="inlineStr">
        <is>
          <t>פירוק כל הדלתות המסומנות בתוכניות ההריסה, לרבות כנפיים, משקופים ופרזול, ובתיאום הסדרת הגישה למבנה במהלך הביצוע.</t>
        </is>
      </c>
      <c r="D24" s="4" t="inlineStr">
        <is>
          <t>קומפ׳</t>
        </is>
      </c>
      <c r="E24" s="6" t="n">
        <v>1</v>
      </c>
      <c r="F24" s="7" t="n"/>
      <c r="G24" s="7">
        <f>IF(AND(ISNUMBER(E24),ISNUMBER(F24)),ROUND(E24*F24,2),"")</f>
        <v/>
      </c>
      <c r="H24" s="5" t="n"/>
    </row>
    <row r="25">
      <c r="A25" s="4" t="inlineStr">
        <is>
          <t>02.10</t>
        </is>
      </c>
      <c r="B25" s="5" t="inlineStr">
        <is>
          <t>פירוק חדרי רחצה, שירותים וכלים סניטריים – קומפלט</t>
        </is>
      </c>
      <c r="C25" s="5" t="inlineStr">
        <is>
          <t>פירוק מלא של חדרי הרחצה והשירותים הקיימים: אסלות, כיורים, אמבטיות, מקלחונים, ברזים וחיפויי קירות, לרבות ניתוק וסגירת חיבורי מים וביוב, בהתאם לתוכניות ההריסה.</t>
        </is>
      </c>
      <c r="D25" s="4" t="inlineStr">
        <is>
          <t>קומפ׳</t>
        </is>
      </c>
      <c r="E25" s="6" t="n">
        <v>1</v>
      </c>
      <c r="F25" s="7" t="n"/>
      <c r="G25" s="7">
        <f>IF(AND(ISNUMBER(E25),ISNUMBER(F25)),ROUND(E25*F25,2),"")</f>
        <v/>
      </c>
      <c r="H25" s="5" t="n"/>
    </row>
    <row r="26">
      <c r="A26" s="4" t="inlineStr">
        <is>
          <t>02.11</t>
        </is>
      </c>
      <c r="B26" s="5" t="inlineStr">
        <is>
          <t>פירוק נקודות, אביזרי חשמל וגופי תאורה קיימים</t>
        </is>
      </c>
      <c r="C26" s="5" t="inlineStr">
        <is>
          <t>ניתוק ופירוק נקודות, שקעים, מפסקים וגופי תאורה קיימים המיועדים לביטול או להחלפה, באמצעות חשמלאי בעל רישיון מתאים, בתיאום עם המזמין לגבי פריטים לשימור.</t>
        </is>
      </c>
      <c r="D26" s="4" t="inlineStr">
        <is>
          <t>קומפ׳</t>
        </is>
      </c>
      <c r="E26" s="6" t="n">
        <v>1</v>
      </c>
      <c r="F26" s="7" t="n"/>
      <c r="G26" s="7">
        <f>IF(AND(ISNUMBER(E26),ISNUMBER(F26)),ROUND(E26*F26,2),"")</f>
        <v/>
      </c>
      <c r="H26" s="5" t="n"/>
    </row>
    <row r="27">
      <c r="A27" s="4" t="inlineStr">
        <is>
          <t>02.12</t>
        </is>
      </c>
      <c r="B27" s="5" t="inlineStr">
        <is>
          <t>פירוק צנרת אינסטלציה גלויה קיימת</t>
        </is>
      </c>
      <c r="C27" s="5" t="inlineStr">
        <is>
          <t>ניתוק ופירוק צנרת אינסטלציה גלויה המיועדת להסרה, לרבות אביזרי החיבור והקיבוע הרלוונטיים, לאחר זיהוי הקווים הפעילים וסגירת החיבורים הנדרשים.</t>
        </is>
      </c>
      <c r="D27" s="4" t="inlineStr">
        <is>
          <t>קומפ׳</t>
        </is>
      </c>
      <c r="E27" s="6" t="n">
        <v>1</v>
      </c>
      <c r="F27" s="7" t="n"/>
      <c r="G27" s="7">
        <f>IF(AND(ISNUMBER(E27),ISNUMBER(F27)),ROUND(E27*F27,2),"")</f>
        <v/>
      </c>
      <c r="H27" s="5" t="n"/>
    </row>
    <row r="28">
      <c r="A28" s="4" t="inlineStr">
        <is>
          <t>02.13</t>
        </is>
      </c>
      <c r="B28" s="5" t="inlineStr">
        <is>
          <t>פירוק יחידות מיזוג קיימות (פנים וחוץ)</t>
        </is>
      </c>
      <c r="C28" s="5" t="inlineStr">
        <is>
          <t>ניתוק ופירוק יחידות מיזוג פנים וחוץ קיימות, בתיאום מוקדם עם המזמין לגבי יחידות תקינות לשימוש חוזר (חלקן מיועדות ליחידת המרתף), לרבות שמירתן לפי ההחלטה.</t>
        </is>
      </c>
      <c r="D28" s="4" t="inlineStr">
        <is>
          <t>קומפ׳</t>
        </is>
      </c>
      <c r="E28" s="6" t="n">
        <v>1</v>
      </c>
      <c r="F28" s="7" t="n"/>
      <c r="G28" s="7">
        <f>IF(AND(ISNUMBER(E28),ISNUMBER(F28)),ROUND(E28*F28,2),"")</f>
        <v/>
      </c>
      <c r="H28" s="5" t="n"/>
    </row>
    <row r="29">
      <c r="A29" s="4" t="inlineStr">
        <is>
          <t>02.14</t>
        </is>
      </c>
      <c r="B29" s="5" t="inlineStr">
        <is>
          <t>פירוק מעקה גרם המדרגות הפנימי</t>
        </is>
      </c>
      <c r="C29" s="5" t="inlineStr">
        <is>
          <t>פירוק זהיר ומבוקר של המעקה הקיים בגרם המדרגות הפנימי, בהתאם להנחיות הקונסטרוקטור ולאישורו בכתב. חיזוק גרם המדרגות מתואר בנפרד בפרק הבנייה.</t>
        </is>
      </c>
      <c r="D29" s="4" t="inlineStr">
        <is>
          <t>קומפ׳</t>
        </is>
      </c>
      <c r="E29" s="6" t="n">
        <v>1</v>
      </c>
      <c r="F29" s="7" t="n"/>
      <c r="G29" s="7">
        <f>IF(AND(ISNUMBER(E29),ISNUMBER(F29)),ROUND(E29*F29,2),"")</f>
        <v/>
      </c>
      <c r="H29" s="5" t="n"/>
    </row>
    <row r="30">
      <c r="A30" s="4" t="inlineStr">
        <is>
          <t>02.15</t>
        </is>
      </c>
      <c r="B30" s="5" t="inlineStr">
        <is>
          <t>ניסור ופירוק מסגרות בטון דקורטיביות סביב חלונות</t>
        </is>
      </c>
      <c r="C30" s="5" t="inlineStr">
        <is>
          <t>ניסור ופירוק מבוקר של מסגרות הבטון הדקורטיביות סביב פתחי החלונות בחזיתות, בהתאם להנחיות ולאישור הקונסטרוקטור, עד להסרת הבליטות והכנת האזור להשלמת גמר חזית אחיד. עבודות הטיח והגמר מתוארות בפרק טיח החוץ.</t>
        </is>
      </c>
      <c r="D30" s="4" t="inlineStr">
        <is>
          <t>מ״א</t>
        </is>
      </c>
      <c r="E30" s="6" t="n">
        <v>45</v>
      </c>
      <c r="F30" s="7" t="n"/>
      <c r="G30" s="7">
        <f>IF(AND(ISNUMBER(E30),ISNUMBER(F30)),ROUND(E30*F30,2),"")</f>
        <v/>
      </c>
      <c r="H30" s="5" t="n"/>
    </row>
    <row r="31">
      <c r="A31" s="4" t="inlineStr">
        <is>
          <t>02.16</t>
        </is>
      </c>
      <c r="B31" s="5" t="inlineStr">
        <is>
          <t>מיון ופינוי פסולת לאתר מורשה</t>
        </is>
      </c>
      <c r="C31" s="5" t="inlineStr">
        <is>
          <t>מיון פסולת ההריסה והפירוק לפי סוגי החומרים, העמסה והובלה לאתר מורשה, לרבות מסירת אישורי הפינוי הנדרשים.</t>
        </is>
      </c>
      <c r="D31" s="4" t="inlineStr">
        <is>
          <t>קומפ׳</t>
        </is>
      </c>
      <c r="E31" s="6" t="n">
        <v>1</v>
      </c>
      <c r="F31" s="7" t="n"/>
      <c r="G31" s="7">
        <f>IF(AND(ISNUMBER(E31),ISNUMBER(F31)),ROUND(E31*F31,2),"")</f>
        <v/>
      </c>
      <c r="H31" s="5" t="n"/>
    </row>
    <row r="32">
      <c r="A32" s="4" t="inlineStr">
        <is>
          <t>02.17</t>
        </is>
      </c>
      <c r="B32" s="5" t="inlineStr">
        <is>
          <t>ניקיון יסודי לאחר ההריסות</t>
        </is>
      </c>
      <c r="C32" s="5" t="inlineStr">
        <is>
          <t>ניקיון יסודי של שטחי ההריסה והפירוק לאחר השלמתם, הסרת שאריות וריכוז פסולת שנותרה, והכנת השטחים לתחילת עבודות הבנייה.</t>
        </is>
      </c>
      <c r="D32" s="4" t="inlineStr">
        <is>
          <t>קומפ׳</t>
        </is>
      </c>
      <c r="E32" s="6" t="n">
        <v>1</v>
      </c>
      <c r="F32" s="7" t="n"/>
      <c r="G32" s="7">
        <f>IF(AND(ISNUMBER(E32),ISNUMBER(F32)),ROUND(E32*F32,2),"")</f>
        <v/>
      </c>
      <c r="H32" s="5" t="n"/>
    </row>
    <row r="33">
      <c r="A33" s="4" t="inlineStr">
        <is>
          <t>02.18</t>
        </is>
      </c>
      <c r="B33" s="5" t="inlineStr">
        <is>
          <t>פירוק פנלים קיימים בכל הבית</t>
        </is>
      </c>
      <c r="C33" s="5" t="inlineStr">
        <is>
          <t>פירוק פנלים קיימים בכל שטחי הבית, כולל ניקוי הקיר ושאריות הדבק, לפי הערות תוכניות ההריסה.</t>
        </is>
      </c>
      <c r="D33" s="4" t="inlineStr">
        <is>
          <t>קומפ׳</t>
        </is>
      </c>
      <c r="E33" s="6" t="n">
        <v>1</v>
      </c>
      <c r="F33" s="7" t="n"/>
      <c r="G33" s="7">
        <f>IF(AND(ISNUMBER(E33),ISNUMBER(F33)),ROUND(E33*F33,2),"")</f>
        <v/>
      </c>
      <c r="H33" s="5" t="n"/>
    </row>
    <row r="34">
      <c r="A34" s="4" t="inlineStr">
        <is>
          <t>02.19</t>
        </is>
      </c>
      <c r="B34" s="5" t="inlineStr">
        <is>
          <t>פירוק מדרגות חוץ</t>
        </is>
      </c>
      <c r="C34" s="5" t="inlineStr">
        <is>
          <t xml:space="preserve">פירוק והריסת מדרגות בטון בגמר גרנוליט, לרבות פירוק המעקות ועיגוניהם, חיתוך הזיון לפי הצורך, איסוף הפסולת, העמסתה ,הובלתה לאתר מורשה, כולל אגרות פינוי וניקוי שטח העבודה בגמר הביצוע. </t>
        </is>
      </c>
      <c r="D34" s="4" t="inlineStr">
        <is>
          <t>קומפ׳</t>
        </is>
      </c>
      <c r="E34" s="6" t="n">
        <v>1</v>
      </c>
      <c r="F34" s="7" t="n"/>
      <c r="G34" s="7">
        <f>IF(AND(ISNUMBER(E34),ISNUMBER(F34)),ROUND(E34*F34,2),"")</f>
        <v/>
      </c>
      <c r="H34" s="5" t="n"/>
    </row>
    <row r="35">
      <c r="A35" s="4" t="inlineStr">
        <is>
          <t>02.20</t>
        </is>
      </c>
      <c r="B35" s="5" t="inlineStr">
        <is>
          <t>פירוק רצפת גרנוליט בחניה, בכניסה ובשבילים</t>
        </is>
      </c>
      <c r="C35" s="5" t="inlineStr">
        <is>
          <t>פירוק רצפת גרנוליט ומצעה באזור החניה, הכניסה לבית והשבילים, כמפורט בתכולת פרק 2 בחוברת, לרבות ריכוז הפסולת.</t>
        </is>
      </c>
      <c r="D35" s="4" t="inlineStr">
        <is>
          <t>מ״ר</t>
        </is>
      </c>
      <c r="E35" s="6" t="n">
        <v>100</v>
      </c>
      <c r="F35" s="7" t="n"/>
      <c r="G35" s="7">
        <f>IF(AND(ISNUMBER(E35),ISNUMBER(F35)),ROUND(E35*F35,2),"")</f>
        <v/>
      </c>
      <c r="H35" s="5" t="n"/>
    </row>
    <row r="36">
      <c r="A36" s="8" t="inlineStr">
        <is>
          <t>סה״כ פרק 02 — הריסות, פירוקים ופינוי</t>
        </is>
      </c>
      <c r="B36" s="8" t="n"/>
      <c r="C36" s="8" t="n"/>
      <c r="D36" s="8" t="n"/>
      <c r="E36" s="8" t="n"/>
      <c r="F36" s="8" t="n"/>
      <c r="G36" s="9">
        <f>IF(COUNT(G16:G35)=0,"",SUM(G16:G35))</f>
        <v/>
      </c>
      <c r="H36" s="8" t="n"/>
    </row>
    <row r="38">
      <c r="A38" s="3" t="inlineStr">
        <is>
          <t>פרק 03 — בנייה ותוספות מבניות</t>
        </is>
      </c>
      <c r="B38" s="3" t="n"/>
      <c r="C38" s="3" t="n"/>
      <c r="D38" s="3" t="n"/>
      <c r="E38" s="3" t="n"/>
      <c r="F38" s="3" t="n"/>
      <c r="G38" s="3" t="n"/>
      <c r="H38" s="3" t="n"/>
    </row>
    <row r="39">
      <c r="A39" s="4" t="inlineStr">
        <is>
          <t>03.01</t>
        </is>
      </c>
      <c r="B39" s="5" t="inlineStr">
        <is>
          <t>הגדלת מרפסת הסלון ותוספת פרגולה</t>
        </is>
      </c>
      <c r="C39" s="5" t="inlineStr">
        <is>
          <t>ביצוע הגדלת מרפסת הסלון ותוספת הפרגולה, קומפלט בתחום העבודות המבניות ובהתאם לתוכניות ולמפרט הקונסטרוקטור, לרבות ביסוס, רכיבי בטון וזיון, שלד פלדה מפרופילי RHS, לוחות בסיס, עיגונים, חיבורים וריתוכים, ככל שנדרשים בתכנון. העבודה כוללת את הבדיקות, אישורי הביצוע ותוכנית העדות הנדרשים במפרט. עבודות האיטום והגמר יבוצעו במסגרת הפרקים הייעודיים.</t>
        </is>
      </c>
      <c r="D39" s="4" t="inlineStr">
        <is>
          <t>קומפ׳</t>
        </is>
      </c>
      <c r="E39" s="6" t="n">
        <v>1</v>
      </c>
      <c r="F39" s="7" t="n"/>
      <c r="G39" s="7">
        <f>IF(AND(ISNUMBER(E39),ISNUMBER(F39)),ROUND(E39*F39,2),"")</f>
        <v/>
      </c>
      <c r="H39" s="5" t="n"/>
    </row>
    <row r="40">
      <c r="A40" s="4" t="inlineStr">
        <is>
          <t>03.02</t>
        </is>
      </c>
      <c r="B40" s="5" t="inlineStr">
        <is>
          <t>תוספת חדר בקומת הגלריה</t>
        </is>
      </c>
      <c r="C40" s="5" t="inlineStr">
        <is>
          <t>ביצוע העבודות המבניות לתוספת החדר בקומת הגלריה, קומפלט לפי תוכניות הקונסטרוקטור והאדריכלות, לרבות רכיבי השלד, החיבורים והעיגונים למבנה הקיים, פתחים והכנות מבניות למערכות, בהתאם לתכנון. העבודה כוללת בדיקות, אישורים ותוכנית עדות; גמרים ומערכות מפורטים בפרקים הייעודיים.</t>
        </is>
      </c>
      <c r="D40" s="4" t="inlineStr">
        <is>
          <t>קומפ׳</t>
        </is>
      </c>
      <c r="E40" s="6" t="n">
        <v>1</v>
      </c>
      <c r="F40" s="7" t="n"/>
      <c r="G40" s="7">
        <f>IF(AND(ISNUMBER(E40),ISNUMBER(F40)),ROUND(E40*F40,2),"")</f>
        <v/>
      </c>
      <c r="H40" s="5" t="n"/>
    </row>
    <row r="41">
      <c r="A41" s="4" t="inlineStr">
        <is>
          <t>03.03</t>
        </is>
      </c>
      <c r="B41" s="5" t="inlineStr">
        <is>
          <t>כניסה חדשה וגרם מדרגות חדש</t>
        </is>
      </c>
      <c r="C41" s="5" t="inlineStr">
        <is>
          <t>ביצוע העבודות המבניות לכניסה החדשה ולגרם המדרגות החדש, קומפלט לפי תוכניות הקונסטרוקטור והאדריכלות, לרבות ביסוס, רכיבי השלד, זיון, יציקות, חיבורים ועיגונים, וכן אלמנטי מעקה ככל שנכללים בתכנון המבני. גמרים יבוצעו במסגרת הפרקים הייעודיים.</t>
        </is>
      </c>
      <c r="D41" s="4" t="inlineStr">
        <is>
          <t>קומפ׳</t>
        </is>
      </c>
      <c r="E41" s="6" t="n">
        <v>1</v>
      </c>
      <c r="F41" s="7" t="n"/>
      <c r="G41" s="7">
        <f>IF(AND(ISNUMBER(E41),ISNUMBER(F41)),ROUND(E41*F41,2),"")</f>
        <v/>
      </c>
      <c r="H41" s="5" t="n"/>
    </row>
    <row r="42">
      <c r="A42" s="4" t="inlineStr">
        <is>
          <t>03.04</t>
        </is>
      </c>
      <c r="B42" s="5" t="inlineStr">
        <is>
          <t>חיזוק גרם המדרגות הפנימי הקיים</t>
        </is>
      </c>
      <c r="C42" s="5" t="inlineStr">
        <is>
          <t>חיזוק גרם המדרגות הפנימי לאחר פירוק המעקה הקיים, קומפלט לפי פרטי הקונסטרוקטור, לרבות רכיבי החיזוק, החיבורים והעיגונים המוגדרים בתכנון, בדיקות וקבלת אישור הקונסטרוקטור לביצוע.</t>
        </is>
      </c>
      <c r="D42" s="4" t="inlineStr">
        <is>
          <t>קומפ׳</t>
        </is>
      </c>
      <c r="E42" s="6" t="n">
        <v>1</v>
      </c>
      <c r="F42" s="7" t="n"/>
      <c r="G42" s="7">
        <f>IF(AND(ISNUMBER(E42),ISNUMBER(F42)),ROUND(E42*F42,2),"")</f>
        <v/>
      </c>
      <c r="H42" s="5" t="n"/>
    </row>
    <row r="43">
      <c r="A43" s="8" t="inlineStr">
        <is>
          <t>סה״כ פרק 03 — בנייה ותוספות מבניות</t>
        </is>
      </c>
      <c r="B43" s="8" t="n"/>
      <c r="C43" s="8" t="n"/>
      <c r="D43" s="8" t="n"/>
      <c r="E43" s="8" t="n"/>
      <c r="F43" s="8" t="n"/>
      <c r="G43" s="9">
        <f>IF(COUNT(G39:G42)=0,"",SUM(G39:G42))</f>
        <v/>
      </c>
      <c r="H43" s="8" t="n"/>
    </row>
    <row r="45">
      <c r="A45" s="3" t="inlineStr">
        <is>
          <t>פרק 04 — חלוקה חדשה בקירות בלוקים</t>
        </is>
      </c>
      <c r="B45" s="3" t="n"/>
      <c r="C45" s="3" t="n"/>
      <c r="D45" s="3" t="n"/>
      <c r="E45" s="3" t="n"/>
      <c r="F45" s="3" t="n"/>
      <c r="G45" s="3" t="n"/>
      <c r="H45" s="3" t="n"/>
    </row>
    <row r="46">
      <c r="A46" s="4" t="inlineStr">
        <is>
          <t>04.01</t>
        </is>
      </c>
      <c r="B46" s="5" t="inlineStr">
        <is>
          <t>קירות בלוקים במרתף</t>
        </is>
      </c>
      <c r="C46" s="5" t="inlineStr">
        <is>
          <t>בניית קירות בלוקים בעובי 20 ס״מ בקומת המרתף, במיקומים המסומנים בתוכנית הבנייה החדשה, בהתאם לפרטי הקונסטרוקטור, לרבות חומרי החיבור, חיבור למבנה הקיים ורכיבי זיון או חיזוק ככל שנדרשים בפרטים. טיח וגמר אינם כלולים בסעיף זה.</t>
        </is>
      </c>
      <c r="D46" s="4" t="inlineStr">
        <is>
          <t>מ״ר</t>
        </is>
      </c>
      <c r="E46" s="10" t="n">
        <v>6.3</v>
      </c>
      <c r="F46" s="7" t="n"/>
      <c r="G46" s="7">
        <f>IF(AND(ISNUMBER(E46),ISNUMBER(F46)),ROUND(E46*F46,2),"")</f>
        <v/>
      </c>
      <c r="H46" s="5" t="n"/>
    </row>
    <row r="47">
      <c r="A47" s="4" t="inlineStr">
        <is>
          <t>04.02</t>
        </is>
      </c>
      <c r="B47" s="5" t="inlineStr">
        <is>
          <t>קירות בלוקים בקומת הקרקע</t>
        </is>
      </c>
      <c r="C47" s="5" t="inlineStr">
        <is>
          <t>בניית קירות בלוקים בעובי 20 ס״מ בקומת הקרקע, במיקומים המסומנים בתוכנית הבנייה החדשה, בהתאם לפרטי הקונסטרוקטור, לרבות חומרי החיבור, חיבור למבנה הקיים ורכיבי זיון או חיזוק ככל שנדרשים בפרטים. טיח וגמר אינם כלולים בסעיף זה.</t>
        </is>
      </c>
      <c r="D47" s="4" t="inlineStr">
        <is>
          <t>מ״ר</t>
        </is>
      </c>
      <c r="E47" s="10" t="n">
        <v>17.7</v>
      </c>
      <c r="F47" s="7" t="n"/>
      <c r="G47" s="7">
        <f>IF(AND(ISNUMBER(E47),ISNUMBER(F47)),ROUND(E47*F47,2),"")</f>
        <v/>
      </c>
      <c r="H47" s="5" t="n"/>
    </row>
    <row r="48">
      <c r="A48" s="4" t="inlineStr">
        <is>
          <t>04.03</t>
        </is>
      </c>
      <c r="B48" s="5" t="inlineStr">
        <is>
          <t>קירות בלוקים בקומה א׳ ובגלריה</t>
        </is>
      </c>
      <c r="C48" s="5" t="inlineStr">
        <is>
          <t>בניית קירות בלוקים בעובי 20 ס״מ בקומה א׳ ובגלריה, במיקומים המסומנים בתוכנית הבנייה החדשה, בהתאם לפרטי הקונסטרוקטור, לרבות חומרי החיבור, חיבור למבנה הקיים ורכיבי זיון או חיזוק ככל שנדרשים בפרטים. טיח וגמר אינם כלולים בסעיף זה.</t>
        </is>
      </c>
      <c r="D48" s="4" t="inlineStr">
        <is>
          <t>מ״ר</t>
        </is>
      </c>
      <c r="E48" s="10" t="n">
        <v>2.08</v>
      </c>
      <c r="F48" s="7" t="n"/>
      <c r="G48" s="7">
        <f>IF(AND(ISNUMBER(E48),ISNUMBER(F48)),ROUND(E48*F48,2),"")</f>
        <v/>
      </c>
      <c r="H48" s="5" t="n"/>
    </row>
    <row r="49">
      <c r="A49" s="8" t="inlineStr">
        <is>
          <t>סה״כ פרק 04 — חלוקה חדשה בקירות בלוקים</t>
        </is>
      </c>
      <c r="B49" s="8" t="n"/>
      <c r="C49" s="8" t="n"/>
      <c r="D49" s="8" t="n"/>
      <c r="E49" s="8" t="n"/>
      <c r="F49" s="8" t="n"/>
      <c r="G49" s="9">
        <f>IF(COUNT(G46:G48)=0,"",SUM(G46:G48))</f>
        <v/>
      </c>
      <c r="H49" s="8" t="n"/>
    </row>
    <row r="51">
      <c r="A51" s="3" t="inlineStr">
        <is>
          <t>פרק 05 — אינסטלציה, התקנת כלים סניטריים וברזים</t>
        </is>
      </c>
      <c r="B51" s="3" t="n"/>
      <c r="C51" s="3" t="n"/>
      <c r="D51" s="3" t="n"/>
      <c r="E51" s="3" t="n"/>
      <c r="F51" s="3" t="n"/>
      <c r="G51" s="3" t="n"/>
      <c r="H51" s="3" t="n"/>
    </row>
    <row r="52">
      <c r="A52" s="4" t="inlineStr">
        <is>
          <t>05.01</t>
        </is>
      </c>
      <c r="B52" s="5" t="inlineStr">
        <is>
          <t>התקנת אסלה תלויה</t>
        </is>
      </c>
      <c r="C52" s="5" t="inlineStr">
        <is>
          <t>התקנת אסלה תלויה במיקום המתוכנן, לרבות קיבוע למערכת הנשיאה, חיבור למערכת ההדחה והביוב, אטימת החיבורים ובדיקת יציבות ותפקוד. מכל ההדחה, הלחצן והמושב מתוארים בנפרד.</t>
        </is>
      </c>
      <c r="D52" s="4" t="inlineStr">
        <is>
          <t>יח׳</t>
        </is>
      </c>
      <c r="E52" s="6" t="n">
        <v>7</v>
      </c>
      <c r="F52" s="7" t="n"/>
      <c r="G52" s="7">
        <f>IF(AND(ISNUMBER(E52),ISNUMBER(F52)),ROUND(E52*F52,2),"")</f>
        <v/>
      </c>
      <c r="H52" s="5" t="n"/>
    </row>
    <row r="53">
      <c r="A53" s="4" t="inlineStr">
        <is>
          <t>05.02</t>
        </is>
      </c>
      <c r="B53" s="5" t="inlineStr">
        <is>
          <t>התקנת מכל הדחה סמוי</t>
        </is>
      </c>
      <c r="C53" s="5" t="inlineStr">
        <is>
          <t>התקנת מכל הדחה סמוי ומערכת הנשיאה הנלווית לפי המוצר שנבחר, לרבות עיגון, חיבור למים ולאסלה, התאמת מיקום פתח השירות ובדיקת אטימות ותפקוד לפני סגירת החיפוי.</t>
        </is>
      </c>
      <c r="D53" s="4" t="inlineStr">
        <is>
          <t>יח׳</t>
        </is>
      </c>
      <c r="E53" s="6" t="n">
        <v>7</v>
      </c>
      <c r="F53" s="7" t="n"/>
      <c r="G53" s="7">
        <f>IF(AND(ISNUMBER(E53),ISNUMBER(F53)),ROUND(E53*F53,2),"")</f>
        <v/>
      </c>
      <c r="H53" s="5" t="n"/>
    </row>
    <row r="54">
      <c r="A54" s="4" t="inlineStr">
        <is>
          <t>05.03</t>
        </is>
      </c>
      <c r="B54" s="5" t="inlineStr">
        <is>
          <t>התקנת לחצן הדחה</t>
        </is>
      </c>
      <c r="C54" s="5" t="inlineStr">
        <is>
          <t>התקנת לחצן הדחה התואם למכל הסמוי, התאמתו למישור הגמר ובדיקת פעולת מנגנון ההדחה.</t>
        </is>
      </c>
      <c r="D54" s="4" t="inlineStr">
        <is>
          <t>יח׳</t>
        </is>
      </c>
      <c r="E54" s="6" t="n">
        <v>7</v>
      </c>
      <c r="F54" s="7" t="n"/>
      <c r="G54" s="7">
        <f>IF(AND(ISNUMBER(E54),ISNUMBER(F54)),ROUND(E54*F54,2),"")</f>
        <v/>
      </c>
      <c r="H54" s="5" t="n"/>
    </row>
    <row r="55">
      <c r="A55" s="4" t="inlineStr">
        <is>
          <t>05.04</t>
        </is>
      </c>
      <c r="B55" s="5" t="inlineStr">
        <is>
          <t>התקנת מושב אסלה הידראולי</t>
        </is>
      </c>
      <c r="C55" s="5" t="inlineStr">
        <is>
          <t>התקנת מושב אסלה בעל מנגנון סגירה הידראולי, התואם לדגם האסלה, לרבות קיבוע, כיוון ובדיקת פעולת המנגנון.</t>
        </is>
      </c>
      <c r="D55" s="4" t="inlineStr">
        <is>
          <t>יח׳</t>
        </is>
      </c>
      <c r="E55" s="6" t="n">
        <v>7</v>
      </c>
      <c r="F55" s="7" t="n"/>
      <c r="G55" s="7">
        <f>IF(AND(ISNUMBER(E55),ISNUMBER(F55)),ROUND(E55*F55,2),"")</f>
        <v/>
      </c>
      <c r="H55" s="5" t="n"/>
    </row>
    <row r="56">
      <c r="A56" s="4" t="inlineStr">
        <is>
          <t>05.05</t>
        </is>
      </c>
      <c r="B56" s="5" t="inlineStr">
        <is>
          <t>התקנת כיור עומד</t>
        </is>
      </c>
      <c r="C56" s="5" t="inlineStr">
        <is>
          <t>התקנת כיור עומד לפי הדגם שנבחר, לרבות העמדה וקיבוע בהתאם להוראות היצרן, חיבור לניקוז ואטימת המפגשים הנדרשים.</t>
        </is>
      </c>
      <c r="D56" s="4" t="inlineStr">
        <is>
          <t>יח׳</t>
        </is>
      </c>
      <c r="E56" s="6" t="n">
        <v>1</v>
      </c>
      <c r="F56" s="7" t="n"/>
      <c r="G56" s="7">
        <f>IF(AND(ISNUMBER(E56),ISNUMBER(F56)),ROUND(E56*F56,2),"")</f>
        <v/>
      </c>
      <c r="H56" s="5" t="n"/>
    </row>
    <row r="57">
      <c r="A57" s="4" t="inlineStr">
        <is>
          <t>05.06</t>
        </is>
      </c>
      <c r="B57" s="5" t="inlineStr">
        <is>
          <t>התקנת ברז קיר</t>
        </is>
      </c>
      <c r="C57" s="5" t="inlineStr">
        <is>
          <t>התקנת ברז קיר במיקום ובגובה המתוכננים, לרבות חיבור לנקודות המים, התאמה לעומק הגמר, אטימת החיבורים ובדיקת פעולה.</t>
        </is>
      </c>
      <c r="D57" s="4" t="inlineStr">
        <is>
          <t>יח׳</t>
        </is>
      </c>
      <c r="E57" s="6" t="n">
        <v>6</v>
      </c>
      <c r="F57" s="7" t="n"/>
      <c r="G57" s="7">
        <f>IF(AND(ISNUMBER(E57),ISNUMBER(F57)),ROUND(E57*F57,2),"")</f>
        <v/>
      </c>
      <c r="H57" s="5" t="n"/>
    </row>
    <row r="58">
      <c r="A58" s="4" t="inlineStr">
        <is>
          <t>05.07</t>
        </is>
      </c>
      <c r="B58" s="5" t="inlineStr">
        <is>
          <t>התקנת ראש גשם</t>
        </is>
      </c>
      <c r="C58" s="5" t="inlineStr">
        <is>
          <t>התקנת ראש גשם ורכיב החיבור התואם למוצר שנבחר, לרבות חיבור לנקודת המים, קיבוע ובדיקת זרימה ואטימות.</t>
        </is>
      </c>
      <c r="D58" s="4" t="inlineStr">
        <is>
          <t>יח׳</t>
        </is>
      </c>
      <c r="E58" s="6" t="n">
        <v>6</v>
      </c>
      <c r="F58" s="7" t="n"/>
      <c r="G58" s="7">
        <f>IF(AND(ISNUMBER(E58),ISNUMBER(F58)),ROUND(E58*F58,2),"")</f>
        <v/>
      </c>
      <c r="H58" s="5" t="n"/>
    </row>
    <row r="59">
      <c r="A59" s="4" t="inlineStr">
        <is>
          <t>05.08</t>
        </is>
      </c>
      <c r="B59" s="5" t="inlineStr">
        <is>
          <t>התקנת אינטרפוץ תלת־דרכי</t>
        </is>
      </c>
      <c r="C59" s="5" t="inlineStr">
        <is>
          <t>התקנת מערכת אינטרפוץ תלת־דרכית, לרבות הגוף הסמוי ורכיבי הגמר של המוצר שנבחר, חיבור לקווי המים וליציאות המתוכננות, התאמת עומק ההתקנה ובדיקת אטימות ותפקוד לפני סגירה ובגמר ההתקנה.</t>
        </is>
      </c>
      <c r="D59" s="4" t="inlineStr">
        <is>
          <t>יח׳</t>
        </is>
      </c>
      <c r="E59" s="6" t="n">
        <v>10</v>
      </c>
      <c r="F59" s="7" t="n"/>
      <c r="G59" s="7">
        <f>IF(AND(ISNUMBER(E59),ISNUMBER(F59)),ROUND(E59*F59,2),"")</f>
        <v/>
      </c>
      <c r="H59" s="5" t="n"/>
    </row>
    <row r="60">
      <c r="A60" s="4" t="inlineStr">
        <is>
          <t>05.09</t>
        </is>
      </c>
      <c r="B60" s="5" t="inlineStr">
        <is>
          <t>התקנת אינטרפוץ ארבע־דרכי</t>
        </is>
      </c>
      <c r="C60" s="5" t="inlineStr">
        <is>
          <t>התקנת מערכת אינטרפוץ ארבע־דרכית, לרבות הגוף הסמוי ורכיבי הגמר של המוצר שנבחר, חיבור לקווי המים וליציאות המתוכננות, התאמת עומק ההתקנה ובדיקת אטימות ותפקוד לפני סגירה ובגמר ההתקנה.</t>
        </is>
      </c>
      <c r="D60" s="4" t="inlineStr">
        <is>
          <t>יח׳</t>
        </is>
      </c>
      <c r="E60" s="6" t="n">
        <v>2</v>
      </c>
      <c r="F60" s="7" t="n"/>
      <c r="G60" s="7">
        <f>IF(AND(ISNUMBER(E60),ISNUMBER(F60)),ROUND(E60*F60,2),"")</f>
        <v/>
      </c>
      <c r="H60" s="5" t="n"/>
    </row>
    <row r="61">
      <c r="A61" s="4" t="inlineStr">
        <is>
          <t>05.10</t>
        </is>
      </c>
      <c r="B61" s="5" t="inlineStr">
        <is>
          <t>התקנת מאחז מזלף</t>
        </is>
      </c>
      <c r="C61" s="5" t="inlineStr">
        <is>
          <t>התקנת מאחז מזלף במיקום המתוכנן, לרבות קיבוע לתשתית ואטימת נקודות העיגון באזור הרטוב.</t>
        </is>
      </c>
      <c r="D61" s="4" t="inlineStr">
        <is>
          <t>יח׳</t>
        </is>
      </c>
      <c r="E61" s="6" t="n">
        <v>7</v>
      </c>
      <c r="F61" s="7" t="n"/>
      <c r="G61" s="7">
        <f>IF(AND(ISNUMBER(E61),ISNUMBER(F61)),ROUND(E61*F61,2),"")</f>
        <v/>
      </c>
      <c r="H61" s="5" t="n"/>
    </row>
    <row r="62">
      <c r="A62" s="4" t="inlineStr">
        <is>
          <t>05.11</t>
        </is>
      </c>
      <c r="B62" s="5" t="inlineStr">
        <is>
          <t>התקנת אביזר ניקוז המסומן 10/10</t>
        </is>
      </c>
      <c r="C62" s="5" t="inlineStr">
        <is>
          <t>התקנת אביזר הניקוז המסומן במקור „תעלת ניקוז 10/10”, לרבות חיבור למערכת הניקוז, התאמה למפלס הריצוף ושילוב אטום עם מערכת האיטום. סוג האביזר המדויק ייקבע לפי התוכנית והמוצר המאושר.</t>
        </is>
      </c>
      <c r="D62" s="4" t="inlineStr">
        <is>
          <t>יח׳</t>
        </is>
      </c>
      <c r="E62" s="6" t="n">
        <v>5</v>
      </c>
      <c r="F62" s="7" t="n"/>
      <c r="G62" s="7">
        <f>IF(AND(ISNUMBER(E62),ISNUMBER(F62)),ROUND(E62*F62,2),"")</f>
        <v/>
      </c>
      <c r="H62" s="5" t="n"/>
    </row>
    <row r="63">
      <c r="A63" s="4" t="inlineStr">
        <is>
          <t>05.12</t>
        </is>
      </c>
      <c r="B63" s="5" t="inlineStr">
        <is>
          <t>התקנת תעלת גלישה המסומנת 110</t>
        </is>
      </c>
      <c r="C63" s="5" t="inlineStr">
        <is>
          <t>התקנת תעלת הגלישה המסומנת במקור „110”, לרבות העמדה במיקום המתוכנן, חיבור לניקוז, התאמה למפלסי הגמר ושילוב עם מערכת האיטום, בהתאם לפרט ולמוצר שנבחר.</t>
        </is>
      </c>
      <c r="D63" s="4" t="inlineStr">
        <is>
          <t>יח׳</t>
        </is>
      </c>
      <c r="E63" s="6" t="n">
        <v>1</v>
      </c>
      <c r="F63" s="7" t="n"/>
      <c r="G63" s="7">
        <f>IF(AND(ISNUMBER(E63),ISNUMBER(F63)),ROUND(E63*F63,2),"")</f>
        <v/>
      </c>
      <c r="H63" s="5" t="n"/>
    </row>
    <row r="64">
      <c r="A64" s="4" t="inlineStr">
        <is>
          <t>05.13</t>
        </is>
      </c>
      <c r="B64" s="5" t="inlineStr">
        <is>
          <t>התקנת אמבטיה עצמאית</t>
        </is>
      </c>
      <c r="C64" s="5" t="inlineStr">
        <is>
          <t>התקנת אמבטיה עצמאית מסוג Free Standing, לרבות העמדה במיקום המתוכנן, התאמת מפלס, חיבור לניקוז ובדיקת אטימות. ברז המילוי מתואר בנפרד.</t>
        </is>
      </c>
      <c r="D64" s="4" t="inlineStr">
        <is>
          <t>יח׳</t>
        </is>
      </c>
      <c r="E64" s="6" t="n">
        <v>1</v>
      </c>
      <c r="F64" s="7" t="n"/>
      <c r="G64" s="7">
        <f>IF(AND(ISNUMBER(E64),ISNUMBER(F64)),ROUND(E64*F64,2),"")</f>
        <v/>
      </c>
      <c r="H64" s="5" t="n"/>
    </row>
    <row r="65">
      <c r="A65" s="4" t="inlineStr">
        <is>
          <t>05.15</t>
        </is>
      </c>
      <c r="B65" s="5" t="inlineStr">
        <is>
          <t>התקנת ברז מילוי לאמבטיה</t>
        </is>
      </c>
      <c r="C65" s="5" t="inlineStr">
        <is>
          <t>התקנת ברז מילוי אמבטיה לפי הדגם ושיטת ההתקנה שנבחרו, לרבות חיבור למים, קיבוע, אטימת החיבורים ובדיקת פעולה.</t>
        </is>
      </c>
      <c r="D65" s="4" t="inlineStr">
        <is>
          <t>יח׳</t>
        </is>
      </c>
      <c r="E65" s="6" t="n">
        <v>1</v>
      </c>
      <c r="F65" s="7" t="n"/>
      <c r="G65" s="7">
        <f>IF(AND(ISNUMBER(E65),ISNUMBER(F65)),ROUND(E65*F65,2),"")</f>
        <v/>
      </c>
      <c r="H65" s="5" t="n"/>
    </row>
    <row r="66">
      <c r="A66" s="4" t="inlineStr">
        <is>
          <t>05.16</t>
        </is>
      </c>
      <c r="B66" s="5" t="inlineStr">
        <is>
          <t>התקנת כיור מטבח</t>
        </is>
      </c>
      <c r="C66" s="5" t="inlineStr">
        <is>
          <t>התקנת כיור מטבח לפי הדגם ושיטת ההתקנה שנבחרו, בתיאום עם ספק משטח העבודה, לרבות קיבוע, אטימת המפגש וחיבור לניקוז. ברז המטבח מתואר בנפרד.</t>
        </is>
      </c>
      <c r="D66" s="4" t="inlineStr">
        <is>
          <t>יח׳</t>
        </is>
      </c>
      <c r="E66" s="6" t="n">
        <v>3</v>
      </c>
      <c r="F66" s="7" t="n"/>
      <c r="G66" s="7">
        <f>IF(AND(ISNUMBER(E66),ISNUMBER(F66)),ROUND(E66*F66,2),"")</f>
        <v/>
      </c>
      <c r="H66" s="5" t="n"/>
    </row>
    <row r="67">
      <c r="A67" s="4" t="inlineStr">
        <is>
          <t>05.17</t>
        </is>
      </c>
      <c r="B67" s="5" t="inlineStr">
        <is>
          <t>התקנת ברז מטבח פרח נשלף</t>
        </is>
      </c>
      <c r="C67" s="5" t="inlineStr">
        <is>
          <t>התקנת ברז מטבח מסוג פרח בעל פייה נשלפת, לרבות קיבוע, חיבור למים, התקנת רכיבי מנגנון השליפה ובדיקת תפקוד ואטימות.</t>
        </is>
      </c>
      <c r="D67" s="4" t="inlineStr">
        <is>
          <t>יח׳</t>
        </is>
      </c>
      <c r="E67" s="6" t="n">
        <v>5</v>
      </c>
      <c r="F67" s="7" t="n"/>
      <c r="G67" s="7">
        <f>IF(AND(ISNUMBER(E67),ISNUMBER(F67)),ROUND(E67*F67,2),"")</f>
        <v/>
      </c>
      <c r="H67" s="5" t="n"/>
    </row>
    <row r="68">
      <c r="A68" s="4" t="inlineStr">
        <is>
          <t>05.18</t>
        </is>
      </c>
      <c r="B68" s="5" t="inlineStr">
        <is>
          <t>התקנת כיור במטבח חוץ</t>
        </is>
      </c>
      <c r="C68" s="5" t="inlineStr">
        <is>
          <t>התקנת כיור במטבח החוץ, לפי הדגם שנבחר ובתיאום עם משטח העבודה, לרבות קיבוע, איטום וחיבור לניקוז.</t>
        </is>
      </c>
      <c r="D68" s="4" t="inlineStr">
        <is>
          <t>יח׳</t>
        </is>
      </c>
      <c r="E68" s="6" t="n">
        <v>2</v>
      </c>
      <c r="F68" s="7" t="n"/>
      <c r="G68" s="7">
        <f>IF(AND(ISNUMBER(E68),ISNUMBER(F68)),ROUND(E68*F68,2),"")</f>
        <v/>
      </c>
      <c r="H68" s="5" t="n"/>
    </row>
    <row r="69">
      <c r="A69" s="4" t="inlineStr">
        <is>
          <t>05.19</t>
        </is>
      </c>
      <c r="B69" s="5" t="inlineStr">
        <is>
          <t>התקנת ברז פרח נשלף במטבח חוץ</t>
        </is>
      </c>
      <c r="C69" s="5" t="inlineStr">
        <is>
          <t>התקנת ברז פרח נשלף במטבח החוץ, לרבות קיבוע, חיבור למים ובדיקת תפקוד ואטימות, בהתאם למוצר שנבחר.</t>
        </is>
      </c>
      <c r="D69" s="4" t="inlineStr">
        <is>
          <t>יח׳</t>
        </is>
      </c>
      <c r="E69" s="6" t="n">
        <v>2</v>
      </c>
      <c r="F69" s="7" t="n"/>
      <c r="G69" s="7">
        <f>IF(AND(ISNUMBER(E69),ISNUMBER(F69)),ROUND(E69*F69,2),"")</f>
        <v/>
      </c>
      <c r="H69" s="5" t="n"/>
    </row>
    <row r="70">
      <c r="A70" s="4" t="inlineStr">
        <is>
          <t>05.20</t>
        </is>
      </c>
      <c r="B70" s="5" t="inlineStr">
        <is>
          <t>התקנת כיור מונח או שוקת בשירותי אורחים</t>
        </is>
      </c>
      <c r="C70" s="5" t="inlineStr">
        <is>
          <t>התקנת כיור מונח או שוקת בשירותי האורחים, בהתאם לבחירה המאושרת, לרבות העמדה, קיבוע, אטימת המפגש עם המשטח וחיבור לניקוז.</t>
        </is>
      </c>
      <c r="D70" s="4" t="inlineStr">
        <is>
          <t>יח׳</t>
        </is>
      </c>
      <c r="E70" s="6" t="n">
        <v>1</v>
      </c>
      <c r="F70" s="7" t="n"/>
      <c r="G70" s="7">
        <f>IF(AND(ISNUMBER(E70),ISNUMBER(F70)),ROUND(E70*F70,2),"")</f>
        <v/>
      </c>
      <c r="H70" s="5" t="n"/>
    </row>
    <row r="71">
      <c r="A71" s="4" t="inlineStr">
        <is>
          <t>05.21</t>
        </is>
      </c>
      <c r="B71" s="5" t="inlineStr">
        <is>
          <t>התקנת ברז ניל</t>
        </is>
      </c>
      <c r="C71" s="5" t="inlineStr">
        <is>
          <t>התקנת ברז ניל בנקודת המים המיועדת, לרבות אטימת החיבור ובדיקת תקינות ויכולת סגירה.</t>
        </is>
      </c>
      <c r="D71" s="4" t="inlineStr">
        <is>
          <t>יח׳</t>
        </is>
      </c>
      <c r="E71" s="6" t="n">
        <v>11</v>
      </c>
      <c r="F71" s="7" t="n"/>
      <c r="G71" s="7">
        <f>IF(AND(ISNUMBER(E71),ISNUMBER(F71)),ROUND(E71*F71,2),"")</f>
        <v/>
      </c>
      <c r="H71" s="5" t="n"/>
    </row>
    <row r="72">
      <c r="A72" s="4" t="inlineStr">
        <is>
          <t>05.22</t>
        </is>
      </c>
      <c r="B72" s="5" t="inlineStr">
        <is>
          <t>התקנת ברז פרח וארון רחצה – מכלול</t>
        </is>
      </c>
      <c r="C72" s="5" t="inlineStr">
        <is>
          <t>התקנת מכלול "ברז פרח + ארון קומפלט": העמדה, פילוס וקיבוע הארון לפי הוראות הספק, התקנת הברז, חיבור למים ובדיקת תפקוד. תכולת המכלול המדויקת טעונה אישור לפני תמחור.</t>
        </is>
      </c>
      <c r="D72" s="4" t="inlineStr">
        <is>
          <t>יח׳</t>
        </is>
      </c>
      <c r="E72" s="6" t="n">
        <v>1</v>
      </c>
      <c r="F72" s="7" t="n"/>
      <c r="G72" s="7">
        <f>IF(AND(ISNUMBER(E72),ISNUMBER(F72)),ROUND(E72*F72,2),"")</f>
        <v/>
      </c>
      <c r="H72" s="5" t="n"/>
    </row>
    <row r="73">
      <c r="A73" s="4" t="inlineStr">
        <is>
          <t>05.23</t>
        </is>
      </c>
      <c r="B73" s="5" t="inlineStr">
        <is>
          <t>התקנת תעלת גלישה חיצונית המסומנת 60</t>
        </is>
      </c>
      <c r="C73" s="5" t="inlineStr">
        <is>
          <t>התקנת תעלת הגלישה החיצונית המסומנת במקור „60”, לרבות חיבור לניקוז, התאמה למפלסי הגמר ושילוב אטום עם התשתית, בהתאם לתוכנית ולמוצר המאושר.</t>
        </is>
      </c>
      <c r="D73" s="4" t="inlineStr">
        <is>
          <t>יח׳</t>
        </is>
      </c>
      <c r="E73" s="6" t="n">
        <v>1</v>
      </c>
      <c r="F73" s="7" t="n"/>
      <c r="G73" s="7">
        <f>IF(AND(ISNUMBER(E73),ISNUMBER(F73)),ROUND(E73*F73,2),"")</f>
        <v/>
      </c>
      <c r="H73" s="5" t="n"/>
    </row>
    <row r="74">
      <c r="A74" s="4" t="inlineStr">
        <is>
          <t>05.24</t>
        </is>
      </c>
      <c r="B74" s="5" t="inlineStr">
        <is>
          <t>התקנת כיור בר</t>
        </is>
      </c>
      <c r="C74" s="5" t="inlineStr">
        <is>
          <t>התקנת כיור בר במיקום המתוכנן, לרבות קיבוע, איטום המפגש עם המשטח וחיבור לניקוז, בתיאום עם ספק המשטח או הנגרות.</t>
        </is>
      </c>
      <c r="D74" s="4" t="inlineStr">
        <is>
          <t>יח׳</t>
        </is>
      </c>
      <c r="E74" s="6" t="n">
        <v>2</v>
      </c>
      <c r="F74" s="7" t="n"/>
      <c r="G74" s="7">
        <f>IF(AND(ISNUMBER(E74),ISNUMBER(F74)),ROUND(E74*F74,2),"")</f>
        <v/>
      </c>
      <c r="H74" s="5" t="n"/>
    </row>
    <row r="75">
      <c r="A75" s="4" t="inlineStr">
        <is>
          <t>05.25</t>
        </is>
      </c>
      <c r="B75" s="5" t="inlineStr">
        <is>
          <t>נקודת מים חמים וקרים לברז או סוללה</t>
        </is>
      </c>
      <c r="C75" s="5" t="inlineStr">
        <is>
          <t>נקודת מים חמים וקרים ממערכת אחידה, מהרכזת הקומתית ועד היציאה בקיר, כולל מעברים, שרוולים, ברז ניל ובדיקת לחץ.</t>
        </is>
      </c>
      <c r="D75" s="4" t="inlineStr">
        <is>
          <t>נק׳</t>
        </is>
      </c>
      <c r="E75" s="6" t="n">
        <v>23</v>
      </c>
      <c r="F75" s="7" t="n"/>
      <c r="G75" s="7">
        <f>IF(AND(ISNUMBER(E75),ISNUMBER(F75)),ROUND(E75*F75,2),"")</f>
        <v/>
      </c>
      <c r="H75" s="5" t="n"/>
    </row>
    <row r="76">
      <c r="A76" s="4" t="inlineStr">
        <is>
          <t>05.26</t>
        </is>
      </c>
      <c r="B76" s="5" t="inlineStr">
        <is>
          <t>נקודת מים קרים למכל הדחה</t>
        </is>
      </c>
      <c r="C76" s="5" t="inlineStr">
        <is>
          <t>נקודת מים קרים   למכל הדחה סמוי, כולל ברז ניל ובדיקת לחץ.</t>
        </is>
      </c>
      <c r="D76" s="4" t="inlineStr">
        <is>
          <t>נק׳</t>
        </is>
      </c>
      <c r="E76" s="6" t="n">
        <v>7</v>
      </c>
      <c r="F76" s="7" t="n"/>
      <c r="G76" s="7">
        <f>IF(AND(ISNUMBER(E76),ISNUMBER(F76)),ROUND(E76*F76,2),"")</f>
        <v/>
      </c>
      <c r="H76" s="5" t="n"/>
    </row>
    <row r="77">
      <c r="A77" s="4" t="inlineStr">
        <is>
          <t>05.27</t>
        </is>
      </c>
      <c r="B77" s="5" t="inlineStr">
        <is>
          <t>נקודת ביוב לאסלה</t>
        </is>
      </c>
      <c r="C77" s="5" t="inlineStr">
        <is>
          <t>נקודת ביוב 110 מ״מ לאסלה תלויה, כולל חיבור לקו הביוב בשיפוע תקני ובדיקת אטימות.</t>
        </is>
      </c>
      <c r="D77" s="4" t="inlineStr">
        <is>
          <t>נק׳</t>
        </is>
      </c>
      <c r="E77" s="6" t="n">
        <v>7</v>
      </c>
      <c r="F77" s="7" t="n"/>
      <c r="G77" s="7">
        <f>IF(AND(ISNUMBER(E77),ISNUMBER(F77)),ROUND(E77*F77,2),"")</f>
        <v/>
      </c>
      <c r="H77" s="5" t="n"/>
    </row>
    <row r="78">
      <c r="A78" s="4" t="inlineStr">
        <is>
          <t>05.28</t>
        </is>
      </c>
      <c r="B78" s="5" t="inlineStr">
        <is>
          <t>נקודת ניקוז לכיור ולאמבטיה</t>
        </is>
      </c>
      <c r="C78" s="5" t="inlineStr">
        <is>
          <t>נקודת ניקוז לכיורי רחצה, מטבח, בר, מטבח חוץ ואמבטיה, כולל סיפון/מחסום, חיבור לקו בשיפוע תקני ובדיקת אטימות.</t>
        </is>
      </c>
      <c r="D78" s="4" t="inlineStr">
        <is>
          <t>נק׳</t>
        </is>
      </c>
      <c r="E78" s="6" t="n">
        <v>15</v>
      </c>
      <c r="F78" s="7" t="n"/>
      <c r="G78" s="7">
        <f>IF(AND(ISNUMBER(E78),ISNUMBER(F78)),ROUND(E78*F78,2),"")</f>
        <v/>
      </c>
      <c r="H78" s="5" t="inlineStr">
        <is>
          <t>כמות זמנית 15 – לאימות</t>
        </is>
      </c>
    </row>
    <row r="79">
      <c r="A79" s="4" t="inlineStr">
        <is>
          <t>05.29</t>
        </is>
      </c>
      <c r="B79" s="5" t="inlineStr">
        <is>
          <t>נקודת מים וניקוז למכונת כביסה</t>
        </is>
      </c>
      <c r="C79" s="5" t="inlineStr">
        <is>
          <t>נקודת מים קרים וניקוז עם ברז ניל להכנה למכונת כביסה (מקרא אינסטלציה, פריט 5).</t>
        </is>
      </c>
      <c r="D79" s="4" t="inlineStr">
        <is>
          <t>נק׳</t>
        </is>
      </c>
      <c r="E79" s="6" t="n">
        <v>2</v>
      </c>
      <c r="F79" s="7" t="n"/>
      <c r="G79" s="7">
        <f>IF(AND(ISNUMBER(E79),ISNUMBER(F79)),ROUND(E79*F79,2),"")</f>
        <v/>
      </c>
      <c r="H79" s="5" t="n"/>
    </row>
    <row r="80">
      <c r="A80" s="4" t="inlineStr">
        <is>
          <t>05.30</t>
        </is>
      </c>
      <c r="B80" s="5" t="inlineStr">
        <is>
          <t>ברז דלי</t>
        </is>
      </c>
      <c r="C80" s="5" t="inlineStr">
        <is>
          <t>ברז דלי למים קרים לניקיון או השקיה בגובה 40 ס״מ (מקרא אינסטלציה, פריט 7).</t>
        </is>
      </c>
      <c r="D80" s="4" t="inlineStr">
        <is>
          <t>יח׳</t>
        </is>
      </c>
      <c r="E80" s="6" t="n">
        <v>2</v>
      </c>
      <c r="F80" s="7" t="n"/>
      <c r="G80" s="7">
        <f>IF(AND(ISNUMBER(E80),ISNUMBER(F80)),ROUND(E80*F80,2),"")</f>
        <v/>
      </c>
      <c r="H80" s="5" t="n"/>
    </row>
    <row r="81">
      <c r="A81" s="4" t="inlineStr">
        <is>
          <t>05.32</t>
        </is>
      </c>
      <c r="B81" s="5" t="inlineStr">
        <is>
          <t>קווי אספקה ראשיים ורכזות מים קומתיות</t>
        </is>
      </c>
      <c r="C81" s="5" t="inlineStr">
        <is>
          <t>קווי מים ראשיים מהמונה ועד רכזות המים הקומתיות (מקרא אינסטלציה, פריט 10), כולל מגופים, ווסת לחץ ובידוד צנרת חמה.</t>
        </is>
      </c>
      <c r="D81" s="4" t="inlineStr">
        <is>
          <t>קומפ׳</t>
        </is>
      </c>
      <c r="E81" s="6" t="n">
        <v>1</v>
      </c>
      <c r="F81" s="7" t="n"/>
      <c r="G81" s="7">
        <f>IF(AND(ISNUMBER(E81),ISNUMBER(F81)),ROUND(E81*F81,2),"")</f>
        <v/>
      </c>
      <c r="H81" s="5" t="n"/>
    </row>
    <row r="82">
      <c r="A82" s="4" t="inlineStr">
        <is>
          <t>05.33</t>
        </is>
      </c>
      <c r="B82" s="5" t="inlineStr">
        <is>
          <t>מערכת ביוב וניקוז ראשית</t>
        </is>
      </c>
      <c r="C82" s="5" t="inlineStr">
        <is>
          <t>קווי ביוב וניקוז ראשיים בכל הקומות עד חיבור למערכת הקיימת או לשוחה, כולל ביקורות, אוורור ובדיקות אטימות.</t>
        </is>
      </c>
      <c r="D82" s="4" t="inlineStr">
        <is>
          <t>קומפ׳</t>
        </is>
      </c>
      <c r="E82" s="6" t="n">
        <v>1</v>
      </c>
      <c r="F82" s="7" t="n"/>
      <c r="G82" s="7">
        <f>IF(AND(ISNUMBER(E82),ISNUMBER(F82)),ROUND(E82*F82,2),"")</f>
        <v/>
      </c>
      <c r="H82" s="5" t="n"/>
    </row>
    <row r="83">
      <c r="A83" s="4" t="inlineStr">
        <is>
          <t>05.34</t>
        </is>
      </c>
      <c r="B83" s="5" t="inlineStr">
        <is>
          <t>דוד מים חמים – התקנה וחיבור</t>
        </is>
      </c>
      <c r="C83" s="5" t="inlineStr">
        <is>
          <t>התקנת דוד מים חמים וחיבורו למערכת, כולל ברזים, שסתום בטיחות ומפסק זרם (סוג הדוד ומיקומו לפי תוכנית).</t>
        </is>
      </c>
      <c r="D83" s="4" t="inlineStr">
        <is>
          <t>יח׳</t>
        </is>
      </c>
      <c r="E83" s="6" t="n"/>
      <c r="F83" s="7" t="n"/>
      <c r="G83" s="7">
        <f>IF(AND(ISNUMBER(E83),ISNUMBER(F83)),ROUND(E83*F83,2),"")</f>
        <v/>
      </c>
      <c r="H83" s="5" t="inlineStr">
        <is>
          <t>כמות לפי תוכנית אינסטלציה</t>
        </is>
      </c>
    </row>
    <row r="84">
      <c r="A84" s="4" t="inlineStr">
        <is>
          <t>05.35</t>
        </is>
      </c>
      <c r="B84" s="5" t="inlineStr">
        <is>
          <t>בדיקות לחץ ואטימות ותוכנית עדות</t>
        </is>
      </c>
      <c r="C84" s="5" t="inlineStr">
        <is>
          <t>בדיקות לחץ לכל קווי המים ובדיקות אטימות לקווי הביוב לפני כיסוי, בנוכחות המתכננת, כולל דוחות חתומים ותוכנית עדות.</t>
        </is>
      </c>
      <c r="D84" s="4" t="inlineStr">
        <is>
          <t>קומפ׳</t>
        </is>
      </c>
      <c r="E84" s="6" t="n">
        <v>1</v>
      </c>
      <c r="F84" s="7" t="n"/>
      <c r="G84" s="7">
        <f>IF(AND(ISNUMBER(E84),ISNUMBER(F84)),ROUND(E84*F84,2),"")</f>
        <v/>
      </c>
      <c r="H84" s="5" t="n"/>
    </row>
    <row r="85">
      <c r="A85" s="8" t="inlineStr">
        <is>
          <t>סה״כ פרק 05 — אינסטלציה, התקנת כלים סניטריים וברזים</t>
        </is>
      </c>
      <c r="B85" s="8" t="n"/>
      <c r="C85" s="8" t="n"/>
      <c r="D85" s="8" t="n"/>
      <c r="E85" s="8" t="n"/>
      <c r="F85" s="8" t="n"/>
      <c r="G85" s="9">
        <f>IF(COUNT(G52:G84)=0,"",SUM(G52:G84))</f>
        <v/>
      </c>
      <c r="H85" s="8" t="n"/>
    </row>
    <row r="87">
      <c r="A87" s="3" t="inlineStr">
        <is>
          <t>פרק 06 — חשמל</t>
        </is>
      </c>
      <c r="B87" s="3" t="n"/>
      <c r="C87" s="3" t="n"/>
      <c r="D87" s="3" t="n"/>
      <c r="E87" s="3" t="n"/>
      <c r="F87" s="3" t="n"/>
      <c r="G87" s="3" t="n"/>
      <c r="H87" s="3" t="n"/>
    </row>
    <row r="88">
      <c r="A88" s="4" t="inlineStr">
        <is>
          <t>06.01</t>
        </is>
      </c>
      <c r="B88" s="5" t="inlineStr">
        <is>
          <t>נקודת שקע רגיל</t>
        </is>
      </c>
      <c r="C88" s="5" t="inlineStr">
        <is>
          <t>ביצוע נקודת שקע רגיל במיקום ובגובה המתוכננים, לרבות תשתית וחיווט למעגל המתאים, התקנת אביזר הגמר ובדיקת תקינות הנקודה.</t>
        </is>
      </c>
      <c r="D88" s="4" t="inlineStr">
        <is>
          <t>יח׳</t>
        </is>
      </c>
      <c r="E88" s="6" t="n">
        <v>119</v>
      </c>
      <c r="F88" s="7" t="n"/>
      <c r="G88" s="7">
        <f>IF(AND(ISNUMBER(E88),ISNUMBER(F88)),ROUND(E88*F88,2),"")</f>
        <v/>
      </c>
      <c r="H88" s="5" t="n"/>
    </row>
    <row r="89">
      <c r="A89" s="4" t="inlineStr">
        <is>
          <t>06.02</t>
        </is>
      </c>
      <c r="B89" s="5" t="inlineStr">
        <is>
          <t>נקודת שקע מוגן מים</t>
        </is>
      </c>
      <c r="C89" s="5" t="inlineStr">
        <is>
          <t>ביצוע נקודת שקע מוגן מים באזור רטוב או חיצוני, בדרגת הגנה המתאימה למיקום ולדרישות המפרט, לרבות תשתית, חיווט, אביזר הגמר וחיבור למעגל בעל ההגנות הנדרשות.</t>
        </is>
      </c>
      <c r="D89" s="4" t="inlineStr">
        <is>
          <t>יח׳</t>
        </is>
      </c>
      <c r="E89" s="6" t="n">
        <v>51</v>
      </c>
      <c r="F89" s="7" t="n"/>
      <c r="G89" s="7">
        <f>IF(AND(ISNUMBER(E89),ISNUMBER(F89)),ROUND(E89*F89,2),"")</f>
        <v/>
      </c>
      <c r="H89" s="5" t="n"/>
    </row>
    <row r="90">
      <c r="A90" s="4" t="inlineStr">
        <is>
          <t>06.03</t>
        </is>
      </c>
      <c r="B90" s="5" t="inlineStr">
        <is>
          <t>תשתית להפעלת תריס חשמלי</t>
        </is>
      </c>
      <c r="C90" s="5" t="inlineStr">
        <is>
          <t>ביצוע תשתית חשמל להפעלת תריס חשמלי, בהתאם לתוכנית ולשיטת הבקרה שתאושר בכתב בידי המזמין, לרבות צנרת, חיווט וקופסאות הנדרשים לשיטה שנבחרה. מנוע התריס אינו נכלל בסעיף התשתית.</t>
        </is>
      </c>
      <c r="D90" s="4" t="inlineStr">
        <is>
          <t>יח׳</t>
        </is>
      </c>
      <c r="E90" s="6" t="n">
        <v>18</v>
      </c>
      <c r="F90" s="7" t="n"/>
      <c r="G90" s="7">
        <f>IF(AND(ISNUMBER(E90),ISNUMBER(F90)),ROUND(E90*F90,2),"")</f>
        <v/>
      </c>
      <c r="H90" s="5" t="n"/>
    </row>
    <row r="91">
      <c r="A91" s="4" t="inlineStr">
        <is>
          <t>06.04</t>
        </is>
      </c>
      <c r="B91" s="5" t="inlineStr">
        <is>
          <t>שקע מנוע תריס</t>
        </is>
      </c>
      <c r="C91" s="5" t="inlineStr">
        <is>
          <t>ביצוע נקודת שקע למנוע תריס במיקום המתוכנן, לרבות חיווט, קופסה וחיבור למעגל המתאים. יש לתאם את גבול התכולה עם סעיף תשתית התריס כדי למנוע כפל.</t>
        </is>
      </c>
      <c r="D91" s="4" t="inlineStr">
        <is>
          <t>יח׳</t>
        </is>
      </c>
      <c r="E91" s="6" t="n">
        <v>9</v>
      </c>
      <c r="F91" s="7" t="n"/>
      <c r="G91" s="7">
        <f>IF(AND(ISNUMBER(E91),ISNUMBER(F91)),ROUND(E91*F91,2),"")</f>
        <v/>
      </c>
      <c r="H91" s="5" t="inlineStr">
        <is>
          <t>לאימות – ייתכן כפל מול 06.10</t>
        </is>
      </c>
    </row>
    <row r="92">
      <c r="A92" s="4" t="inlineStr">
        <is>
          <t>06.05</t>
        </is>
      </c>
      <c r="B92" s="5" t="inlineStr">
        <is>
          <t>נקודת שקע תלת־פאזי</t>
        </is>
      </c>
      <c r="C92" s="5" t="inlineStr">
        <is>
          <t>ביצוע נקודת שקע תלת־פאזי בהתאם לייעוד ולעומס המתוכננים, לרבות תשתית, מוליכים, אביזר מתאים, חיבור למעגל ובדיקת תקינות.</t>
        </is>
      </c>
      <c r="D92" s="4" t="inlineStr">
        <is>
          <t>יח׳</t>
        </is>
      </c>
      <c r="E92" s="6" t="n">
        <v>1</v>
      </c>
      <c r="F92" s="7" t="n"/>
      <c r="G92" s="7">
        <f>IF(AND(ISNUMBER(E92),ISNUMBER(F92)),ROUND(E92*F92,2),"")</f>
        <v/>
      </c>
      <c r="H92" s="5" t="n"/>
    </row>
    <row r="93">
      <c r="A93" s="4" t="inlineStr">
        <is>
          <t>06.06</t>
        </is>
      </c>
      <c r="B93" s="5" t="inlineStr">
        <is>
          <t>הרחבת לוח החשמל הראשי</t>
        </is>
      </c>
      <c r="C93" s="5" t="inlineStr">
        <is>
          <t>הרחבת והתאמת לוח החשמל הראשי לעומסי הבית והתוספות, בהתאם לתכנון החשמל, לרבות רכיבי הלוח, אמצעי ההגנה, חיבור המעגלים, סימונם ובדיקת תקינות.</t>
        </is>
      </c>
      <c r="D93" s="4" t="inlineStr">
        <is>
          <t>קומפ׳</t>
        </is>
      </c>
      <c r="E93" s="6" t="n">
        <v>1</v>
      </c>
      <c r="F93" s="7" t="n"/>
      <c r="G93" s="7">
        <f>IF(AND(ISNUMBER(E93),ISNUMBER(F93)),ROUND(E93*F93,2),"")</f>
        <v/>
      </c>
      <c r="H93" s="5" t="n"/>
    </row>
    <row r="94">
      <c r="A94" s="4" t="inlineStr">
        <is>
          <t>06.07</t>
        </is>
      </c>
      <c r="B94" s="5" t="inlineStr">
        <is>
          <t>אספקה והתקנת פילר חברת החשמל</t>
        </is>
      </c>
      <c r="C94" s="5" t="inlineStr">
        <is>
          <t>אספקה והתקנת פילר חדש בכניסה למגרש, בהתאם למיקום ולמפרט שיאושרו בידי חברת החשמל, לרבות עבודות ההתקנה וההתאמות הנדרשות במסגרת הסעיף.</t>
        </is>
      </c>
      <c r="D94" s="4" t="inlineStr">
        <is>
          <t>קומפ׳</t>
        </is>
      </c>
      <c r="E94" s="6" t="n">
        <v>1</v>
      </c>
      <c r="F94" s="7" t="n"/>
      <c r="G94" s="7">
        <f>IF(AND(ISNUMBER(E94),ISNUMBER(F94)),ROUND(E94*F94,2),"")</f>
        <v/>
      </c>
      <c r="H94" s="5" t="n"/>
    </row>
    <row r="95">
      <c r="A95" s="4" t="inlineStr">
        <is>
          <t>06.08</t>
        </is>
      </c>
      <c r="B95" s="5" t="inlineStr">
        <is>
          <t>טיפול בהגדלת חיבור החשמל</t>
        </is>
      </c>
      <c r="C95" s="5" t="inlineStr">
        <is>
          <t>הכנת והגשת תוכניות ומסמכים לחברת החשמל לצורך הגדלת החיבור ל־3×40 אמפר, טיפול בהליך וקבלת האישורים הנדרשים, באמצעות חשמלאי בעל רישיון מתאים. התשלום לחברת החשמל בעבור הגדלת החיבור עצמה יחול על המזמין, בהתאם למפרט.</t>
        </is>
      </c>
      <c r="D95" s="4" t="inlineStr">
        <is>
          <t>קומפ׳</t>
        </is>
      </c>
      <c r="E95" s="6" t="n">
        <v>1</v>
      </c>
      <c r="F95" s="7" t="n"/>
      <c r="G95" s="7">
        <f>IF(AND(ISNUMBER(E95),ISNUMBER(F95)),ROUND(E95*F95,2),"")</f>
        <v/>
      </c>
      <c r="H95" s="5" t="n"/>
    </row>
    <row r="96">
      <c r="A96" s="4" t="inlineStr">
        <is>
          <t>06.09</t>
        </is>
      </c>
      <c r="B96" s="5" t="inlineStr">
        <is>
          <t>בדיקת חשמל סופית</t>
        </is>
      </c>
      <c r="C96" s="5" t="inlineStr">
        <is>
          <t>ביצוע בדיקה סופית של מתקן החשמל באמצעות חשמלאי בודק בעל רישיון מתאים, לרבות בדיקות הארקה, בידוד ואמצעי הגנה, והמצאת דוח הבדיקה והאישורים הנדרשים.</t>
        </is>
      </c>
      <c r="D96" s="4" t="inlineStr">
        <is>
          <t>קומפ׳</t>
        </is>
      </c>
      <c r="E96" s="6" t="n">
        <v>1</v>
      </c>
      <c r="F96" s="7" t="n"/>
      <c r="G96" s="7">
        <f>IF(AND(ISNUMBER(E96),ISNUMBER(F96)),ROUND(E96*F96,2),"")</f>
        <v/>
      </c>
      <c r="H96" s="5" t="n"/>
    </row>
    <row r="97">
      <c r="A97" s="4" t="inlineStr">
        <is>
          <t>06.10</t>
        </is>
      </c>
      <c r="B97" s="5" t="inlineStr">
        <is>
          <t>נקודת שקע כוח</t>
        </is>
      </c>
      <c r="C97" s="5" t="inlineStr">
        <is>
          <t>ביצוע נקודת שקע כוח בהתאם לייעוד המסומן בתוכנית, לרבות תשתית, חיווט, אביזר הגמר וחיבור למעגל המתאים לעומס. ייעוד הנקודה וההבחנה בינה לבין שקע רגיל יוגדרו לפי המקרא.</t>
        </is>
      </c>
      <c r="D97" s="4" t="inlineStr">
        <is>
          <t>יח׳</t>
        </is>
      </c>
      <c r="E97" s="6" t="n">
        <v>9</v>
      </c>
      <c r="F97" s="7" t="n"/>
      <c r="G97" s="7">
        <f>IF(AND(ISNUMBER(E97),ISNUMBER(F97)),ROUND(E97*F97,2),"")</f>
        <v/>
      </c>
      <c r="H97" s="5" t="n"/>
    </row>
    <row r="98">
      <c r="A98" s="4" t="inlineStr">
        <is>
          <t>06.11</t>
        </is>
      </c>
      <c r="B98" s="5" t="inlineStr">
        <is>
          <t>נקודת הזנה ליחידת מיזוג</t>
        </is>
      </c>
      <c r="C98" s="5" t="inlineStr">
        <is>
          <t>נקודת הזנה ייעודית ליחידת מיזוג, כולל מעגל, מפסק והגנות לפי התקן.</t>
        </is>
      </c>
      <c r="D98" s="4" t="inlineStr">
        <is>
          <t>נק׳</t>
        </is>
      </c>
      <c r="E98" s="6" t="n"/>
      <c r="F98" s="7" t="n"/>
      <c r="G98" s="7">
        <f>IF(AND(ISNUMBER(E98),ISNUMBER(F98)),ROUND(E98*F98,2),"")</f>
        <v/>
      </c>
      <c r="H98" s="5" t="inlineStr">
        <is>
          <t>כמות לפי תוכנית מיזוג (7 או 8 לפי הכתב המקורי)</t>
        </is>
      </c>
    </row>
    <row r="99">
      <c r="A99" s="4" t="inlineStr">
        <is>
          <t>06.12</t>
        </is>
      </c>
      <c r="B99" s="5" t="inlineStr">
        <is>
          <t>נקודת חיבור ישיר</t>
        </is>
      </c>
      <c r="C99" s="5" t="inlineStr">
        <is>
          <t>נקודת חיבור ישיר לתנור, כיריים, קולט אדים או תנור חימום (לפי מקרא החשמל).</t>
        </is>
      </c>
      <c r="D99" s="4" t="inlineStr">
        <is>
          <t>נק׳</t>
        </is>
      </c>
      <c r="E99" s="6" t="n"/>
      <c r="F99" s="7" t="n"/>
      <c r="G99" s="7">
        <f>IF(AND(ISNUMBER(E99),ISNUMBER(F99)),ROUND(E99*F99,2),"")</f>
        <v/>
      </c>
      <c r="H99" s="5" t="inlineStr">
        <is>
          <t>כמות לפי ספירה בתוכנית חשמל</t>
        </is>
      </c>
    </row>
    <row r="100">
      <c r="A100" s="4" t="inlineStr">
        <is>
          <t>06.13</t>
        </is>
      </c>
      <c r="B100" s="5" t="inlineStr">
        <is>
          <t>מפסק זרם לדוד עם נורת סימון</t>
        </is>
      </c>
      <c r="C100" s="5" t="inlineStr">
        <is>
          <t>נקודת מפסק זרם לדוד מים חמים עם נורת סימון (מקרא החשמל).</t>
        </is>
      </c>
      <c r="D100" s="4" t="inlineStr">
        <is>
          <t>יח׳</t>
        </is>
      </c>
      <c r="E100" s="6" t="n"/>
      <c r="F100" s="7" t="n"/>
      <c r="G100" s="7">
        <f>IF(AND(ISNUMBER(E100),ISNUMBER(F100)),ROUND(E100*F100,2),"")</f>
        <v/>
      </c>
      <c r="H100" s="5" t="inlineStr">
        <is>
          <t>כמות לפי מספר דודים</t>
        </is>
      </c>
    </row>
    <row r="101">
      <c r="A101" s="4" t="inlineStr">
        <is>
          <t>06.14</t>
        </is>
      </c>
      <c r="B101" s="5" t="inlineStr">
        <is>
          <t>נקודת תרמוסטט למזגן</t>
        </is>
      </c>
      <c r="C101" s="5" t="inlineStr">
        <is>
          <t>נקודת הכנה לתרמוסטט מזגן (מקרא החשמל).</t>
        </is>
      </c>
      <c r="D101" s="4" t="inlineStr">
        <is>
          <t>נק׳</t>
        </is>
      </c>
      <c r="E101" s="6" t="n"/>
      <c r="F101" s="7" t="n"/>
      <c r="G101" s="7">
        <f>IF(AND(ISNUMBER(E101),ISNUMBER(F101)),ROUND(E101*F101,2),"")</f>
        <v/>
      </c>
      <c r="H101" s="5" t="inlineStr">
        <is>
          <t>כמות לפי מספר מזגנים</t>
        </is>
      </c>
    </row>
    <row r="102">
      <c r="A102" s="4" t="inlineStr">
        <is>
          <t>06.15</t>
        </is>
      </c>
      <c r="B102" s="5" t="inlineStr">
        <is>
          <t>פעמון ולחצן פעמון</t>
        </is>
      </c>
      <c r="C102" s="5" t="inlineStr">
        <is>
          <t>התקנת פעמון בגובה 230 ס״מ ולחצן פעמון בגובה 130 ס״מ, כולל חיווט (מקרא החשמל).</t>
        </is>
      </c>
      <c r="D102" s="4" t="inlineStr">
        <is>
          <t>קומפ׳</t>
        </is>
      </c>
      <c r="E102" s="6" t="n">
        <v>1</v>
      </c>
      <c r="F102" s="7" t="n"/>
      <c r="G102" s="7">
        <f>IF(AND(ISNUMBER(E102),ISNUMBER(F102)),ROUND(E102*F102,2),"")</f>
        <v/>
      </c>
      <c r="H102" s="5" t="n"/>
    </row>
    <row r="103">
      <c r="A103" s="8" t="inlineStr">
        <is>
          <t>סה״כ פרק 06 — חשמל</t>
        </is>
      </c>
      <c r="B103" s="8" t="n"/>
      <c r="C103" s="8" t="n"/>
      <c r="D103" s="8" t="n"/>
      <c r="E103" s="8" t="n"/>
      <c r="F103" s="8" t="n"/>
      <c r="G103" s="9">
        <f>IF(COUNT(G88:G102)=0,"",SUM(G88:G102))</f>
        <v/>
      </c>
      <c r="H103" s="8" t="n"/>
    </row>
    <row r="105">
      <c r="A105" s="3" t="inlineStr">
        <is>
          <t>פרק 07 — תאורה ומפסקי תאורה</t>
        </is>
      </c>
      <c r="B105" s="3" t="n"/>
      <c r="C105" s="3" t="n"/>
      <c r="D105" s="3" t="n"/>
      <c r="E105" s="3" t="n"/>
      <c r="F105" s="3" t="n"/>
      <c r="G105" s="3" t="n"/>
      <c r="H105" s="3" t="n"/>
    </row>
    <row r="106">
      <c r="A106" s="4" t="inlineStr">
        <is>
          <t>07.01</t>
        </is>
      </c>
      <c r="B106" s="5" t="inlineStr">
        <is>
          <t>מפסקי הדלקת תאורה (יחיד/כפול/משולש/רביעייה)</t>
        </is>
      </c>
      <c r="C106" s="5" t="inlineStr">
        <is>
          <t>ביצוע והתקנת נקודות מפסקי תאורה מכל הסוגים, במיקום ובגובה המתוכננים, לרבות תשתית, חיווט ואביזר גמר, בהתאם לחלוקת ההדלקות בתוכנית.</t>
        </is>
      </c>
      <c r="D106" s="4" t="inlineStr">
        <is>
          <t>יח׳</t>
        </is>
      </c>
      <c r="E106" s="6" t="n"/>
      <c r="F106" s="7" t="n"/>
      <c r="G106" s="7">
        <f>IF(AND(ISNUMBER(E106),ISNUMBER(F106)),ROUND(E106*F106,2),"")</f>
        <v/>
      </c>
      <c r="H106" s="5" t="inlineStr">
        <is>
          <t>כמות לפי ספירה בתוכנית תאורה</t>
        </is>
      </c>
    </row>
    <row r="107">
      <c r="A107" s="4" t="inlineStr">
        <is>
          <t>07.02</t>
        </is>
      </c>
      <c r="B107" s="5" t="inlineStr">
        <is>
          <t>מפסקי מחלף (יחיד/משולש)</t>
        </is>
      </c>
      <c r="C107" s="5" t="inlineStr">
        <is>
          <t>ביצוע והתקנת נקודות מפסקי מחלף להפעלת מעגלי תאורה ממיקומים שונים, לרבות תשתית, חיווט ואביזר גמר התואמים לחלוקת המעגלים.</t>
        </is>
      </c>
      <c r="D107" s="4" t="inlineStr">
        <is>
          <t>יח׳</t>
        </is>
      </c>
      <c r="E107" s="6" t="n"/>
      <c r="F107" s="7" t="n"/>
      <c r="G107" s="7">
        <f>IF(AND(ISNUMBER(E107),ISNUMBER(F107)),ROUND(E107*F107,2),"")</f>
        <v/>
      </c>
      <c r="H107" s="5" t="inlineStr">
        <is>
          <t>כמות לפי ספירה בתוכנית תאורה</t>
        </is>
      </c>
    </row>
    <row r="108">
      <c r="A108" s="4" t="inlineStr">
        <is>
          <t>07.03</t>
        </is>
      </c>
      <c r="B108" s="5" t="inlineStr">
        <is>
          <t>התקנת גוף תאורה צמוד תקרה</t>
        </is>
      </c>
      <c r="C108" s="5" t="inlineStr">
        <is>
          <t>התקנת גוף תאורה צמוד תקרה במיקום המתוכנן, לרבות קיבוע לתשתית, חיבור חשמלי ובדיקת פעולה.</t>
        </is>
      </c>
      <c r="D108" s="4" t="inlineStr">
        <is>
          <t>יח׳</t>
        </is>
      </c>
      <c r="E108" s="6" t="n">
        <v>15</v>
      </c>
      <c r="F108" s="7" t="n"/>
      <c r="G108" s="7">
        <f>IF(AND(ISNUMBER(E108),ISNUMBER(F108)),ROUND(E108*F108,2),"")</f>
        <v/>
      </c>
      <c r="H108" s="5" t="n"/>
    </row>
    <row r="109">
      <c r="A109" s="4" t="inlineStr">
        <is>
          <t>07.04</t>
        </is>
      </c>
      <c r="B109" s="5" t="inlineStr">
        <is>
          <t>התקנת גוף תאורה תלוי</t>
        </is>
      </c>
      <c r="C109" s="5" t="inlineStr">
        <is>
          <t>התקנת גוף תאורה תלוי, לרבות קיבוע מערכת התלייה, התאמת גובה התלייה לפי התוכנית והנחיות המתכננת, חיבור חשמלי ובדיקת פעולה.</t>
        </is>
      </c>
      <c r="D109" s="4" t="inlineStr">
        <is>
          <t>יח׳</t>
        </is>
      </c>
      <c r="E109" s="6" t="n">
        <v>22</v>
      </c>
      <c r="F109" s="7" t="n"/>
      <c r="G109" s="7">
        <f>IF(AND(ISNUMBER(E109),ISNUMBER(F109)),ROUND(E109*F109,2),"")</f>
        <v/>
      </c>
      <c r="H109" s="5" t="n"/>
    </row>
    <row r="110">
      <c r="A110" s="4" t="inlineStr">
        <is>
          <t>07.05</t>
        </is>
      </c>
      <c r="B110" s="5" t="inlineStr">
        <is>
          <t>התקנת גוף תאורה קירי מוגן</t>
        </is>
      </c>
      <c r="C110" s="5" t="inlineStr">
        <is>
          <t>התקנת גוף תאורה קירי מוגן במיקום ובגובה המסומנים בתוכנית, לרבות קיבוע, חיבור חשמלי ואטימת מפגש ההתקנה בהתאם למוצר ולמיקום.</t>
        </is>
      </c>
      <c r="D110" s="4" t="inlineStr">
        <is>
          <t>יח׳</t>
        </is>
      </c>
      <c r="E110" s="6" t="n">
        <v>30</v>
      </c>
      <c r="F110" s="7" t="n"/>
      <c r="G110" s="7">
        <f>IF(AND(ISNUMBER(E110),ISNUMBER(F110)),ROUND(E110*F110,2),"")</f>
        <v/>
      </c>
      <c r="H110" s="5" t="n"/>
    </row>
    <row r="111">
      <c r="A111" s="4" t="inlineStr">
        <is>
          <t>07.06</t>
        </is>
      </c>
      <c r="B111" s="5" t="inlineStr">
        <is>
          <t>התקנת גוף תאורה שקוע בקיר, מוגן</t>
        </is>
      </c>
      <c r="C111" s="5" t="inlineStr">
        <is>
          <t>התקנת גוף תאורה מוגן השקוע בקיר, לרבות שילוב רכיבי ההתקנה של הגוף במיקום המתוכנן, התאמה למישור הגמר, חיבור ובדיקת פעולה.</t>
        </is>
      </c>
      <c r="D111" s="4" t="inlineStr">
        <is>
          <t>יח׳</t>
        </is>
      </c>
      <c r="E111" s="6" t="n">
        <v>35</v>
      </c>
      <c r="F111" s="7" t="n"/>
      <c r="G111" s="7">
        <f>IF(AND(ISNUMBER(E111),ISNUMBER(F111)),ROUND(E111*F111,2),"")</f>
        <v/>
      </c>
      <c r="H111" s="5" t="n"/>
    </row>
    <row r="112">
      <c r="A112" s="4" t="inlineStr">
        <is>
          <t>07.07</t>
        </is>
      </c>
      <c r="B112" s="5" t="inlineStr">
        <is>
          <t>התקנת ספוט שקוע בתקרת גבס</t>
        </is>
      </c>
      <c r="C112" s="5" t="inlineStr">
        <is>
          <t>התקנת ספוט שקוע בתקרת גבס, בתיאום מוקדם עם עבודות הגבס, לרבות התאמת הפתח לגוף, קיבוע, חיבור חשמלי ובדיקת פעולה.</t>
        </is>
      </c>
      <c r="D112" s="4" t="inlineStr">
        <is>
          <t>יח׳</t>
        </is>
      </c>
      <c r="E112" s="6" t="n">
        <v>25</v>
      </c>
      <c r="F112" s="7" t="n"/>
      <c r="G112" s="7">
        <f>IF(AND(ISNUMBER(E112),ISNUMBER(F112)),ROUND(E112*F112,2),"")</f>
        <v/>
      </c>
      <c r="H112" s="5" t="n"/>
    </row>
    <row r="113">
      <c r="A113" s="4" t="inlineStr">
        <is>
          <t>07.08</t>
        </is>
      </c>
      <c r="B113" s="5" t="inlineStr">
        <is>
          <t>התקנת פס תאורת לד נסתר</t>
        </is>
      </c>
      <c r="C113" s="5" t="inlineStr">
        <is>
          <t>התקנת פס תאורת לד נסתר במיקום המתוכנן, לרבות רכיבי ההתקנה וההפעלה שסופקו עם המערכת, חיבור לנקודת ההזנה ובדיקת רציפות ופעולה.</t>
        </is>
      </c>
      <c r="D113" s="4" t="inlineStr">
        <is>
          <t>יח׳</t>
        </is>
      </c>
      <c r="E113" s="6" t="n">
        <v>11</v>
      </c>
      <c r="F113" s="7" t="n"/>
      <c r="G113" s="7">
        <f>IF(AND(ISNUMBER(E113),ISNUMBER(F113)),ROUND(E113*F113,2),"")</f>
        <v/>
      </c>
      <c r="H113" s="5" t="n"/>
    </row>
    <row r="114">
      <c r="A114" s="4" t="inlineStr">
        <is>
          <t>07.09</t>
        </is>
      </c>
      <c r="B114" s="5" t="inlineStr">
        <is>
          <t>התקנת פס תאורה שקוע בגבס</t>
        </is>
      </c>
      <c r="C114" s="5" t="inlineStr">
        <is>
          <t>התקנת פס תאורה שקוע בגבס, לרבות שילוב פרופיל ההתקנה התואם למוצר, תיאום עם קבלן הגבס, התאמה למישור הגמר, חיבור ובדיקת פעולה.</t>
        </is>
      </c>
      <c r="D114" s="4" t="inlineStr">
        <is>
          <t>יח׳</t>
        </is>
      </c>
      <c r="E114" s="6" t="n">
        <v>2</v>
      </c>
      <c r="F114" s="7" t="n"/>
      <c r="G114" s="7">
        <f>IF(AND(ISNUMBER(E114),ISNUMBER(F114)),ROUND(E114*F114,2),"")</f>
        <v/>
      </c>
      <c r="H114" s="5" t="n"/>
    </row>
    <row r="115">
      <c r="A115" s="4" t="inlineStr">
        <is>
          <t>07.10</t>
        </is>
      </c>
      <c r="B115" s="5" t="inlineStr">
        <is>
          <t>התקנת פס תאורה צמוד תקרה</t>
        </is>
      </c>
      <c r="C115" s="5" t="inlineStr">
        <is>
          <t>התקנת פס תאורה צמוד תקרה, לרבות קיבוע ישר ואחיד, התקנת רכיבי המערכת שסופקו, חיבור לנקודת ההזנה ובדיקת פעולה.</t>
        </is>
      </c>
      <c r="D115" s="4" t="inlineStr">
        <is>
          <t>יח׳</t>
        </is>
      </c>
      <c r="E115" s="6" t="n">
        <v>9</v>
      </c>
      <c r="F115" s="7" t="n"/>
      <c r="G115" s="7">
        <f>IF(AND(ISNUMBER(E115),ISNUMBER(F115)),ROUND(E115*F115,2),"")</f>
        <v/>
      </c>
      <c r="H115" s="5" t="n"/>
    </row>
    <row r="116">
      <c r="A116" s="4" t="inlineStr">
        <is>
          <t>07.11</t>
        </is>
      </c>
      <c r="B116" s="5" t="inlineStr">
        <is>
          <t>נקודת הזנה לפס לד</t>
        </is>
      </c>
      <c r="C116" s="5" t="inlineStr">
        <is>
          <t>ביצוע נקודת הזנה ייעודית לפס לד, לרבות צנרת, חיווט וחיבור למעגל המתוכנן, במיקום מתואם עם גוף התאורה ועם רכיבי ההפעלה שלו.</t>
        </is>
      </c>
      <c r="D116" s="4" t="inlineStr">
        <is>
          <t>יח׳</t>
        </is>
      </c>
      <c r="E116" s="6" t="n">
        <v>25</v>
      </c>
      <c r="F116" s="7" t="n"/>
      <c r="G116" s="7">
        <f>IF(AND(ISNUMBER(E116),ISNUMBER(F116)),ROUND(E116*F116,2),"")</f>
        <v/>
      </c>
      <c r="H116" s="5" t="n"/>
    </row>
    <row r="117">
      <c r="A117" s="4" t="inlineStr">
        <is>
          <t>07.12</t>
        </is>
      </c>
      <c r="B117" s="5" t="inlineStr">
        <is>
          <t>התקנת גוף תאורה מוגן מים</t>
        </is>
      </c>
      <c r="C117" s="5" t="inlineStr">
        <is>
          <t>התקנת גוף תאורה מוגן מים באזור רטוב או חיצוני, בהתאם לסוג ולמיקום המסומנים במקרא, לרבות קיבוע, חיבור ובדיקת פעולה.</t>
        </is>
      </c>
      <c r="D117" s="4" t="inlineStr">
        <is>
          <t>יח׳</t>
        </is>
      </c>
      <c r="E117" s="6" t="n">
        <v>8</v>
      </c>
      <c r="F117" s="7" t="n"/>
      <c r="G117" s="7">
        <f>IF(AND(ISNUMBER(E117),ISNUMBER(F117)),ROUND(E117*F117,2),"")</f>
        <v/>
      </c>
      <c r="H117" s="5" t="n"/>
    </row>
    <row r="118">
      <c r="A118" s="4" t="inlineStr">
        <is>
          <t>07.13</t>
        </is>
      </c>
      <c r="B118" s="5" t="inlineStr">
        <is>
          <t>התקנת גוף תאורה קירי</t>
        </is>
      </c>
      <c r="C118" s="5" t="inlineStr">
        <is>
          <t>התקנת גוף תאורה קירי במיקום ובגובה המתוכננים, לרבות קיבוע לתשתית, חיבור חשמלי ובדיקת פעולה.</t>
        </is>
      </c>
      <c r="D118" s="4" t="inlineStr">
        <is>
          <t>יח׳</t>
        </is>
      </c>
      <c r="E118" s="6" t="n">
        <v>5</v>
      </c>
      <c r="F118" s="7" t="n"/>
      <c r="G118" s="7">
        <f>IF(AND(ISNUMBER(E118),ISNUMBER(F118)),ROUND(E118*F118,2),"")</f>
        <v/>
      </c>
      <c r="H118" s="5" t="n"/>
    </row>
    <row r="119">
      <c r="A119" s="4" t="inlineStr">
        <is>
          <t>07.14</t>
        </is>
      </c>
      <c r="B119" s="5" t="inlineStr">
        <is>
          <t>התקנת גוף תאורה שקוע בקיר</t>
        </is>
      </c>
      <c r="C119" s="5" t="inlineStr">
        <is>
          <t>התקנת גוף תאורה שקוע בקיר, לרבות שילוב רכיבי ההתקנה, התאמה למישור הגמר, חיבור חשמלי ובדיקת פעולה.</t>
        </is>
      </c>
      <c r="D119" s="4" t="inlineStr">
        <is>
          <t>יח׳</t>
        </is>
      </c>
      <c r="E119" s="6" t="n">
        <v>10</v>
      </c>
      <c r="F119" s="7" t="n"/>
      <c r="G119" s="7">
        <f>IF(AND(ISNUMBER(E119),ISNUMBER(F119)),ROUND(E119*F119,2),"")</f>
        <v/>
      </c>
      <c r="H119" s="5" t="n"/>
    </row>
    <row r="120">
      <c r="A120" s="4" t="inlineStr">
        <is>
          <t>07.15</t>
        </is>
      </c>
      <c r="B120" s="5" t="inlineStr">
        <is>
          <t>התקנת מאוורר תקרה משולב תאורה</t>
        </is>
      </c>
      <c r="C120" s="5" t="inlineStr">
        <is>
          <t>התקנת מאוורר תקרה הכולל גוף תאורה, לרבות קיבוע לתשתית המתאימה למוצר, הרכבה, חיבור חשמלי, כיוון ובדיקת פעולת המאוורר והתאורה.</t>
        </is>
      </c>
      <c r="D120" s="4" t="inlineStr">
        <is>
          <t>יח׳</t>
        </is>
      </c>
      <c r="E120" s="6" t="n">
        <v>6</v>
      </c>
      <c r="F120" s="7" t="n"/>
      <c r="G120" s="7">
        <f>IF(AND(ISNUMBER(E120),ISNUMBER(F120)),ROUND(E120*F120,2),"")</f>
        <v/>
      </c>
      <c r="H120" s="5" t="n"/>
    </row>
    <row r="121">
      <c r="A121" s="4" t="inlineStr">
        <is>
          <t>07.16</t>
        </is>
      </c>
      <c r="B121" s="5" t="inlineStr">
        <is>
          <t>התקנת מאוורר משולב תאורה, מוגן מים</t>
        </is>
      </c>
      <c r="C121" s="5" t="inlineStr">
        <is>
          <t>התקנת מאוורר משולב תאורה בעל התאמה למיקום הרטוב או החיצוני המתוכנן, לרבות קיבוע, הרכבה, חיבור ובדיקת פעולה בהתאם להוראות היצרן.</t>
        </is>
      </c>
      <c r="D121" s="4" t="inlineStr">
        <is>
          <t>יח׳</t>
        </is>
      </c>
      <c r="E121" s="6" t="n">
        <v>6</v>
      </c>
      <c r="F121" s="7" t="n"/>
      <c r="G121" s="7">
        <f>IF(AND(ISNUMBER(E121),ISNUMBER(F121)),ROUND(E121*F121,2),"")</f>
        <v/>
      </c>
      <c r="H121" s="5" t="inlineStr">
        <is>
          <t>לאימות – ייתכן שנכלל ב-07.15</t>
        </is>
      </c>
    </row>
    <row r="122">
      <c r="A122" s="4" t="inlineStr">
        <is>
          <t>07.17</t>
        </is>
      </c>
      <c r="B122" s="5" t="inlineStr">
        <is>
          <t>התקנת ספוט צילינדר צמוד תקרה</t>
        </is>
      </c>
      <c r="C122" s="5" t="inlineStr">
        <is>
          <t>התקנת גוף תאורה מסוג ספוט צילינדר צמוד תקרה, במיקום המתוכנן, לרבות קיבוע, חיבור ובדיקת פעולה.</t>
        </is>
      </c>
      <c r="D122" s="4" t="inlineStr">
        <is>
          <t>יח׳</t>
        </is>
      </c>
      <c r="E122" s="6" t="n">
        <v>111</v>
      </c>
      <c r="F122" s="7" t="n"/>
      <c r="G122" s="7">
        <f>IF(AND(ISNUMBER(E122),ISNUMBER(F122)),ROUND(E122*F122,2),"")</f>
        <v/>
      </c>
      <c r="H122" s="5" t="n"/>
    </row>
    <row r="123">
      <c r="A123" s="4" t="inlineStr">
        <is>
          <t>07.18</t>
        </is>
      </c>
      <c r="B123" s="5" t="inlineStr">
        <is>
          <t>התקנת תאורת חירום דו־תכליתית</t>
        </is>
      </c>
      <c r="C123" s="5" t="inlineStr">
        <is>
          <t>התקנת גוף תאורת חירום דו־תכליתי, לרבות חיבור ישיר ללוח בהתאם לתוכנית, ובדיקת פעולתו בעת ניתוק מבוקר של אספקת החשמל.</t>
        </is>
      </c>
      <c r="D123" s="4" t="inlineStr">
        <is>
          <t>יח׳</t>
        </is>
      </c>
      <c r="E123" s="6" t="n"/>
      <c r="F123" s="7" t="n"/>
      <c r="G123" s="7">
        <f>IF(AND(ISNUMBER(E123),ISNUMBER(F123)),ROUND(E123*F123,2),"")</f>
        <v/>
      </c>
      <c r="H123" s="5" t="inlineStr">
        <is>
          <t>כמות לפי ספירה בתוכנית תאורה</t>
        </is>
      </c>
    </row>
    <row r="124">
      <c r="A124" s="4" t="inlineStr">
        <is>
          <t>07.19</t>
        </is>
      </c>
      <c r="B124" s="5" t="inlineStr">
        <is>
          <t>התקנת מקבץ ספוטים „נצנצים” שקוע בגבס</t>
        </is>
      </c>
      <c r="C124" s="5" t="inlineStr">
        <is>
          <t>התקנת מקבץ ספוטים מסוג „נצנצים” השקוע בגבס, בהתאם לפריסה המאושרת, לרבות תיאום הפתחים, קיבוע רכיבי המערכת, חיבור ובדיקת פעולה.</t>
        </is>
      </c>
      <c r="D124" s="4" t="inlineStr">
        <is>
          <t>יח׳</t>
        </is>
      </c>
      <c r="E124" s="6" t="n">
        <v>28</v>
      </c>
      <c r="F124" s="7" t="n"/>
      <c r="G124" s="7">
        <f>IF(AND(ISNUMBER(E124),ISNUMBER(F124)),ROUND(E124*F124,2),"")</f>
        <v/>
      </c>
      <c r="H124" s="5" t="n"/>
    </row>
    <row r="125">
      <c r="A125" s="4" t="inlineStr">
        <is>
          <t>07.20</t>
        </is>
      </c>
      <c r="B125" s="5" t="inlineStr">
        <is>
          <t>נקודת הזנה כללית לתאורה</t>
        </is>
      </c>
      <c r="C125" s="5" t="inlineStr">
        <is>
          <t>ביצוע נקודת הזנה כללית לתאורה בהתאם לתוכנית, לרבות צנרת, חיווט וחיבור למעגל המתוכנן, ללא התקנת גוף התאורה.</t>
        </is>
      </c>
      <c r="D125" s="4" t="inlineStr">
        <is>
          <t>יח׳</t>
        </is>
      </c>
      <c r="E125" s="6" t="n">
        <v>14</v>
      </c>
      <c r="F125" s="7" t="n"/>
      <c r="G125" s="7">
        <f>IF(AND(ISNUMBER(E125),ISNUMBER(F125)),ROUND(E125*F125,2),"")</f>
        <v/>
      </c>
      <c r="H125" s="5" t="n"/>
    </row>
    <row r="126">
      <c r="A126" s="8" t="inlineStr">
        <is>
          <t>סה״כ פרק 07 — תאורה ומפסקי תאורה</t>
        </is>
      </c>
      <c r="B126" s="8" t="n"/>
      <c r="C126" s="8" t="n"/>
      <c r="D126" s="8" t="n"/>
      <c r="E126" s="8" t="n"/>
      <c r="F126" s="8" t="n"/>
      <c r="G126" s="9">
        <f>IF(COUNT(G106:G125)=0,"",SUM(G106:G125))</f>
        <v/>
      </c>
      <c r="H126" s="8" t="n"/>
    </row>
    <row r="128">
      <c r="A128" s="3" t="inlineStr">
        <is>
          <t>פרק 08 — מיזוג אוויר</t>
        </is>
      </c>
      <c r="B128" s="3" t="n"/>
      <c r="C128" s="3" t="n"/>
      <c r="D128" s="3" t="n"/>
      <c r="E128" s="3" t="n"/>
      <c r="F128" s="3" t="n"/>
      <c r="G128" s="3" t="n"/>
      <c r="H128" s="3" t="n"/>
    </row>
    <row r="129">
      <c r="A129" s="4" t="inlineStr">
        <is>
          <t>08.01</t>
        </is>
      </c>
      <c r="B129" s="5" t="inlineStr">
        <is>
          <t>התקנת יחידת מיזוג פנימית</t>
        </is>
      </c>
      <c r="C129" s="5" t="inlineStr">
        <is>
          <t>התקנת יחידת מיזוג פנימית במיקום המאושר בתוכנית, לרבות קיבוע וחיבור לתשתיות הקירור, הניקוז והחשמל שהוכנו עבורה, ובדיקת פעולה. היחידה תהיה בהתאם למפרט הציוד שיימסר; במרתף נדרש אישור המתכננת לאזור המסומן בהערה.</t>
        </is>
      </c>
      <c r="D129" s="4" t="inlineStr">
        <is>
          <t>יח׳</t>
        </is>
      </c>
      <c r="E129" s="6" t="n"/>
      <c r="F129" s="7" t="n"/>
      <c r="G129" s="7">
        <f>IF(AND(ISNUMBER(E129),ISNUMBER(F129)),ROUND(E129*F129,2),"")</f>
        <v/>
      </c>
      <c r="H129" s="5" t="inlineStr">
        <is>
          <t>כמות לפי תוכנית מיזוג (7 או 8 לפי הכתב המקורי)</t>
        </is>
      </c>
    </row>
    <row r="130">
      <c r="A130" s="4" t="inlineStr">
        <is>
          <t>08.02</t>
        </is>
      </c>
      <c r="B130" s="5" t="inlineStr">
        <is>
          <t>צנרת קירור וניקוז ליחידות המיזוג</t>
        </is>
      </c>
      <c r="C130" s="5" t="inlineStr">
        <is>
          <t>אספקה והתקנה של צנרת נחושת מבודדת לפי הספק היחידה, כולל ניקוז עיבוי בשיפוע תקין, תוואי לאזור מטבח חוץ/פרגולה, קופסאות וכיסויים.</t>
        </is>
      </c>
      <c r="D130" s="4" t="inlineStr">
        <is>
          <t>מ״א</t>
        </is>
      </c>
      <c r="E130" s="6" t="n"/>
      <c r="F130" s="7" t="n"/>
      <c r="G130" s="7">
        <f>IF(AND(ISNUMBER(E130),ISNUMBER(F130)),ROUND(E130*F130,2),"")</f>
        <v/>
      </c>
      <c r="H130" s="5" t="n"/>
    </row>
    <row r="131">
      <c r="A131" s="4" t="inlineStr">
        <is>
          <t>08.03</t>
        </is>
      </c>
      <c r="B131" s="5" t="inlineStr">
        <is>
          <t>בדיקות ואקום ולחץ</t>
        </is>
      </c>
      <c r="C131" s="5" t="inlineStr">
        <is>
          <t>ביצוע בדיקות ואקום ולחץ לצנרת הקירור לפני הפעלת המערכת ובהתאם להוראות היצרן, לרבות מסירת דוח בדיקה.</t>
        </is>
      </c>
      <c r="D131" s="4" t="inlineStr">
        <is>
          <t>קומפ׳</t>
        </is>
      </c>
      <c r="E131" s="6" t="n">
        <v>1</v>
      </c>
      <c r="F131" s="7" t="n"/>
      <c r="G131" s="7">
        <f>IF(AND(ISNUMBER(E131),ISNUMBER(F131)),ROUND(E131*F131,2),"")</f>
        <v/>
      </c>
      <c r="H131" s="5" t="n"/>
    </row>
    <row r="132">
      <c r="A132" s="4" t="inlineStr">
        <is>
          <t>08.04</t>
        </is>
      </c>
      <c r="B132" s="5" t="inlineStr">
        <is>
          <t>התקנת יחידות מיזוג חיצוניות</t>
        </is>
      </c>
      <c r="C132" s="5" t="inlineStr">
        <is>
          <t>התקנת יחידות מיזוג חיצוניות במיקום שיאושר, כולל מתלים או בסיס, חיבור לצנרת ולחשמל ובדיקת פעולה.</t>
        </is>
      </c>
      <c r="D132" s="4" t="inlineStr">
        <is>
          <t>יח׳</t>
        </is>
      </c>
      <c r="E132" s="6" t="n"/>
      <c r="F132" s="7" t="n"/>
      <c r="G132" s="7">
        <f>IF(AND(ISNUMBER(E132),ISNUMBER(F132)),ROUND(E132*F132,2),"")</f>
        <v/>
      </c>
      <c r="H132" s="5" t="inlineStr">
        <is>
          <t>כמות לפי תוכנית מיזוג</t>
        </is>
      </c>
    </row>
    <row r="133">
      <c r="A133" s="8" t="inlineStr">
        <is>
          <t>סה״כ פרק 08 — מיזוג אוויר</t>
        </is>
      </c>
      <c r="B133" s="8" t="n"/>
      <c r="C133" s="8" t="n"/>
      <c r="D133" s="8" t="n"/>
      <c r="E133" s="8" t="n"/>
      <c r="F133" s="8" t="n"/>
      <c r="G133" s="9">
        <f>IF(COUNT(G129:G132)=0,"",SUM(G129:G132))</f>
        <v/>
      </c>
      <c r="H133" s="8" t="n"/>
    </row>
    <row r="135">
      <c r="A135" s="3" t="inlineStr">
        <is>
          <t>פרק 09 — מחיצות ותקרות גבס</t>
        </is>
      </c>
      <c r="B135" s="3" t="n"/>
      <c r="C135" s="3" t="n"/>
      <c r="D135" s="3" t="n"/>
      <c r="E135" s="3" t="n"/>
      <c r="F135" s="3" t="n"/>
      <c r="G135" s="3" t="n"/>
      <c r="H135" s="3" t="n"/>
    </row>
    <row r="136">
      <c r="A136" s="4" t="inlineStr">
        <is>
          <t>09.01</t>
        </is>
      </c>
      <c r="B136" s="5" t="inlineStr">
        <is>
          <t>מחיצות גבס במרתף</t>
        </is>
      </c>
      <c r="C136" s="5" t="inlineStr">
        <is>
          <t>ביצוע מחיצות וקירות גבס בקומת המרתף בהתאם לתוכנית ולסוג המערכת המסומן במקרא, לרבות מסלולים וניצבים, לוחות, סרטי הפרדה, בידוד אקוסטי וחיבורי המערכת למבנה. באזורים רטובים יבוצעו לוחות עמידי מים וחיזוקים לתליית הכלים בהתאם למפרט. כולל לוח צמנטי, חיזוק מפגשים והכנה לאיטום באזורי התזה ישירה.</t>
        </is>
      </c>
      <c r="D136" s="4" t="inlineStr">
        <is>
          <t>מ״ר</t>
        </is>
      </c>
      <c r="E136" s="6" t="n">
        <v>64</v>
      </c>
      <c r="F136" s="7" t="n"/>
      <c r="G136" s="7">
        <f>IF(AND(ISNUMBER(E136),ISNUMBER(F136)),ROUND(E136*F136,2),"")</f>
        <v/>
      </c>
      <c r="H136" s="5" t="n"/>
    </row>
    <row r="137">
      <c r="A137" s="4" t="inlineStr">
        <is>
          <t>09.02</t>
        </is>
      </c>
      <c r="B137" s="5" t="inlineStr">
        <is>
          <t>מחיצות גבס בקומת הקרקע</t>
        </is>
      </c>
      <c r="C137" s="5" t="inlineStr">
        <is>
          <t>ביצוע מחיצות וקירות גבס בקומת הקרקע בהתאם לתוכנית ולסוג המערכת המסומן במקרא, לרבות שלד, לוחות, סרטי הפרדה, בידוד אקוסטי וחיבורי המערכת למבנה, והתאמה ייעודית לאזורים הרטובים. כולל לוח צמנטי, חיזוק מפגשים והכנה לאיטום באזורי התזה ישירה.</t>
        </is>
      </c>
      <c r="D137" s="4" t="inlineStr">
        <is>
          <t>מ״ר</t>
        </is>
      </c>
      <c r="E137" s="6" t="n">
        <v>17</v>
      </c>
      <c r="F137" s="7" t="n"/>
      <c r="G137" s="7">
        <f>IF(AND(ISNUMBER(E137),ISNUMBER(F137)),ROUND(E137*F137,2),"")</f>
        <v/>
      </c>
      <c r="H137" s="5" t="n"/>
    </row>
    <row r="138">
      <c r="A138" s="4" t="inlineStr">
        <is>
          <t>09.03</t>
        </is>
      </c>
      <c r="B138" s="5" t="inlineStr">
        <is>
          <t>מחיצות גבס בקומה א׳ ובגלריה</t>
        </is>
      </c>
      <c r="C138" s="5" t="inlineStr">
        <is>
          <t>ביצוע מחיצות וקירות גבס בקומה א׳ ובגלריה בהתאם לתוכנית ולסוג המערכת המסומן במקרא, לרבות שלד, לוחות, סרטי הפרדה, בידוד אקוסטי וחיבורי המערכת למבנה, והתאמה ייעודית לאזורים הרטובים. כולל לוח צמנטי, חיזוק מפגשים והכנה לאיטום באזורי התזה ישירה.</t>
        </is>
      </c>
      <c r="D138" s="4" t="inlineStr">
        <is>
          <t>מ״ר</t>
        </is>
      </c>
      <c r="E138" s="6" t="n">
        <v>52</v>
      </c>
      <c r="F138" s="7" t="n"/>
      <c r="G138" s="7">
        <f>IF(AND(ISNUMBER(E138),ISNUMBER(F138)),ROUND(E138*F138,2),"")</f>
        <v/>
      </c>
      <c r="H138" s="5" t="n"/>
    </row>
    <row r="139">
      <c r="A139" s="4" t="inlineStr">
        <is>
          <t>09.04</t>
        </is>
      </c>
      <c r="B139" s="5" t="inlineStr">
        <is>
          <t>תקרות גבס תלויות</t>
        </is>
      </c>
      <c r="C139" s="5" t="inlineStr">
        <is>
          <t>ביצוע תקרות גבס תלויות או מונמכות באזורים המסומנים בתוכנית וככל שנדרש, לרבות מתלים, פרופילי נשיאה, לוחות ותיאום פתחים לתאורה ולמיזוג לפני הסגירה, בהתאם להוראות מערכת הגבס. שפכטל וצבע מתוארים בפרק 15.</t>
        </is>
      </c>
      <c r="D139" s="4" t="inlineStr">
        <is>
          <t>מ״ר</t>
        </is>
      </c>
      <c r="E139" s="10" t="n">
        <v>33.3</v>
      </c>
      <c r="F139" s="7" t="n"/>
      <c r="G139" s="7">
        <f>IF(AND(ISNUMBER(E139),ISNUMBER(F139)),ROUND(E139*F139,2),"")</f>
        <v/>
      </c>
      <c r="H139" s="5" t="n"/>
    </row>
    <row r="140">
      <c r="A140" s="8" t="inlineStr">
        <is>
          <t>סה״כ פרק 09 — מחיצות ותקרות גבס</t>
        </is>
      </c>
      <c r="B140" s="8" t="n"/>
      <c r="C140" s="8" t="n"/>
      <c r="D140" s="8" t="n"/>
      <c r="E140" s="8" t="n"/>
      <c r="F140" s="8" t="n"/>
      <c r="G140" s="9">
        <f>IF(COUNT(G136:G139)=0,"",SUM(G136:G139))</f>
        <v/>
      </c>
      <c r="H140" s="8" t="n"/>
    </row>
    <row r="142">
      <c r="A142" s="3" t="inlineStr">
        <is>
          <t>פרק 10 — איטום פנים</t>
        </is>
      </c>
      <c r="B142" s="3" t="n"/>
      <c r="C142" s="3" t="n"/>
      <c r="D142" s="3" t="n"/>
      <c r="E142" s="3" t="n"/>
      <c r="F142" s="3" t="n"/>
      <c r="G142" s="3" t="n"/>
      <c r="H142" s="3" t="n"/>
    </row>
    <row r="143">
      <c r="A143" s="4" t="inlineStr">
        <is>
          <t>10.01</t>
        </is>
      </c>
      <c r="B143" s="5" t="inlineStr">
        <is>
          <t>איטום רצפות חדרים רטובים</t>
        </is>
      </c>
      <c r="C143" s="5" t="inlineStr">
        <is>
          <t>ביצוע מערכת איטום רציפה לרצפות חדרי הרחצה והאזורים הרטובים, לרבות הכנת התשתית, טיפול במפגשי רצפה וקיר, הרמות איטום היקפיות ושילוב אטום סביב מעברי הצנרת ואביזרי הניקוז, בהתאם להנחיות ולאישור יועץ האיטום.</t>
        </is>
      </c>
      <c r="D143" s="4" t="inlineStr">
        <is>
          <t>מ״ר</t>
        </is>
      </c>
      <c r="E143" s="6" t="n">
        <v>40</v>
      </c>
      <c r="F143" s="7" t="n"/>
      <c r="G143" s="7">
        <f>IF(AND(ISNUMBER(E143),ISNUMBER(F143)),ROUND(E143*F143,2),"")</f>
        <v/>
      </c>
      <c r="H143" s="5" t="n"/>
    </row>
    <row r="144">
      <c r="A144" s="4" t="inlineStr">
        <is>
          <t>10.02</t>
        </is>
      </c>
      <c r="B144" s="5" t="inlineStr">
        <is>
          <t>איטום קירות חדרים רטובים</t>
        </is>
      </c>
      <c r="C144" s="5" t="inlineStr">
        <is>
          <t>ביצוע מערכת איטום לקירות באזורים הרטובים, בשטחים ובגבהים שיאושרו, לרבות התאמה לתשתית בלוקים, בטון או לוחות, טיפול בפינות ובמפגשים ואיטום סביב חדירות ואביזרים, בהתאם להנחיות יועץ האיטום.</t>
        </is>
      </c>
      <c r="D144" s="4" t="inlineStr">
        <is>
          <t>מ״ר</t>
        </is>
      </c>
      <c r="E144" s="6" t="n">
        <v>186</v>
      </c>
      <c r="F144" s="7" t="n"/>
      <c r="G144" s="7">
        <f>IF(AND(ISNUMBER(E144),ISNUMBER(F144)),ROUND(E144*F144,2),"")</f>
        <v/>
      </c>
      <c r="H144" s="5" t="n"/>
    </row>
    <row r="145">
      <c r="A145" s="4" t="inlineStr">
        <is>
          <t>10.03</t>
        </is>
      </c>
      <c r="B145" s="5" t="inlineStr">
        <is>
          <t>בדיקות הצפה לחדרים רטובים</t>
        </is>
      </c>
      <c r="C145" s="5" t="inlineStr">
        <is>
          <t>ביצוע בדיקות הצפה נפרדות לחדרים הרטובים לאחר השלמת האיטום, למשך הזמן שיאשר יועץ האיטום, לרבות תיעוד הבדיקות וקבלת אישור בכתב לפני הריצוף.</t>
        </is>
      </c>
      <c r="D145" s="4" t="inlineStr">
        <is>
          <t>קומפ׳</t>
        </is>
      </c>
      <c r="E145" s="6" t="n">
        <v>5</v>
      </c>
      <c r="F145" s="7" t="n"/>
      <c r="G145" s="7">
        <f>IF(AND(ISNUMBER(E145),ISNUMBER(F145)),ROUND(E145*F145,2),"")</f>
        <v/>
      </c>
      <c r="H145" s="5" t="n"/>
    </row>
    <row r="146">
      <c r="A146" s="4" t="inlineStr">
        <is>
          <t>10.04</t>
        </is>
      </c>
      <c r="B146" s="5" t="inlineStr">
        <is>
          <t>איטום מרפסות</t>
        </is>
      </c>
      <c r="C146" s="5" t="inlineStr">
        <is>
          <t>איטום רצפות המרפסות מעל חללים מבונים, כולל הרמות איטום, טיפול בספים ובנקודות ניקוז ובדיקת הצפה, בהנחיית יועץ האיטום.</t>
        </is>
      </c>
      <c r="D146" s="4" t="inlineStr">
        <is>
          <t>מ״ר</t>
        </is>
      </c>
      <c r="E146" s="10" t="n">
        <v>52.7</v>
      </c>
      <c r="F146" s="7" t="n"/>
      <c r="G146" s="7">
        <f>IF(AND(ISNUMBER(E146),ISNUMBER(F146)),ROUND(E146*F146,2),"")</f>
        <v/>
      </c>
      <c r="H146" s="5" t="n"/>
    </row>
    <row r="147">
      <c r="A147" s="8" t="inlineStr">
        <is>
          <t>סה״כ פרק 10 — איטום פנים</t>
        </is>
      </c>
      <c r="B147" s="8" t="n"/>
      <c r="C147" s="8" t="n"/>
      <c r="D147" s="8" t="n"/>
      <c r="E147" s="8" t="n"/>
      <c r="F147" s="8" t="n"/>
      <c r="G147" s="9">
        <f>IF(COUNT(G143:G146)=0,"",SUM(G143:G146))</f>
        <v/>
      </c>
      <c r="H147" s="8" t="n"/>
    </row>
    <row r="149">
      <c r="A149" s="3" t="inlineStr">
        <is>
          <t>פרק 11 — איטום גג ופרפט</t>
        </is>
      </c>
      <c r="B149" s="3" t="n"/>
      <c r="C149" s="3" t="n"/>
      <c r="D149" s="3" t="n"/>
      <c r="E149" s="3" t="n"/>
      <c r="F149" s="3" t="n"/>
      <c r="G149" s="3" t="n"/>
      <c r="H149" s="3" t="n"/>
    </row>
    <row r="150">
      <c r="A150" s="4" t="inlineStr">
        <is>
          <t>11.01</t>
        </is>
      </c>
      <c r="B150" s="5" t="inlineStr">
        <is>
          <t>בדיקת קונסטרוקטור למבנה הגג החשוף</t>
        </is>
      </c>
      <c r="C150" s="5" t="inlineStr">
        <is>
          <t>בדיקת מצב מבנה הגג לאחר פירוק הרעפים וארגזי הרוח, וקבלת אישור בכתב לפני ביצוע.</t>
        </is>
      </c>
      <c r="D150" s="4" t="inlineStr">
        <is>
          <t>קומפ׳</t>
        </is>
      </c>
      <c r="E150" s="6" t="n">
        <v>1</v>
      </c>
      <c r="F150" s="7" t="n"/>
      <c r="G150" s="7">
        <f>IF(AND(ISNUMBER(E150),ISNUMBER(F150)),ROUND(E150*F150,2),"")</f>
        <v/>
      </c>
      <c r="H150" s="5" t="n"/>
    </row>
    <row r="151">
      <c r="A151" s="4" t="inlineStr">
        <is>
          <t>11.02</t>
        </is>
      </c>
      <c r="B151" s="5" t="inlineStr">
        <is>
          <t>בניית פרפט חדש להסתרת שיפוע הגג</t>
        </is>
      </c>
      <c r="C151" s="5" t="inlineStr">
        <is>
          <t>בניית דופן אנכית חדשה בהיקף הגג, בגובה אחיד המסתיר את קו השיפוע הישן.</t>
        </is>
      </c>
      <c r="D151" s="4" t="inlineStr">
        <is>
          <t>מ״א</t>
        </is>
      </c>
      <c r="E151" s="6" t="n"/>
      <c r="F151" s="7" t="n"/>
      <c r="G151" s="7">
        <f>IF(AND(ISNUMBER(E151),ISNUMBER(F151)),ROUND(E151*F151,2),"")</f>
        <v/>
      </c>
      <c r="H151" s="5" t="n"/>
    </row>
    <row r="152">
      <c r="A152" s="4" t="inlineStr">
        <is>
          <t>11.03</t>
        </is>
      </c>
      <c r="B152" s="5" t="inlineStr">
        <is>
          <t>איטום מלא של הגג והפרפט</t>
        </is>
      </c>
      <c r="C152" s="5" t="inlineStr">
        <is>
          <t>מערכת איטום רציפה חדשה על כל משטח הגג כולל הרמה על הפרפט, בהנחיית יועץ איטום, כולל בדיקת הצפה 48–72 שעות.</t>
        </is>
      </c>
      <c r="D152" s="4" t="inlineStr">
        <is>
          <t>מ״ר</t>
        </is>
      </c>
      <c r="E152" s="6" t="n"/>
      <c r="F152" s="7" t="n"/>
      <c r="G152" s="7">
        <f>IF(AND(ISNUMBER(E152),ISNUMBER(F152)),ROUND(E152*F152,2),"")</f>
        <v/>
      </c>
      <c r="H152" s="5" t="n"/>
    </row>
    <row r="153">
      <c r="A153" s="4" t="inlineStr">
        <is>
          <t>11.04</t>
        </is>
      </c>
      <c r="B153" s="5" t="inlineStr">
        <is>
          <t>פח קופינג עליון</t>
        </is>
      </c>
      <c r="C153" s="5" t="inlineStr">
        <is>
          <t>אספקה והתקנת פח קופינג מגולוון/אלומיניום בגוון הבית, עם שיפוע פנימי ותפרי התפשטות.</t>
        </is>
      </c>
      <c r="D153" s="4" t="inlineStr">
        <is>
          <t>מ״א</t>
        </is>
      </c>
      <c r="E153" s="6" t="n"/>
      <c r="F153" s="7" t="n"/>
      <c r="G153" s="7">
        <f>IF(AND(ISNUMBER(E153),ISNUMBER(F153)),ROUND(E153*F153,2),"")</f>
        <v/>
      </c>
      <c r="H153" s="5" t="n"/>
    </row>
    <row r="154">
      <c r="A154" s="4" t="inlineStr">
        <is>
          <t>11.05</t>
        </is>
      </c>
      <c r="B154" s="5" t="inlineStr">
        <is>
          <t>בדיקה ושימור מערכת ניקוז קיימת</t>
        </is>
      </c>
      <c r="C154" s="5" t="inlineStr">
        <is>
          <t>בדיקת תפקוד מערכת הניקוז הקיימת בזרימת מים מבוקרת ושימור השיפועים.</t>
        </is>
      </c>
      <c r="D154" s="4" t="inlineStr">
        <is>
          <t>קומפ׳</t>
        </is>
      </c>
      <c r="E154" s="6" t="n">
        <v>1</v>
      </c>
      <c r="F154" s="7" t="n"/>
      <c r="G154" s="7">
        <f>IF(AND(ISNUMBER(E154),ISNUMBER(F154)),ROUND(E154*F154,2),"")</f>
        <v/>
      </c>
      <c r="H154" s="5" t="n"/>
    </row>
    <row r="155">
      <c r="A155" s="8" t="inlineStr">
        <is>
          <t>סה״כ פרק 11 — איטום גג ופרפט</t>
        </is>
      </c>
      <c r="B155" s="8" t="n"/>
      <c r="C155" s="8" t="n"/>
      <c r="D155" s="8" t="n"/>
      <c r="E155" s="8" t="n"/>
      <c r="F155" s="8" t="n"/>
      <c r="G155" s="9">
        <f>IF(COUNT(G150:G154)=0,"",SUM(G150:G154))</f>
        <v/>
      </c>
      <c r="H155" s="8" t="n"/>
    </row>
    <row r="157">
      <c r="A157" s="3" t="inlineStr">
        <is>
          <t>פרק 12 — אדני חלונות וספי פתחים</t>
        </is>
      </c>
      <c r="B157" s="3" t="n"/>
      <c r="C157" s="3" t="n"/>
      <c r="D157" s="3" t="n"/>
      <c r="E157" s="3" t="n"/>
      <c r="F157" s="3" t="n"/>
      <c r="G157" s="3" t="n"/>
      <c r="H157" s="3" t="n"/>
    </row>
    <row r="158">
      <c r="A158" s="4" t="inlineStr">
        <is>
          <t>12.01</t>
        </is>
      </c>
      <c r="B158" s="5" t="inlineStr">
        <is>
          <t>התקנת אדני חלונות פנימיים</t>
        </is>
      </c>
      <c r="C158" s="5" t="inlineStr">
        <is>
          <t>התקנת אדני חלונות פנימיים מאבן, שיש או חומר אחר שאושר במפרט, לאחר מדידה סופית של הפתחים, לרבות התאמה, מצע התקנה וקיבוע, בגמר ישר ואחיד וללא שברים או סדקים.</t>
        </is>
      </c>
      <c r="D158" s="4" t="inlineStr">
        <is>
          <t>מ״א</t>
        </is>
      </c>
      <c r="E158" s="10" t="n">
        <v>33.23</v>
      </c>
      <c r="F158" s="7" t="n"/>
      <c r="G158" s="7">
        <f>IF(AND(ISNUMBER(E158),ISNUMBER(F158)),ROUND(E158*F158,2),"")</f>
        <v/>
      </c>
      <c r="H158" s="5" t="n"/>
    </row>
    <row r="159">
      <c r="A159" s="4" t="inlineStr">
        <is>
          <t>12.02</t>
        </is>
      </c>
      <c r="B159" s="5" t="inlineStr">
        <is>
          <t>התקנת ספי חלונות חיצוניים</t>
        </is>
      </c>
      <c r="C159" s="5" t="inlineStr">
        <is>
          <t>התקנת ספי חלונות חיצוניים מהחומר המאושר, לאחר מדידה סופית, לרבות התאמה וקיבוע בשיפוע כלפי חוץ ותיאום עם מסגרות האלומיניום ועם מערכת האיטום.</t>
        </is>
      </c>
      <c r="D159" s="4" t="inlineStr">
        <is>
          <t>מ״א</t>
        </is>
      </c>
      <c r="E159" s="6" t="n">
        <v>35</v>
      </c>
      <c r="F159" s="7" t="n"/>
      <c r="G159" s="7">
        <f>IF(AND(ISNUMBER(E159),ISNUMBER(F159)),ROUND(E159*F159,2),"")</f>
        <v/>
      </c>
      <c r="H159" s="5" t="n"/>
    </row>
    <row r="160">
      <c r="A160" s="4" t="inlineStr">
        <is>
          <t>12.03</t>
        </is>
      </c>
      <c r="B160" s="5" t="inlineStr">
        <is>
          <t>התקנת ספי דלתות</t>
        </is>
      </c>
      <c r="C160" s="5" t="inlineStr">
        <is>
          <t>התקנת ספי דלתות ופתחי יציאה בהתאם לפרטים המאושרים, לרבות התאמה למפלסי הריצוף ולמשקופים, מצע התקנה וקיבוע.</t>
        </is>
      </c>
      <c r="D160" s="4" t="inlineStr">
        <is>
          <t>מ״א</t>
        </is>
      </c>
      <c r="E160" s="6" t="n">
        <v>19</v>
      </c>
      <c r="F160" s="7" t="n"/>
      <c r="G160" s="7">
        <f>IF(AND(ISNUMBER(E160),ISNUMBER(F160)),ROUND(E160*F160,2),"")</f>
        <v/>
      </c>
      <c r="H160" s="5" t="n"/>
    </row>
    <row r="161">
      <c r="A161" s="4" t="inlineStr">
        <is>
          <t>12.04</t>
        </is>
      </c>
      <c r="B161" s="5" t="inlineStr">
        <is>
          <t>איטום סביב אדנים וספים</t>
        </is>
      </c>
      <c r="C161" s="5" t="inlineStr">
        <is>
          <t>איטום המפגשים סביב אדני החלונות וספי הפתחים, ובינם לבין מסגרות האלומיניום והמעטפת, באמצעות מערכת וחומר גמיש מאושרים, לרבות בדיקת מים בספי החוץ בהתאם למפרט. עבודה זו לא תיכלל פעם נוספת בסעיפי התקנת הספים.</t>
        </is>
      </c>
      <c r="D161" s="4" t="inlineStr">
        <is>
          <t>מ״א</t>
        </is>
      </c>
      <c r="E161" s="10" t="n">
        <v>125.62</v>
      </c>
      <c r="F161" s="7" t="n"/>
      <c r="G161" s="7">
        <f>IF(AND(ISNUMBER(E161),ISNUMBER(F161)),ROUND(E161*F161,2),"")</f>
        <v/>
      </c>
      <c r="H161" s="5" t="n"/>
    </row>
    <row r="162">
      <c r="A162" s="8" t="inlineStr">
        <is>
          <t>סה״כ פרק 12 — אדני חלונות וספי פתחים</t>
        </is>
      </c>
      <c r="B162" s="8" t="n"/>
      <c r="C162" s="8" t="n"/>
      <c r="D162" s="8" t="n"/>
      <c r="E162" s="8" t="n"/>
      <c r="F162" s="8" t="n"/>
      <c r="G162" s="9">
        <f>IF(COUNT(G158:G161)=0,"",SUM(G158:G161))</f>
        <v/>
      </c>
      <c r="H162" s="8" t="n"/>
    </row>
    <row r="164">
      <c r="A164" s="3" t="inlineStr">
        <is>
          <t>פרק 13 — ריצופים, חיפויים ופנלים</t>
        </is>
      </c>
      <c r="B164" s="3" t="n"/>
      <c r="C164" s="3" t="n"/>
      <c r="D164" s="3" t="n"/>
      <c r="E164" s="3" t="n"/>
      <c r="F164" s="3" t="n"/>
      <c r="G164" s="3" t="n"/>
      <c r="H164" s="3" t="n"/>
    </row>
    <row r="165">
      <c r="A165" s="4" t="inlineStr">
        <is>
          <t>13.01</t>
        </is>
      </c>
      <c r="B165" s="5" t="inlineStr">
        <is>
          <t>ריצוף פנים באריחים 120×120 ס״מ, כולל רצפות מקלחות</t>
        </is>
      </c>
      <c r="C165" s="5" t="inlineStr">
        <is>
          <t>הנחת אריחי 120×120 ס״מ בשטחי הפנים, כולל רצפות המקלחות (28.90 מ״ר) לאחר אישור האיטום, לרבות הכנת תשתית, הדבקה, חיתוכים, התאמת שיפועים לניקוזים ומילוי פוגות.</t>
        </is>
      </c>
      <c r="D165" s="4" t="inlineStr">
        <is>
          <t>מ״ר</t>
        </is>
      </c>
      <c r="E165" s="10" t="n">
        <v>219.9</v>
      </c>
      <c r="F165" s="7" t="n"/>
      <c r="G165" s="7">
        <f>IF(AND(ISNUMBER(E165),ISNUMBER(F165)),ROUND(E165*F165,2),"")</f>
        <v/>
      </c>
      <c r="H165" s="5" t="n"/>
    </row>
    <row r="166">
      <c r="A166" s="4" t="inlineStr">
        <is>
          <t>13.02</t>
        </is>
      </c>
      <c r="B166" s="5" t="inlineStr">
        <is>
          <t>ריצוף פנים במרתף באריחים 120×60 ס״מ</t>
        </is>
      </c>
      <c r="C166" s="5" t="inlineStr">
        <is>
          <t>הנחת אריחי ריצוף במידות 120×60 ס״מ בשטחי הפנים של המרתף, ללא רצפות המקלחות, לרבות הכנת תשתית ההתקנה, חיתוכים, התאמות ומילוי פוגות.</t>
        </is>
      </c>
      <c r="D166" s="4" t="inlineStr">
        <is>
          <t>מ״ר</t>
        </is>
      </c>
      <c r="E166" s="6" t="n">
        <v>105</v>
      </c>
      <c r="F166" s="7" t="n"/>
      <c r="G166" s="7">
        <f>IF(AND(ISNUMBER(E166),ISNUMBER(F166)),ROUND(E166*F166,2),"")</f>
        <v/>
      </c>
      <c r="H166" s="5" t="n"/>
    </row>
    <row r="167">
      <c r="A167" s="4" t="inlineStr">
        <is>
          <t>13.03</t>
        </is>
      </c>
      <c r="B167" s="5" t="inlineStr">
        <is>
          <t>חיפוי קירות מקלחות באריחים 120×60 ס״מ</t>
        </is>
      </c>
      <c r="C167" s="5" t="inlineStr">
        <is>
          <t>חיפוי קירות המקלחות באריחים במידות 120×60 ס״מ, לאחר אישור מערכת האיטום, לרבות הדבקה בחומר מתאים, חיתוכים סביב אביזרים ופתחים, פרופילי גמר לפי התוכנית ומילוי פוגות.</t>
        </is>
      </c>
      <c r="D167" s="4" t="inlineStr">
        <is>
          <t>מ״ר</t>
        </is>
      </c>
      <c r="E167" s="10" t="n">
        <v>121.2</v>
      </c>
      <c r="F167" s="7" t="n"/>
      <c r="G167" s="7">
        <f>IF(AND(ISNUMBER(E167),ISNUMBER(F167)),ROUND(E167*F167,2),"")</f>
        <v/>
      </c>
      <c r="H167" s="5" t="n"/>
    </row>
    <row r="168">
      <c r="A168" s="4" t="inlineStr">
        <is>
          <t>13.04</t>
        </is>
      </c>
      <c r="B168" s="5" t="inlineStr">
        <is>
          <t>התקנת פנלים</t>
        </is>
      </c>
      <c r="C168" s="5" t="inlineStr">
        <is>
          <t>חיתוך והתקנת פנלים מאריחי הגמר שנבחרו, בגובה ובהתאם לפרט המאושר, לרבות הדבקה, התאמות בפינות ובפתחים ומילוי המישקים.</t>
        </is>
      </c>
      <c r="D168" s="4" t="inlineStr">
        <is>
          <t>מ״א</t>
        </is>
      </c>
      <c r="E168" s="6" t="n">
        <v>285</v>
      </c>
      <c r="F168" s="7" t="n"/>
      <c r="G168" s="7">
        <f>IF(AND(ISNUMBER(E168),ISNUMBER(F168)),ROUND(E168*F168,2),"")</f>
        <v/>
      </c>
      <c r="H168" s="5" t="n"/>
    </row>
    <row r="169">
      <c r="A169" s="4" t="inlineStr">
        <is>
          <t>13.05</t>
        </is>
      </c>
      <c r="B169" s="5" t="inlineStr">
        <is>
          <t>ריצוף חוץ ומרפסות באריחים 120×60 ס״מ, R11</t>
        </is>
      </c>
      <c r="C169" s="5" t="inlineStr">
        <is>
          <t>הנחת אריחי חוץ 120×60 ס״מ R11 בשטחי החוץ ובמרפסות, לאחר אישור התשתית והאיטום, לרבות התאמה למפלסים, לשיפועי ניקוז ולספי הפתחים, חיתוכים ומילוי פוגות.</t>
        </is>
      </c>
      <c r="D169" s="4" t="inlineStr">
        <is>
          <t>מ״ר</t>
        </is>
      </c>
      <c r="E169" s="10" t="n">
        <v>263.7</v>
      </c>
      <c r="F169" s="7" t="n"/>
      <c r="G169" s="7">
        <f>IF(AND(ISNUMBER(E169),ISNUMBER(F169)),ROUND(E169*F169,2),"")</f>
        <v/>
      </c>
      <c r="H169" s="5" t="n"/>
    </row>
    <row r="170">
      <c r="A170" s="4" t="inlineStr">
        <is>
          <t>13.07</t>
        </is>
      </c>
      <c r="B170" s="5" t="inlineStr">
        <is>
          <t>חיפוי מדרגות פנים (שלח ורום)</t>
        </is>
      </c>
      <c r="C170" s="5" t="inlineStr">
        <is>
          <t>חיפוי מדרגות פנים באבן או באריחים לפי בחירה, שלח ורום, כולל פסי החלקה ופרופילי גמר.</t>
        </is>
      </c>
      <c r="D170" s="4" t="inlineStr">
        <is>
          <t>מ״א</t>
        </is>
      </c>
      <c r="E170" s="6" t="n">
        <v>50</v>
      </c>
      <c r="F170" s="7" t="n"/>
      <c r="G170" s="7">
        <f>IF(AND(ISNUMBER(E170),ISNUMBER(F170)),ROUND(E170*F170,2),"")</f>
        <v/>
      </c>
      <c r="H170" s="5" t="inlineStr">
        <is>
          <t>מתייחס לשלח + רום</t>
        </is>
      </c>
    </row>
    <row r="171">
      <c r="A171" s="8" t="inlineStr">
        <is>
          <t>סה״כ פרק 13 — ריצופים, חיפויים ופנלים</t>
        </is>
      </c>
      <c r="B171" s="8" t="n"/>
      <c r="C171" s="8" t="n"/>
      <c r="D171" s="8" t="n"/>
      <c r="E171" s="8" t="n"/>
      <c r="F171" s="8" t="n"/>
      <c r="G171" s="9">
        <f>IF(COUNT(G165:G170)=0,"",SUM(G165:G170))</f>
        <v/>
      </c>
      <c r="H171" s="8" t="n"/>
    </row>
    <row r="173">
      <c r="A173" s="3" t="inlineStr">
        <is>
          <t>פרק 14 — טיח וגמר צבעוני חוץ</t>
        </is>
      </c>
      <c r="B173" s="3" t="n"/>
      <c r="C173" s="3" t="n"/>
      <c r="D173" s="3" t="n"/>
      <c r="E173" s="3" t="n"/>
      <c r="F173" s="3" t="n"/>
      <c r="G173" s="3" t="n"/>
      <c r="H173" s="3" t="n"/>
    </row>
    <row r="174">
      <c r="A174" s="4" t="inlineStr">
        <is>
          <t>14.01</t>
        </is>
      </c>
      <c r="B174" s="5" t="inlineStr">
        <is>
          <t>הכנת תשתית וטיח צבעוני לחזיתות הבית</t>
        </is>
      </c>
      <c r="C174" s="5" t="inlineStr">
        <is>
          <t>הכנה ותיקון תשתית החזית (כולל יישור אזורי המסגרות שפורקו ורשת במעברי חומרים) ויישום מערכת גמר צבעונית בגוון ובמרקם המאושרים, עם גבולות ישרים במפגש עם אזורי חיפוי.</t>
        </is>
      </c>
      <c r="D174" s="4" t="inlineStr">
        <is>
          <t>מ״ר</t>
        </is>
      </c>
      <c r="E174" s="6" t="n">
        <v>225</v>
      </c>
      <c r="F174" s="7" t="n"/>
      <c r="G174" s="7">
        <f>IF(AND(ISNUMBER(E174),ISNUMBER(F174)),ROUND(E174*F174,2),"")</f>
        <v/>
      </c>
      <c r="H174" s="5" t="n"/>
    </row>
    <row r="175">
      <c r="A175" s="4" t="inlineStr">
        <is>
          <t>14.02</t>
        </is>
      </c>
      <c r="B175" s="5" t="inlineStr">
        <is>
          <t>טיח וגמר צבעוני לפרפט הגג</t>
        </is>
      </c>
      <c r="C175" s="5" t="inlineStr">
        <is>
          <t>ביצוע הכנת תשתית וגמר צבעוני לפרפט הגג, בהתאמה לגוון ולמרקם החזיתות, לרבות טיפול בפינות ובמעברי חומרים.</t>
        </is>
      </c>
      <c r="D175" s="4" t="inlineStr">
        <is>
          <t>קומפ׳</t>
        </is>
      </c>
      <c r="E175" s="6" t="n">
        <v>1</v>
      </c>
      <c r="F175" s="7" t="n"/>
      <c r="G175" s="7">
        <f>IF(AND(ISNUMBER(E175),ISNUMBER(F175)),ROUND(E175*F175,2),"")</f>
        <v/>
      </c>
      <c r="H175" s="5" t="inlineStr">
        <is>
          <t>כולל גימור הפרפט – אין לתמחר שוב בפרק 11</t>
        </is>
      </c>
    </row>
    <row r="176">
      <c r="A176" s="4" t="inlineStr">
        <is>
          <t>14.03</t>
        </is>
      </c>
      <c r="B176" s="5" t="inlineStr">
        <is>
          <t>דוגמת גוון ומרקם לאישור</t>
        </is>
      </c>
      <c r="C176" s="5" t="inlineStr">
        <is>
          <t>ביצוע דוגמת גמר באתר, המייצגת את החומר, הגוון והמרקם המוצעים, וקבלת אישור המזמין והמתכננת בכתב לפני יישום הגמר על החזיתות.</t>
        </is>
      </c>
      <c r="D176" s="4" t="inlineStr">
        <is>
          <t>קומפ׳</t>
        </is>
      </c>
      <c r="E176" s="6" t="n">
        <v>1</v>
      </c>
      <c r="F176" s="7" t="n"/>
      <c r="G176" s="7">
        <f>IF(AND(ISNUMBER(E176),ISNUMBER(F176)),ROUND(E176*F176,2),"")</f>
        <v/>
      </c>
      <c r="H176" s="5" t="n"/>
    </row>
    <row r="177">
      <c r="A177" s="8" t="inlineStr">
        <is>
          <t>סה״כ פרק 14 — טיח וגמר צבעוני חוץ</t>
        </is>
      </c>
      <c r="B177" s="8" t="n"/>
      <c r="C177" s="8" t="n"/>
      <c r="D177" s="8" t="n"/>
      <c r="E177" s="8" t="n"/>
      <c r="F177" s="8" t="n"/>
      <c r="G177" s="9">
        <f>IF(COUNT(G174:G176)=0,"",SUM(G174:G176))</f>
        <v/>
      </c>
      <c r="H177" s="8" t="n"/>
    </row>
    <row r="179">
      <c r="A179" s="3" t="inlineStr">
        <is>
          <t>פרק 15 — תיקוני טיח, שפכטל וצבע פנים</t>
        </is>
      </c>
      <c r="B179" s="3" t="n"/>
      <c r="C179" s="3" t="n"/>
      <c r="D179" s="3" t="n"/>
      <c r="E179" s="3" t="n"/>
      <c r="F179" s="3" t="n"/>
      <c r="G179" s="3" t="n"/>
      <c r="H179" s="3" t="n"/>
    </row>
    <row r="180">
      <c r="A180" s="4" t="inlineStr">
        <is>
          <t>15.01</t>
        </is>
      </c>
      <c r="B180" s="5" t="inlineStr">
        <is>
          <t>תיקוני טיח, שפכטל וצבע פנים – מרתף</t>
        </is>
      </c>
      <c r="C180" s="5" t="inlineStr">
        <is>
          <t>תיקוני טיח, שפכטל בשלוש ידיים וצביעה מחדש של קירות ותקרות פנים, עד לאישור המעצבת, כולל הכנות, הגנות וניקיון.</t>
        </is>
      </c>
      <c r="D180" s="4" t="inlineStr">
        <is>
          <t>מ״ר</t>
        </is>
      </c>
      <c r="E180" s="6" t="n">
        <v>254</v>
      </c>
      <c r="F180" s="7" t="n"/>
      <c r="G180" s="7">
        <f>IF(AND(ISNUMBER(E180),ISNUMBER(F180)),ROUND(E180*F180,2),"")</f>
        <v/>
      </c>
      <c r="H180" s="5" t="n"/>
    </row>
    <row r="181">
      <c r="A181" s="4" t="inlineStr">
        <is>
          <t>15.02</t>
        </is>
      </c>
      <c r="B181" s="5" t="inlineStr">
        <is>
          <t>תיקוני טיח, שפכטל וצבע פנים – קרקע</t>
        </is>
      </c>
      <c r="C181" s="5" t="inlineStr">
        <is>
          <t>תיקוני טיח, שפכטל בשלוש ידיים וצביעה מחדש של קירות ותקרות פנים, עד לאישור המעצבת, כולל הכנות, הגנות וניקיון.</t>
        </is>
      </c>
      <c r="D181" s="4" t="inlineStr">
        <is>
          <t>מ״ר</t>
        </is>
      </c>
      <c r="E181" s="6" t="n">
        <v>118</v>
      </c>
      <c r="F181" s="7" t="n"/>
      <c r="G181" s="7">
        <f>IF(AND(ISNUMBER(E181),ISNUMBER(F181)),ROUND(E181*F181,2),"")</f>
        <v/>
      </c>
      <c r="H181" s="5" t="n"/>
    </row>
    <row r="182">
      <c r="A182" s="4" t="inlineStr">
        <is>
          <t>15.03</t>
        </is>
      </c>
      <c r="B182" s="5" t="inlineStr">
        <is>
          <t>תיקוני טיח, שפכטל וצבע פנים – קומה א׳</t>
        </is>
      </c>
      <c r="C182" s="5" t="inlineStr">
        <is>
          <t>תיקוני טיח, שפכטל בשלוש ידיים וצביעה מחדש של קירות ותקרות פנים, עד לאישור המעצבת, כולל הכנות, הגנות וניקיון.</t>
        </is>
      </c>
      <c r="D182" s="4" t="inlineStr">
        <is>
          <t>מ״ר</t>
        </is>
      </c>
      <c r="E182" s="6" t="n">
        <v>204</v>
      </c>
      <c r="F182" s="7" t="n"/>
      <c r="G182" s="7">
        <f>IF(AND(ISNUMBER(E182),ISNUMBER(F182)),ROUND(E182*F182,2),"")</f>
        <v/>
      </c>
      <c r="H182" s="5" t="n"/>
    </row>
    <row r="183">
      <c r="A183" s="8" t="inlineStr">
        <is>
          <t>סה״כ פרק 15 — תיקוני טיח, שפכטל וצבע פנים</t>
        </is>
      </c>
      <c r="B183" s="8" t="n"/>
      <c r="C183" s="8" t="n"/>
      <c r="D183" s="8" t="n"/>
      <c r="E183" s="8" t="n"/>
      <c r="F183" s="8" t="n"/>
      <c r="G183" s="9">
        <f>IF(COUNT(G180:G182)=0,"",SUM(G180:G182))</f>
        <v/>
      </c>
      <c r="H183" s="8" t="n"/>
    </row>
    <row r="185">
      <c r="A185" s="3" t="inlineStr">
        <is>
          <t>פרק 16 — אלומיניום, דלתות ושערים</t>
        </is>
      </c>
      <c r="B185" s="3" t="n"/>
      <c r="C185" s="3" t="n"/>
      <c r="D185" s="3" t="n"/>
      <c r="E185" s="3" t="n"/>
      <c r="F185" s="3" t="n"/>
      <c r="G185" s="3" t="n"/>
      <c r="H185" s="3" t="n"/>
    </row>
    <row r="186">
      <c r="A186" s="4" t="inlineStr">
        <is>
          <t>16.01</t>
        </is>
      </c>
      <c r="B186" s="5" t="inlineStr">
        <is>
          <t>פריטי אלומיניום לפי רשימת הפתחים</t>
        </is>
      </c>
      <c r="C186" s="5" t="inlineStr">
        <is>
          <t>ביצוע והתקנת פריטי האלומיניום המסומנים R1–R26, בהתאם ללוח האלומיניום ולמדידה סופית מאושרת באתר, לרבות מסגרות, כנפיים, זיגוג, פרזול, עיגונים ואטימת חיבורי המסגרת, לפי ההגדרה של כל פריט. העבודה כוללת כיוון ובדיקת פתיחה, סגירה ואטימות.</t>
        </is>
      </c>
      <c r="D186" s="4" t="inlineStr">
        <is>
          <t>יח׳</t>
        </is>
      </c>
      <c r="E186" s="6" t="n">
        <v>26</v>
      </c>
      <c r="F186" s="7" t="n"/>
      <c r="G186" s="7">
        <f>IF(AND(ISNUMBER(E186),ISNUMBER(F186)),ROUND(E186*F186,2),"")</f>
        <v/>
      </c>
      <c r="H186" s="5" t="n"/>
    </row>
    <row r="187">
      <c r="A187" s="4" t="inlineStr">
        <is>
          <t>16.02</t>
        </is>
      </c>
      <c r="B187" s="5" t="inlineStr">
        <is>
          <t xml:space="preserve">דלתות פנים </t>
        </is>
      </c>
      <c r="C187" s="5" t="inlineStr">
        <is>
          <t>התקנת דלתות פנים  לפי לוח הדלתות, לרבות כנפיים, משקופים ופרזול המוגדרים בו, התאמה למפלסי הגמר ולכיווני הפתיחה, קיבוע, כיוון ובדיקת פעולה.</t>
        </is>
      </c>
      <c r="D187" s="4" t="inlineStr">
        <is>
          <t>יח׳</t>
        </is>
      </c>
      <c r="E187" s="6" t="n">
        <v>10</v>
      </c>
      <c r="F187" s="7" t="n"/>
      <c r="G187" s="7">
        <f>IF(AND(ISNUMBER(E187),ISNUMBER(F187)),ROUND(E187*F187,2),"")</f>
        <v/>
      </c>
      <c r="H187" s="5" t="n"/>
    </row>
    <row r="188">
      <c r="A188" s="4" t="inlineStr">
        <is>
          <t>16.03</t>
        </is>
      </c>
      <c r="B188" s="5" t="inlineStr">
        <is>
          <t>דלתות כניסה במרתף</t>
        </is>
      </c>
      <c r="C188" s="5" t="inlineStr">
        <is>
          <t>התקנת דלתות כניסה בקומת המרתף בהתאם ללוח הדלתות, לרבות משקופים, כנפיים ופרזול, התאמה לפתחים ולמפלסי הגמר, קיבוע, כיוון ואטימה לפי המוצר.</t>
        </is>
      </c>
      <c r="D188" s="4" t="inlineStr">
        <is>
          <t>יח׳</t>
        </is>
      </c>
      <c r="E188" s="6" t="n">
        <v>3</v>
      </c>
      <c r="F188" s="7" t="n"/>
      <c r="G188" s="7">
        <f>IF(AND(ISNUMBER(E188),ISNUMBER(F188)),ROUND(E188*F188,2),"")</f>
        <v/>
      </c>
      <c r="H188" s="5" t="n"/>
    </row>
    <row r="189">
      <c r="A189" s="4" t="inlineStr">
        <is>
          <t>16.04</t>
        </is>
      </c>
      <c r="B189" s="5" t="inlineStr">
        <is>
          <t>דלת כניסה ראשית בקומת הקרקע</t>
        </is>
      </c>
      <c r="C189" s="5" t="inlineStr">
        <is>
          <t>התקנת דלת כניסה ראשית במידות התכנון 120×220 ס״מ, בכפוף למדידה סופית וללוח הדלתות, לרבות משקוף, כנף ופרזול, קיבוע, כיוון ואטימת המפגשים הנדרשים.</t>
        </is>
      </c>
      <c r="D189" s="4" t="inlineStr">
        <is>
          <t>יח׳</t>
        </is>
      </c>
      <c r="E189" s="6" t="n">
        <v>1</v>
      </c>
      <c r="F189" s="7" t="n"/>
      <c r="G189" s="7">
        <f>IF(AND(ISNUMBER(E189),ISNUMBER(F189)),ROUND(E189*F189,2),"")</f>
        <v/>
      </c>
      <c r="H189" s="5" t="n"/>
    </row>
    <row r="190">
      <c r="A190" s="4" t="inlineStr">
        <is>
          <t>16.05</t>
        </is>
      </c>
      <c r="B190" s="5" t="inlineStr">
        <is>
          <t>שער כניסה חשמלי לרכב</t>
        </is>
      </c>
      <c r="C190" s="5" t="inlineStr">
        <is>
          <t>ביצוע והתקנת שער כניסה חשמלי לרכב בהתאם לתוכנית השערים, לרבות רכיבי השער, מנגנון ההנעה והבקרה המוגדרים, קיבוע, חיבור לתשתיות המוכנות, כיוון ובדיקת פעולה. חיבור האינטרקום מתואם עם פרק 18.</t>
        </is>
      </c>
      <c r="D190" s="4" t="inlineStr">
        <is>
          <t>קומפ׳</t>
        </is>
      </c>
      <c r="E190" s="6" t="n">
        <v>1</v>
      </c>
      <c r="F190" s="7" t="n"/>
      <c r="G190" s="7">
        <f>IF(AND(ISNUMBER(E190),ISNUMBER(F190)),ROUND(E190*F190,2),"")</f>
        <v/>
      </c>
      <c r="H190" s="5" t="n"/>
    </row>
    <row r="191">
      <c r="A191" s="4" t="inlineStr">
        <is>
          <t>16.06</t>
        </is>
      </c>
      <c r="B191" s="5" t="inlineStr">
        <is>
          <t>שער פילר חשמלי</t>
        </is>
      </c>
      <c r="C191" s="5" t="inlineStr">
        <is>
          <t>ביצוע והתקנת השער המסומן במקור „שער פילר חשמלי”, בהתאם לתוכנית ולפרט המאושרים, לרבות רכיבי השער ומנגנון ההפעלה ככל שמוגדר, קיבוע ובדיקת פעולה. ייעוד השער ותצורתו טעונים אימות מול התוכנית.</t>
        </is>
      </c>
      <c r="D191" s="4" t="inlineStr">
        <is>
          <t>קומפ׳</t>
        </is>
      </c>
      <c r="E191" s="6" t="n">
        <v>1</v>
      </c>
      <c r="F191" s="7" t="n"/>
      <c r="G191" s="7">
        <f>IF(AND(ISNUMBER(E191),ISNUMBER(F191)),ROUND(E191*F191,2),"")</f>
        <v/>
      </c>
      <c r="H191" s="5" t="n"/>
    </row>
    <row r="192">
      <c r="A192" s="4" t="inlineStr">
        <is>
          <t>16.07</t>
        </is>
      </c>
      <c r="B192" s="5" t="inlineStr">
        <is>
          <t>שער למתחם פחי אשפה</t>
        </is>
      </c>
      <c r="C192" s="5" t="inlineStr">
        <is>
          <t>ביצוע והתקנת שער למתחם פחי האשפה בהתאם לתוכנית, לרבות מסגרת, כנפיים, פרזול וקיבוע. במקור קיימת אי־אחידות בשאלה אם שער זה חשמלי; מנגנון חשמלי ייכלל רק לאחר הבהרה ואישור.</t>
        </is>
      </c>
      <c r="D192" s="4" t="inlineStr">
        <is>
          <t>קומפ׳</t>
        </is>
      </c>
      <c r="E192" s="6" t="n">
        <v>1</v>
      </c>
      <c r="F192" s="7" t="n"/>
      <c r="G192" s="7">
        <f>IF(AND(ISNUMBER(E192),ISNUMBER(F192)),ROUND(E192*F192,2),"")</f>
        <v/>
      </c>
      <c r="H192" s="5" t="n"/>
    </row>
    <row r="193">
      <c r="A193" s="4" t="inlineStr">
        <is>
          <t>16.09</t>
        </is>
      </c>
      <c r="B193" s="5" t="inlineStr">
        <is>
          <t>תריסים חשמליים</t>
        </is>
      </c>
      <c r="C193" s="5" t="inlineStr">
        <is>
          <t>אספקה והתקנה של תריסים חשמליים בפתחים המסומנים, כולל ארגז, שלבים, מסילות ומנוע, וחיבור לתשתית החשמל.</t>
        </is>
      </c>
      <c r="D193" s="4" t="inlineStr">
        <is>
          <t>יח׳</t>
        </is>
      </c>
      <c r="E193" s="6" t="n">
        <v>18</v>
      </c>
      <c r="F193" s="7" t="n"/>
      <c r="G193" s="7">
        <f>IF(AND(ISNUMBER(E193),ISNUMBER(F193)),ROUND(E193*F193,2),"")</f>
        <v/>
      </c>
      <c r="H193" s="5" t="inlineStr">
        <is>
          <t>אופציה – אם מספקים גם את התריס ולא רק את ההכנה</t>
        </is>
      </c>
    </row>
    <row r="194">
      <c r="A194" s="8" t="inlineStr">
        <is>
          <t>סה״כ פרק 16 — אלומיניום, דלתות ושערים</t>
        </is>
      </c>
      <c r="B194" s="8" t="n"/>
      <c r="C194" s="8" t="n"/>
      <c r="D194" s="8" t="n"/>
      <c r="E194" s="8" t="n"/>
      <c r="F194" s="8" t="n"/>
      <c r="G194" s="9">
        <f>IF(COUNT(G186:G193)=0,"",SUM(G186:G193))</f>
        <v/>
      </c>
      <c r="H194" s="8" t="n"/>
    </row>
    <row r="196">
      <c r="A196" s="3" t="inlineStr">
        <is>
          <t>פרק 17 — פיתוח חוץ</t>
        </is>
      </c>
      <c r="B196" s="3" t="n"/>
      <c r="C196" s="3" t="n"/>
      <c r="D196" s="3" t="n"/>
      <c r="E196" s="3" t="n"/>
      <c r="F196" s="3" t="n"/>
      <c r="G196" s="3" t="n"/>
      <c r="H196" s="3" t="n"/>
    </row>
    <row r="197">
      <c r="A197" s="4" t="inlineStr">
        <is>
          <t>17.01</t>
        </is>
      </c>
      <c r="B197" s="5" t="inlineStr">
        <is>
          <t>עבודות עפר ופילוס שטחי הפיתוח</t>
        </is>
      </c>
      <c r="C197" s="5" t="inlineStr">
        <is>
          <t>ביצוע עבודות העפר והפילוס לשטחי הפיתוח בהתאם לתוכנית המאושרת, לרבות עיצוב מפלסים, תיחום והידוק הקרקע להשגת תשתית יציבה.</t>
        </is>
      </c>
      <c r="D197" s="4" t="inlineStr">
        <is>
          <t>מ״ר</t>
        </is>
      </c>
      <c r="E197" s="6" t="n">
        <v>65</v>
      </c>
      <c r="F197" s="7" t="n"/>
      <c r="G197" s="7">
        <f>IF(AND(ISNUMBER(E197),ISNUMBER(F197)),ROUND(E197*F197,2),"")</f>
        <v/>
      </c>
      <c r="H197" s="5" t="n"/>
    </row>
    <row r="198">
      <c r="A198" s="4" t="inlineStr">
        <is>
          <t>17.02</t>
        </is>
      </c>
      <c r="B198" s="5" t="inlineStr">
        <is>
          <t>מערכת ניקוז מי נגר</t>
        </is>
      </c>
      <c r="C198" s="5" t="inlineStr">
        <is>
          <t>ביצוע מערכת ניקוז מי נגר בשטחי הפיתוח בהתאם לתכנון, לרבות רכיבי הניקוז והחיבורים המוגדרים, התאמה למפלסים ולשיפועים ובדיקת זרימה המוודאת הרחקת מים מהמבנה.</t>
        </is>
      </c>
      <c r="D198" s="4" t="inlineStr">
        <is>
          <t>קומפ׳</t>
        </is>
      </c>
      <c r="E198" s="6" t="n">
        <v>1</v>
      </c>
      <c r="F198" s="7" t="n"/>
      <c r="G198" s="7">
        <f>IF(AND(ISNUMBER(E198),ISNUMBER(F198)),ROUND(E198*F198,2),"")</f>
        <v/>
      </c>
      <c r="H198" s="5" t="n"/>
    </row>
    <row r="199">
      <c r="A199" s="4" t="inlineStr">
        <is>
          <t>17.04</t>
        </is>
      </c>
      <c r="B199" s="5" t="inlineStr">
        <is>
          <t>גינון, מערכת השקיה אוטומטית וברזי גינה</t>
        </is>
      </c>
      <c r="C199" s="5" t="inlineStr">
        <is>
          <t>עבודות גינון בשטחים המיועדים, מערכת השקיה אוטומטית (צנרת, טפטוף/המטרה ובקר) וחיבור 11 ברזי גינה, כולל בדיקת תפקוד. סוגי הצמחייה טעונים השלמה.</t>
        </is>
      </c>
      <c r="D199" s="4" t="inlineStr">
        <is>
          <t>קומפ׳</t>
        </is>
      </c>
      <c r="E199" s="6" t="n">
        <v>1</v>
      </c>
      <c r="F199" s="7" t="n"/>
      <c r="G199" s="7">
        <f>IF(AND(ISNUMBER(E199),ISNUMBER(F199)),ROUND(E199*F199,2),"")</f>
        <v/>
      </c>
      <c r="H199" s="5" t="n"/>
    </row>
    <row r="200">
      <c r="A200" s="4" t="inlineStr">
        <is>
          <t>17.05</t>
        </is>
      </c>
      <c r="B200" s="5" t="inlineStr">
        <is>
          <t>תאורת גן כולל חיבור חשמלי</t>
        </is>
      </c>
      <c r="C200" s="5" t="inlineStr">
        <is>
          <t>התקנת גופי תאורת גן בדרגת ההגנה הנדרשת, כולל החיבורים החשמליים למעגל מוגן ייעודי ובדיקת תקינות. גופים המתומחרים בפרק 07 לא ייכללו שוב.</t>
        </is>
      </c>
      <c r="D200" s="4" t="inlineStr">
        <is>
          <t>קומפ׳</t>
        </is>
      </c>
      <c r="E200" s="6" t="n">
        <v>1</v>
      </c>
      <c r="F200" s="7" t="n"/>
      <c r="G200" s="7">
        <f>IF(AND(ISNUMBER(E200),ISNUMBER(F200)),ROUND(E200*F200,2),"")</f>
        <v/>
      </c>
      <c r="H200" s="5" t="n"/>
    </row>
    <row r="201">
      <c r="A201" s="8" t="inlineStr">
        <is>
          <t>סה״כ פרק 17 — פיתוח חוץ</t>
        </is>
      </c>
      <c r="B201" s="8" t="n"/>
      <c r="C201" s="8" t="n"/>
      <c r="D201" s="8" t="n"/>
      <c r="E201" s="8" t="n"/>
      <c r="F201" s="8" t="n"/>
      <c r="G201" s="9">
        <f>IF(COUNT(G197:G200)=0,"",SUM(G197:G200))</f>
        <v/>
      </c>
      <c r="H201" s="8" t="n"/>
    </row>
    <row r="203">
      <c r="A203" s="3" t="inlineStr">
        <is>
          <t>פרק 18 — תשתיות תקשורת, מיגון, אינטרקום ושמע</t>
        </is>
      </c>
      <c r="B203" s="3" t="n"/>
      <c r="C203" s="3" t="n"/>
      <c r="D203" s="3" t="n"/>
      <c r="E203" s="3" t="n"/>
      <c r="F203" s="3" t="n"/>
      <c r="G203" s="3" t="n"/>
      <c r="H203" s="3" t="n"/>
    </row>
    <row r="204">
      <c r="A204" s="4" t="inlineStr">
        <is>
          <t>18.01</t>
        </is>
      </c>
      <c r="B204" s="5" t="inlineStr">
        <is>
          <t>תשתית צנרת ושרוולים לתקשורת, מיגון ושמע – כל הקומות</t>
        </is>
      </c>
      <c r="C204" s="5" t="inlineStr">
        <is>
          <t>הנחת צנרת ושרוולים עם חוטי משיכה מכל הנקודות שיאושרו בשלוש הקומות אל לוח התקשורת המרכזי, בתיאום עם החשמל והגבס לפני סגירת קירות ותקרות.</t>
        </is>
      </c>
      <c r="D204" s="4" t="inlineStr">
        <is>
          <t>קומפ׳</t>
        </is>
      </c>
      <c r="E204" s="6" t="n">
        <v>1</v>
      </c>
      <c r="F204" s="7" t="n"/>
      <c r="G204" s="7">
        <f>IF(AND(ISNUMBER(E204),ISNUMBER(F204)),ROUND(E204*F204,2),"")</f>
        <v/>
      </c>
      <c r="H204" s="5" t="n"/>
    </row>
    <row r="205">
      <c r="A205" s="4" t="inlineStr">
        <is>
          <t>18.02</t>
        </is>
      </c>
      <c r="B205" s="5" t="inlineStr">
        <is>
          <t>מיקום ומארז ללוח תקשורת מרכזי</t>
        </is>
      </c>
      <c r="C205" s="5" t="inlineStr">
        <is>
          <t>הסדרת מיקום והתקנת מארז ללוח תקשורת מרכזי באזור נגיש לתחזוקה, לרבות ריכוז כניסות הצנרת והכנתו לשילוב המערכות בהתאם למפרט האינטגרטור. ציוד פעיל אינו מוגדר בסעיף המקורי.</t>
        </is>
      </c>
      <c r="D205" s="4" t="inlineStr">
        <is>
          <t>קומפ׳</t>
        </is>
      </c>
      <c r="E205" s="6" t="n">
        <v>1</v>
      </c>
      <c r="F205" s="7" t="n"/>
      <c r="G205" s="7">
        <f>IF(AND(ISNUMBER(E205),ISNUMBER(F205)),ROUND(E205*F205,2),"")</f>
        <v/>
      </c>
      <c r="H205" s="5" t="n"/>
    </row>
    <row r="206">
      <c r="A206" s="4" t="inlineStr">
        <is>
          <t>18.03</t>
        </is>
      </c>
      <c r="B206" s="5" t="inlineStr">
        <is>
          <t>חיבור אינטרקום השער ללוח הפנימי</t>
        </is>
      </c>
      <c r="C206" s="5" t="inlineStr">
        <is>
          <t>ביצוע חיבור נקודת האינטרקום בשער הכניסה ללוח הפנימי, בהתאם למערכת שתיבחר, לרבות החיווט והחיבורים הנדרשים ובדיקת תקשורת והפעלת השער מהנקודות המיועדות בבית.</t>
        </is>
      </c>
      <c r="D206" s="4" t="inlineStr">
        <is>
          <t>קומפ׳</t>
        </is>
      </c>
      <c r="E206" s="6" t="n">
        <v>1</v>
      </c>
      <c r="F206" s="7" t="n"/>
      <c r="G206" s="7">
        <f>IF(AND(ISNUMBER(E206),ISNUMBER(F206)),ROUND(E206*F206,2),"")</f>
        <v/>
      </c>
      <c r="H206" s="5" t="n"/>
    </row>
    <row r="207">
      <c r="A207" s="4" t="inlineStr">
        <is>
          <t>18.04</t>
        </is>
      </c>
      <c r="B207" s="5" t="inlineStr">
        <is>
          <t>בדיקות רציפות לתשתיות</t>
        </is>
      </c>
      <c r="C207" s="5" t="inlineStr">
        <is>
          <t>בדיקות רציפות לקווים שבהם הותקנה כבילה ובדיקת עבירות לצנרת ריקה עם חוט משיכה, לרבות מסירת תוצאות בדיקה ותוכנית עדות לתוואים שבוצעו.</t>
        </is>
      </c>
      <c r="D207" s="4" t="inlineStr">
        <is>
          <t>קומפ׳</t>
        </is>
      </c>
      <c r="E207" s="6" t="n">
        <v>1</v>
      </c>
      <c r="F207" s="7" t="n"/>
      <c r="G207" s="7">
        <f>IF(AND(ISNUMBER(E207),ISNUMBER(F207)),ROUND(E207*F207,2),"")</f>
        <v/>
      </c>
      <c r="H207" s="5" t="n"/>
    </row>
    <row r="208">
      <c r="A208" s="4" t="inlineStr">
        <is>
          <t>18.05</t>
        </is>
      </c>
      <c r="B208" s="5" t="inlineStr">
        <is>
          <t>נקודות תקשורת (טלוויזיה, טלפון/אינטרקום, אינטרנט)</t>
        </is>
      </c>
      <c r="C208" s="5" t="inlineStr">
        <is>
          <t>נקודות קצה לתקשורת לפי מקרא החשמל, כולל כבילה CAT6 לפחות עד לוח התקשורת ובדיקת רציפות.</t>
        </is>
      </c>
      <c r="D208" s="4" t="inlineStr">
        <is>
          <t>נק׳</t>
        </is>
      </c>
      <c r="E208" s="6" t="n"/>
      <c r="F208" s="7" t="n"/>
      <c r="G208" s="7">
        <f>IF(AND(ISNUMBER(E208),ISNUMBER(F208)),ROUND(E208*F208,2),"")</f>
        <v/>
      </c>
      <c r="H208" s="5" t="inlineStr">
        <is>
          <t>כמות לפי מפרט האינטגרטור</t>
        </is>
      </c>
    </row>
    <row r="209">
      <c r="A209" s="8" t="inlineStr">
        <is>
          <t>סה״כ פרק 18 — תשתיות תקשורת, מיגון, אינטרקום ושמע</t>
        </is>
      </c>
      <c r="B209" s="8" t="n"/>
      <c r="C209" s="8" t="n"/>
      <c r="D209" s="8" t="n"/>
      <c r="E209" s="8" t="n"/>
      <c r="F209" s="8" t="n"/>
      <c r="G209" s="9">
        <f>IF(COUNT(G204:G208)=0,"",SUM(G204:G208))</f>
        <v/>
      </c>
      <c r="H209" s="8" t="n"/>
    </row>
    <row r="211">
      <c r="A211" s="3" t="inlineStr">
        <is>
          <t>פרק 21 — בריכת שחייה</t>
        </is>
      </c>
      <c r="B211" s="3" t="n"/>
      <c r="C211" s="3" t="n"/>
      <c r="D211" s="3" t="n"/>
      <c r="E211" s="3" t="n"/>
      <c r="F211" s="3" t="n"/>
      <c r="G211" s="3" t="n"/>
      <c r="H211" s="3" t="n"/>
    </row>
    <row r="212">
      <c r="A212" s="4" t="inlineStr">
        <is>
          <t>21.01</t>
        </is>
      </c>
      <c r="B212" s="5" t="inlineStr">
        <is>
          <t>בריכת שחייה 8.43×3.40×1.60 מ׳ – קומפלט</t>
        </is>
      </c>
      <c r="C212" s="5" t="inlineStr">
        <is>
          <t>ביצוע בריכה מלא לפי תוכניות ומפרט יועץ הבריכה והקונסטרוקטור בלבד, כולל מבנה, איטום ומערכות טיפול מים.</t>
        </is>
      </c>
      <c r="D212" s="4" t="inlineStr">
        <is>
          <t>קומפ׳</t>
        </is>
      </c>
      <c r="E212" s="6" t="n">
        <v>1</v>
      </c>
      <c r="F212" s="7" t="n"/>
      <c r="G212" s="7">
        <f>IF(AND(ISNUMBER(E212),ISNUMBER(F212)),ROUND(E212*F212,2),"")</f>
        <v/>
      </c>
      <c r="H212" s="5" t="n"/>
    </row>
    <row r="213">
      <c r="A213" s="4" t="inlineStr">
        <is>
          <t>21.02</t>
        </is>
      </c>
      <c r="B213" s="5" t="inlineStr">
        <is>
          <t>חיבור תשתית מים וחשמל לבריכה</t>
        </is>
      </c>
      <c r="C213" s="5" t="inlineStr">
        <is>
          <t>חיבור מילוי וניקוז לתשתית הבית וחיבור חשמלי לתאורה תת־מימית ולמשאבות במעגל עם מפסק פחת ייעודי.</t>
        </is>
      </c>
      <c r="D213" s="4" t="inlineStr">
        <is>
          <t>קומפ׳</t>
        </is>
      </c>
      <c r="E213" s="6" t="n">
        <v>1</v>
      </c>
      <c r="F213" s="7" t="n"/>
      <c r="G213" s="7">
        <f>IF(AND(ISNUMBER(E213),ISNUMBER(F213)),ROUND(E213*F213,2),"")</f>
        <v/>
      </c>
      <c r="H213" s="5" t="n"/>
    </row>
    <row r="214">
      <c r="A214" s="4" t="inlineStr">
        <is>
          <t>21.03</t>
        </is>
      </c>
      <c r="B214" s="5" t="inlineStr">
        <is>
          <t>גידור בטיחות היקפי לבריכה</t>
        </is>
      </c>
      <c r="C214" s="5" t="inlineStr">
        <is>
          <t>גידור לפי ת"י 2374.</t>
        </is>
      </c>
      <c r="D214" s="4" t="inlineStr">
        <is>
          <t>מ״א</t>
        </is>
      </c>
      <c r="E214" s="10" t="n">
        <v>23.66</v>
      </c>
      <c r="F214" s="7" t="n"/>
      <c r="G214" s="7">
        <f>IF(AND(ISNUMBER(E214),ISNUMBER(F214)),ROUND(E214*F214,2),"")</f>
        <v/>
      </c>
      <c r="H214" s="5" t="inlineStr">
        <is>
          <t>היקף מלא של הבריכה (2×(8.43+3.40)); לאימות מול תוכנית העמדה</t>
        </is>
      </c>
    </row>
    <row r="215">
      <c r="A215" s="4" t="inlineStr">
        <is>
          <t>21.04</t>
        </is>
      </c>
      <c r="B215" s="5" t="inlineStr">
        <is>
          <t>ריצוף וחיפוי בריכה כולל דפנות, R11 120×60</t>
        </is>
      </c>
      <c r="C215" s="5" t="inlineStr">
        <is>
          <t>ריצוף וחיפוי אריחי פורצלן 120×60 ס"מ בבריכה, כולל דפנות.</t>
        </is>
      </c>
      <c r="D215" s="4" t="inlineStr">
        <is>
          <t>מ״ר</t>
        </is>
      </c>
      <c r="E215" s="6" t="n">
        <v>43</v>
      </c>
      <c r="F215" s="7" t="n"/>
      <c r="G215" s="7">
        <f>IF(AND(ISNUMBER(E215),ISNUMBER(F215)),ROUND(E215*F215,2),"")</f>
        <v/>
      </c>
      <c r="H215" s="5" t="inlineStr">
        <is>
          <t>לאישור – אם אינו כלול בקומפלט יועץ הבריכה</t>
        </is>
      </c>
    </row>
    <row r="216">
      <c r="A216" s="8" t="inlineStr">
        <is>
          <t>סה״כ פרק 21 — בריכת שחייה</t>
        </is>
      </c>
      <c r="B216" s="8" t="n"/>
      <c r="C216" s="8" t="n"/>
      <c r="D216" s="8" t="n"/>
      <c r="E216" s="8" t="n"/>
      <c r="F216" s="8" t="n"/>
      <c r="G216" s="9">
        <f>IF(COUNT(G212:G215)=0,"",SUM(G212:G215))</f>
        <v/>
      </c>
      <c r="H216" s="8" t="n"/>
    </row>
    <row r="218">
      <c r="A218" s="11" t="inlineStr">
        <is>
          <t>סיכום הצעה מתומחרת (לפני מע״מ)</t>
        </is>
      </c>
      <c r="B218" s="11" t="n"/>
      <c r="C218" s="11" t="n"/>
      <c r="D218" s="11" t="n"/>
      <c r="E218" s="11" t="n"/>
      <c r="F218" s="11" t="n"/>
      <c r="G218" s="12">
        <f>IF(COUNT(G13,G36,G43,G49,G85,G103,G126,G133,G140,G147,G155,G162,G171,G177,G183,G194,G201,G209,G216)=0,"",SUM(G13,G36,G43,G49,G85,G103,G126,G133,G140,G147,G155,G162,G171,G177,G183,G194,G201,G209,G216))</f>
        <v/>
      </c>
      <c r="H218" s="11" t="n"/>
    </row>
    <row r="219">
      <c r="A219" s="11" t="inlineStr">
        <is>
          <t>שיעור מע״מ</t>
        </is>
      </c>
      <c r="B219" s="11" t="n"/>
      <c r="C219" s="11" t="n"/>
      <c r="D219" s="11" t="n"/>
      <c r="E219" s="13" t="n">
        <v>0.18</v>
      </c>
      <c r="F219" s="11" t="n"/>
      <c r="G219" s="12">
        <f>IF(ISNUMBER(G218),ROUND(G218*E219,2),"")</f>
        <v/>
      </c>
      <c r="H219" s="11" t="n"/>
    </row>
    <row r="220">
      <c r="A220" s="11" t="inlineStr">
        <is>
          <t>סך מתומחר כולל מע״מ</t>
        </is>
      </c>
      <c r="B220" s="11" t="n"/>
      <c r="C220" s="11" t="n"/>
      <c r="D220" s="11" t="n"/>
      <c r="E220" s="11" t="n"/>
      <c r="F220" s="11" t="n"/>
      <c r="G220" s="12">
        <f>IF(ISNUMBER(G218),G218+G219,"")</f>
        <v/>
      </c>
      <c r="H220" s="11" t="n"/>
    </row>
  </sheetData>
  <autoFilter ref="A3:H216"/>
  <mergeCells count="22">
    <mergeCell ref="A219:D219"/>
    <mergeCell ref="A183:F183"/>
    <mergeCell ref="A177:F177"/>
    <mergeCell ref="A133:F133"/>
    <mergeCell ref="A85:F85"/>
    <mergeCell ref="A194:F194"/>
    <mergeCell ref="A126:F126"/>
    <mergeCell ref="A209:F209"/>
    <mergeCell ref="A171:F171"/>
    <mergeCell ref="A140:F140"/>
    <mergeCell ref="A147:F147"/>
    <mergeCell ref="A43:F43"/>
    <mergeCell ref="A13:F13"/>
    <mergeCell ref="A155:F155"/>
    <mergeCell ref="A220:F220"/>
    <mergeCell ref="A201:F201"/>
    <mergeCell ref="A49:F49"/>
    <mergeCell ref="A216:F216"/>
    <mergeCell ref="A36:F36"/>
    <mergeCell ref="A103:F103"/>
    <mergeCell ref="A162:F162"/>
    <mergeCell ref="A218:F218"/>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F158"/>
  <sheetViews>
    <sheetView rightToLeft="1" workbookViewId="0">
      <pane ySplit="1" topLeftCell="A2" activePane="bottomLeft" state="frozen"/>
      <selection pane="bottomLeft" activeCell="A1" sqref="A1"/>
    </sheetView>
  </sheetViews>
  <sheetFormatPr baseColWidth="8" defaultRowHeight="15"/>
  <cols>
    <col width="10" customWidth="1" min="1" max="1"/>
    <col width="40" customWidth="1" min="2" max="2"/>
    <col width="9" customWidth="1" min="3" max="3"/>
    <col width="10" customWidth="1" min="4" max="4"/>
    <col width="14" customWidth="1" min="5" max="5"/>
    <col width="90" customWidth="1" min="6" max="6"/>
  </cols>
  <sheetData>
    <row r="1">
      <c r="A1" s="14" t="inlineStr">
        <is>
          <t>סעיף</t>
        </is>
      </c>
      <c r="B1" s="14" t="inlineStr">
        <is>
          <t>שם</t>
        </is>
      </c>
      <c r="C1" s="14" t="inlineStr">
        <is>
          <t>יחידה</t>
        </is>
      </c>
      <c r="D1" s="14" t="inlineStr">
        <is>
          <t>כמות</t>
        </is>
      </c>
      <c r="E1" s="14" t="inlineStr">
        <is>
          <t>סטטוס</t>
        </is>
      </c>
      <c r="F1" s="14" t="inlineStr">
        <is>
          <t>מקור / בסיס</t>
        </is>
      </c>
    </row>
    <row r="2">
      <c r="A2" s="15" t="inlineStr">
        <is>
          <t>01.01</t>
        </is>
      </c>
      <c r="B2" s="15" t="inlineStr">
        <is>
          <t>התארגנות אתר</t>
        </is>
      </c>
      <c r="C2" s="15" t="inlineStr">
        <is>
          <t>קומפ׳</t>
        </is>
      </c>
      <c r="D2" s="15" t="n">
        <v>1</v>
      </c>
      <c r="E2" s="15" t="inlineStr">
        <is>
          <t>ORIGINAL</t>
        </is>
      </c>
      <c r="F2" s="15" t="inlineStr">
        <is>
          <t>כמות מהכתב המקורי; סכום חד־פעמי או לא ניתן לאימות מול המסמכים שהתקבלו</t>
        </is>
      </c>
    </row>
    <row r="3">
      <c r="A3" s="15" t="inlineStr">
        <is>
          <t>01.02</t>
        </is>
      </c>
      <c r="B3" s="15" t="inlineStr">
        <is>
          <t>גידור, שילוט ואמצעי בטיחות באתר</t>
        </is>
      </c>
      <c r="C3" s="15" t="inlineStr">
        <is>
          <t>קומפ׳</t>
        </is>
      </c>
      <c r="D3" s="15" t="n">
        <v>1</v>
      </c>
      <c r="E3" s="15" t="inlineStr">
        <is>
          <t>ORIGINAL</t>
        </is>
      </c>
      <c r="F3" s="15" t="inlineStr">
        <is>
          <t>כמות מהכתב המקורי; סכום חד־פעמי או לא ניתן לאימות מול המסמכים שהתקבלו</t>
        </is>
      </c>
    </row>
    <row r="4">
      <c r="A4" s="15" t="inlineStr">
        <is>
          <t>01.03</t>
        </is>
      </c>
      <c r="B4" s="15" t="inlineStr">
        <is>
          <t>חיבור מים זמני</t>
        </is>
      </c>
      <c r="C4" s="15" t="inlineStr">
        <is>
          <t>קומפ׳</t>
        </is>
      </c>
      <c r="D4" s="15" t="n">
        <v>1</v>
      </c>
      <c r="E4" s="15" t="inlineStr">
        <is>
          <t>ORIGINAL</t>
        </is>
      </c>
      <c r="F4" s="15" t="inlineStr">
        <is>
          <t>כמות מהכתב המקורי; סכום חד־פעמי או לא ניתן לאימות מול המסמכים שהתקבלו</t>
        </is>
      </c>
    </row>
    <row r="5">
      <c r="A5" s="15" t="inlineStr">
        <is>
          <t>01.04</t>
        </is>
      </c>
      <c r="B5" s="15" t="inlineStr">
        <is>
          <t>חיבור חשמל זמני</t>
        </is>
      </c>
      <c r="C5" s="15" t="inlineStr">
        <is>
          <t>קומפ׳</t>
        </is>
      </c>
      <c r="D5" s="15" t="n">
        <v>1</v>
      </c>
      <c r="E5" s="15" t="inlineStr">
        <is>
          <t>ORIGINAL</t>
        </is>
      </c>
      <c r="F5" s="15" t="inlineStr">
        <is>
          <t>כמות מהכתב המקורי; סכום חד־פעמי או לא ניתן לאימות מול המסמכים שהתקבלו</t>
        </is>
      </c>
    </row>
    <row r="6">
      <c r="A6" s="15" t="inlineStr">
        <is>
          <t>01.05</t>
        </is>
      </c>
      <c r="B6" s="15" t="inlineStr">
        <is>
          <t>הגנה על אלמנטים קיימים</t>
        </is>
      </c>
      <c r="C6" s="15" t="inlineStr">
        <is>
          <t>קומפ׳</t>
        </is>
      </c>
      <c r="D6" s="15" t="n">
        <v>1</v>
      </c>
      <c r="E6" s="15" t="inlineStr">
        <is>
          <t>ORIGINAL</t>
        </is>
      </c>
      <c r="F6" s="15" t="inlineStr">
        <is>
          <t>כמות מהכתב המקורי; סכום חד־פעמי או לא ניתן לאימות מול המסמכים שהתקבלו</t>
        </is>
      </c>
    </row>
    <row r="7">
      <c r="A7" s="15" t="inlineStr">
        <is>
          <t>01.06</t>
        </is>
      </c>
      <c r="B7" s="15" t="inlineStr">
        <is>
          <t>מדידות, אימות וסימון בלייזר</t>
        </is>
      </c>
      <c r="C7" s="15" t="inlineStr">
        <is>
          <t>קומפ׳</t>
        </is>
      </c>
      <c r="D7" s="15" t="n">
        <v>1</v>
      </c>
      <c r="E7" s="15" t="inlineStr">
        <is>
          <t>ORIGINAL</t>
        </is>
      </c>
      <c r="F7" s="15" t="inlineStr">
        <is>
          <t>כמות מהכתב המקורי; סכום חד־פעמי או לא ניתן לאימות מול המסמכים שהתקבלו</t>
        </is>
      </c>
    </row>
    <row r="8">
      <c r="A8" s="15" t="inlineStr">
        <is>
          <t>01.07</t>
        </is>
      </c>
      <c r="B8" s="15" t="inlineStr">
        <is>
          <t>מכולת פסולת והסדרת אזור ריכוז פסולת</t>
        </is>
      </c>
      <c r="C8" s="15" t="inlineStr">
        <is>
          <t>קומפ׳</t>
        </is>
      </c>
      <c r="D8" s="15" t="n">
        <v>1</v>
      </c>
      <c r="E8" s="15" t="inlineStr">
        <is>
          <t>ORIGINAL</t>
        </is>
      </c>
      <c r="F8" s="15" t="inlineStr">
        <is>
          <t>כמות מהכתב המקורי; סכום חד־פעמי או לא ניתן לאימות מול המסמכים שהתקבלו</t>
        </is>
      </c>
    </row>
    <row r="9">
      <c r="A9" s="15" t="inlineStr">
        <is>
          <t>01.08</t>
        </is>
      </c>
      <c r="B9" s="15" t="inlineStr">
        <is>
          <t>ניקיון שוטף בתקופת הביצוע</t>
        </is>
      </c>
      <c r="C9" s="15" t="inlineStr">
        <is>
          <t>קומפ׳</t>
        </is>
      </c>
      <c r="D9" s="15" t="n">
        <v>1</v>
      </c>
      <c r="E9" s="15" t="inlineStr">
        <is>
          <t>ORIGINAL</t>
        </is>
      </c>
      <c r="F9" s="15" t="inlineStr">
        <is>
          <t>כמות מהכתב המקורי; סכום חד־פעמי או לא ניתן לאימות מול המסמכים שהתקבלו</t>
        </is>
      </c>
    </row>
    <row r="10">
      <c r="A10" s="15" t="inlineStr">
        <is>
          <t>02.01</t>
        </is>
      </c>
      <c r="B10" s="15" t="inlineStr">
        <is>
          <t>פירוק קירות ומחיצות במרתף</t>
        </is>
      </c>
      <c r="C10" s="15" t="inlineStr">
        <is>
          <t>מ״ר</t>
        </is>
      </c>
      <c r="D10" s="15" t="n">
        <v>62</v>
      </c>
      <c r="E10" s="15" t="inlineStr">
        <is>
          <t>VERIFIED</t>
        </is>
      </c>
      <c r="F10" s="15" t="inlineStr">
        <is>
          <t>כתב כמויות קירות להריסה – כמויות לקבלן (סריקה 24/09/2026); ומפרט פרק 2 סעיפים 1,3</t>
        </is>
      </c>
    </row>
    <row r="11">
      <c r="A11" s="15" t="inlineStr">
        <is>
          <t>02.02</t>
        </is>
      </c>
      <c r="B11" s="15" t="inlineStr">
        <is>
          <t>פירוק קירות ומחיצות בקומת הקרקע</t>
        </is>
      </c>
      <c r="C11" s="15" t="inlineStr">
        <is>
          <t>מ״ר</t>
        </is>
      </c>
      <c r="D11" s="15" t="n">
        <v>51</v>
      </c>
      <c r="E11" s="15" t="inlineStr">
        <is>
          <t>CONFLICT</t>
        </is>
      </c>
      <c r="F11" s="15" t="inlineStr">
        <is>
          <t>סריקה ומפרט (טבלה): 51 מ"ר. בפתיח המפרט: קרקע 86 מ"ר (סה"כ 233 במקום 198). נבחר 51 – לפי הסריקה העדכנית</t>
        </is>
      </c>
    </row>
    <row r="12">
      <c r="A12" s="15" t="inlineStr">
        <is>
          <t>02.03</t>
        </is>
      </c>
      <c r="B12" s="15" t="inlineStr">
        <is>
          <t>פירוק קירות ומחיצות בקומה א׳</t>
        </is>
      </c>
      <c r="C12" s="15" t="inlineStr">
        <is>
          <t>מ״ר</t>
        </is>
      </c>
      <c r="D12" s="15" t="n">
        <v>85</v>
      </c>
      <c r="E12" s="15" t="inlineStr">
        <is>
          <t>VERIFIED</t>
        </is>
      </c>
      <c r="F12" s="15" t="inlineStr">
        <is>
          <t>כתב כמויות קירות להריסה – כמויות לקבלן (סריקה 24/09/2026); ומפרט פרק 2 סעיפים 1,3</t>
        </is>
      </c>
    </row>
    <row r="13">
      <c r="A13" s="15" t="inlineStr">
        <is>
          <t>02.04</t>
        </is>
      </c>
      <c r="B13" s="15" t="inlineStr">
        <is>
          <t>פירוק תקרות גבס קיימות</t>
        </is>
      </c>
      <c r="C13" s="15" t="inlineStr">
        <is>
          <t>מ״ר</t>
        </is>
      </c>
      <c r="D13" s="15" t="n">
        <v>10</v>
      </c>
      <c r="E13" s="15" t="inlineStr">
        <is>
          <t>UNVERIFIED</t>
        </is>
      </c>
      <c r="F13" s="15" t="inlineStr">
        <is>
          <t>אין תוכנית הריסה בין המסמכים שהתקבלו</t>
        </is>
      </c>
    </row>
    <row r="14">
      <c r="A14" s="15" t="inlineStr">
        <is>
          <t>02.05</t>
        </is>
      </c>
      <c r="B14" s="15" t="inlineStr">
        <is>
          <t>פירוק ריצופים קיימים</t>
        </is>
      </c>
      <c r="C14" s="15" t="inlineStr">
        <is>
          <t>מ״ר</t>
        </is>
      </c>
      <c r="D14" s="15" t="n">
        <v>40</v>
      </c>
      <c r="E14" s="15" t="inlineStr">
        <is>
          <t>UNVERIFIED</t>
        </is>
      </c>
      <c r="F14" s="15" t="inlineStr">
        <is>
          <t>אין תוכנית הריסה בין המסמכים שהתקבלו</t>
        </is>
      </c>
    </row>
    <row r="15">
      <c r="A15" s="15" t="inlineStr">
        <is>
          <t>02.06</t>
        </is>
      </c>
      <c r="B15" s="15" t="inlineStr">
        <is>
          <t>פירוק ארונות מטבח קיימים</t>
        </is>
      </c>
      <c r="C15" s="15" t="inlineStr">
        <is>
          <t>קומפ׳</t>
        </is>
      </c>
      <c r="D15" s="15" t="n">
        <v>1</v>
      </c>
      <c r="E15" s="15" t="inlineStr">
        <is>
          <t>ORIGINAL</t>
        </is>
      </c>
      <c r="F15" s="15" t="inlineStr">
        <is>
          <t>כמות מהכתב המקורי; סכום חד־פעמי או לא ניתן לאימות מול המסמכים שהתקבלו</t>
        </is>
      </c>
    </row>
    <row r="16">
      <c r="A16" s="15" t="inlineStr">
        <is>
          <t>02.07</t>
        </is>
      </c>
      <c r="B16" s="15" t="inlineStr">
        <is>
          <t>פירוק ארונות ונגרות קיימת אחרת</t>
        </is>
      </c>
      <c r="C16" s="15" t="inlineStr">
        <is>
          <t>יח׳</t>
        </is>
      </c>
      <c r="D16" s="15" t="n">
        <v>1</v>
      </c>
      <c r="E16" s="15" t="inlineStr">
        <is>
          <t>ORIGINAL</t>
        </is>
      </c>
      <c r="F16" s="15" t="inlineStr">
        <is>
          <t>כמות מהכתב המקורי; סכום חד־פעמי או לא ניתן לאימות מול המסמכים שהתקבלו</t>
        </is>
      </c>
    </row>
    <row r="17">
      <c r="A17" s="15" t="inlineStr">
        <is>
          <t>02.08</t>
        </is>
      </c>
      <c r="B17" s="15" t="inlineStr">
        <is>
          <t>פירוק חלונות אלומיניום ותריסים קיימים – קומפלט</t>
        </is>
      </c>
      <c r="C17" s="15" t="inlineStr">
        <is>
          <t>קומפ׳</t>
        </is>
      </c>
      <c r="D17" s="15" t="n">
        <v>1</v>
      </c>
      <c r="E17" s="15" t="inlineStr">
        <is>
          <t>ORIGINAL</t>
        </is>
      </c>
      <c r="F17" s="15" t="inlineStr">
        <is>
          <t>כמות מהכתב המקורי; סכום חד־פעמי או לא ניתן לאימות מול המסמכים שהתקבלו</t>
        </is>
      </c>
    </row>
    <row r="18">
      <c r="A18" s="15" t="inlineStr">
        <is>
          <t>02.09</t>
        </is>
      </c>
      <c r="B18" s="15" t="inlineStr">
        <is>
          <t>פירוק דלתות פנים וכניסה ומשקופים – קומפלט</t>
        </is>
      </c>
      <c r="C18" s="15" t="inlineStr">
        <is>
          <t>קומפ׳</t>
        </is>
      </c>
      <c r="D18" s="15" t="n">
        <v>1</v>
      </c>
      <c r="E18" s="15" t="inlineStr">
        <is>
          <t>ORIGINAL</t>
        </is>
      </c>
      <c r="F18" s="15" t="inlineStr">
        <is>
          <t>כמות מהכתב המקורי; סכום חד־פעמי או לא ניתן לאימות מול המסמכים שהתקבלו</t>
        </is>
      </c>
    </row>
    <row r="19">
      <c r="A19" s="15" t="inlineStr">
        <is>
          <t>02.10</t>
        </is>
      </c>
      <c r="B19" s="15" t="inlineStr">
        <is>
          <t>פירוק חדרי רחצה, שירותים וכלים סניטריים – קומפלט</t>
        </is>
      </c>
      <c r="C19" s="15" t="inlineStr">
        <is>
          <t>קומפ׳</t>
        </is>
      </c>
      <c r="D19" s="15" t="n">
        <v>1</v>
      </c>
      <c r="E19" s="15" t="inlineStr">
        <is>
          <t>ORIGINAL</t>
        </is>
      </c>
      <c r="F19" s="15" t="inlineStr">
        <is>
          <t>כמות מהכתב המקורי; סכום חד־פעמי או לא ניתן לאימות מול המסמכים שהתקבלו</t>
        </is>
      </c>
    </row>
    <row r="20">
      <c r="A20" s="15" t="inlineStr">
        <is>
          <t>02.11</t>
        </is>
      </c>
      <c r="B20" s="15" t="inlineStr">
        <is>
          <t>פירוק נקודות, אביזרי חשמל וגופי תאורה קיימים</t>
        </is>
      </c>
      <c r="C20" s="15" t="inlineStr">
        <is>
          <t>קומפ׳</t>
        </is>
      </c>
      <c r="D20" s="15" t="n">
        <v>1</v>
      </c>
      <c r="E20" s="15" t="inlineStr">
        <is>
          <t>ORIGINAL</t>
        </is>
      </c>
      <c r="F20" s="15" t="inlineStr">
        <is>
          <t>כמות מהכתב המקורי; סכום חד־פעמי או לא ניתן לאימות מול המסמכים שהתקבלו</t>
        </is>
      </c>
    </row>
    <row r="21">
      <c r="A21" s="15" t="inlineStr">
        <is>
          <t>02.12</t>
        </is>
      </c>
      <c r="B21" s="15" t="inlineStr">
        <is>
          <t>פירוק צנרת אינסטלציה גלויה קיימת</t>
        </is>
      </c>
      <c r="C21" s="15" t="inlineStr">
        <is>
          <t>קומפ׳</t>
        </is>
      </c>
      <c r="D21" s="15" t="n">
        <v>1</v>
      </c>
      <c r="E21" s="15" t="inlineStr">
        <is>
          <t>ORIGINAL</t>
        </is>
      </c>
      <c r="F21" s="15" t="inlineStr">
        <is>
          <t>כמות מהכתב המקורי; סכום חד־פעמי או לא ניתן לאימות מול המסמכים שהתקבלו</t>
        </is>
      </c>
    </row>
    <row r="22">
      <c r="A22" s="15" t="inlineStr">
        <is>
          <t>02.13</t>
        </is>
      </c>
      <c r="B22" s="15" t="inlineStr">
        <is>
          <t>פירוק יחידות מיזוג קיימות (פנים וחוץ)</t>
        </is>
      </c>
      <c r="C22" s="15" t="inlineStr">
        <is>
          <t>קומפ׳</t>
        </is>
      </c>
      <c r="D22" s="15" t="n">
        <v>1</v>
      </c>
      <c r="E22" s="15" t="inlineStr">
        <is>
          <t>ORIGINAL</t>
        </is>
      </c>
      <c r="F22" s="15" t="inlineStr">
        <is>
          <t>כמות מהכתב המקורי; סכום חד־פעמי או לא ניתן לאימות מול המסמכים שהתקבלו</t>
        </is>
      </c>
    </row>
    <row r="23">
      <c r="A23" s="15" t="inlineStr">
        <is>
          <t>02.14</t>
        </is>
      </c>
      <c r="B23" s="15" t="inlineStr">
        <is>
          <t>פירוק מעקה גרם המדרגות הפנימי</t>
        </is>
      </c>
      <c r="C23" s="15" t="inlineStr">
        <is>
          <t>קומפ׳</t>
        </is>
      </c>
      <c r="D23" s="15" t="n">
        <v>1</v>
      </c>
      <c r="E23" s="15" t="inlineStr">
        <is>
          <t>ORIGINAL</t>
        </is>
      </c>
      <c r="F23" s="15" t="inlineStr">
        <is>
          <t>כמות מהכתב המקורי; סכום חד־פעמי או לא ניתן לאימות מול המסמכים שהתקבלו</t>
        </is>
      </c>
    </row>
    <row r="24">
      <c r="A24" s="15" t="inlineStr">
        <is>
          <t>02.15</t>
        </is>
      </c>
      <c r="B24" s="15" t="inlineStr">
        <is>
          <t>ניסור ופירוק מסגרות בטון דקורטיביות סביב חלונות</t>
        </is>
      </c>
      <c r="C24" s="15" t="inlineStr">
        <is>
          <t>מ״א</t>
        </is>
      </c>
      <c r="D24" s="15" t="n">
        <v>45</v>
      </c>
      <c r="E24" s="15" t="inlineStr">
        <is>
          <t>UNVERIFIED</t>
        </is>
      </c>
      <c r="F24" s="15" t="inlineStr">
        <is>
          <t>אין תוכנית הריסה בין המסמכים שהתקבלו</t>
        </is>
      </c>
    </row>
    <row r="25">
      <c r="A25" s="15" t="inlineStr">
        <is>
          <t>02.16</t>
        </is>
      </c>
      <c r="B25" s="15" t="inlineStr">
        <is>
          <t>מיון ופינוי פסולת לאתר מורשה</t>
        </is>
      </c>
      <c r="C25" s="15" t="inlineStr">
        <is>
          <t>קומפ׳</t>
        </is>
      </c>
      <c r="D25" s="15" t="n">
        <v>1</v>
      </c>
      <c r="E25" s="15" t="inlineStr">
        <is>
          <t>ORIGINAL</t>
        </is>
      </c>
      <c r="F25" s="15" t="inlineStr">
        <is>
          <t>כמות מהכתב המקורי; סכום חד־פעמי או לא ניתן לאימות מול המסמכים שהתקבלו</t>
        </is>
      </c>
    </row>
    <row r="26">
      <c r="A26" s="15" t="inlineStr">
        <is>
          <t>02.17</t>
        </is>
      </c>
      <c r="B26" s="15" t="inlineStr">
        <is>
          <t>ניקיון יסודי לאחר ההריסות</t>
        </is>
      </c>
      <c r="C26" s="15" t="inlineStr">
        <is>
          <t>קומפ׳</t>
        </is>
      </c>
      <c r="D26" s="15" t="n">
        <v>1</v>
      </c>
      <c r="E26" s="15" t="inlineStr">
        <is>
          <t>ORIGINAL</t>
        </is>
      </c>
      <c r="F26" s="15" t="inlineStr">
        <is>
          <t>כמות מהכתב המקורי; סכום חד־פעמי או לא ניתן לאימות מול המסמכים שהתקבלו</t>
        </is>
      </c>
    </row>
    <row r="27">
      <c r="A27" s="15" t="inlineStr">
        <is>
          <t>02.18</t>
        </is>
      </c>
      <c r="B27" s="15" t="inlineStr">
        <is>
          <t>פירוק פנלים קיימים בכל הבית</t>
        </is>
      </c>
      <c r="C27" s="15" t="inlineStr">
        <is>
          <t>קומפ׳</t>
        </is>
      </c>
      <c r="D27" s="15" t="n">
        <v>1</v>
      </c>
      <c r="E27" s="15" t="inlineStr">
        <is>
          <t>ORIGINAL</t>
        </is>
      </c>
      <c r="F27" s="15" t="inlineStr">
        <is>
          <t>כמות מהכתב המקורי; סכום חד־פעמי או לא ניתן לאימות מול המסמכים שהתקבלו</t>
        </is>
      </c>
    </row>
    <row r="28">
      <c r="A28" s="15" t="inlineStr">
        <is>
          <t>02.19</t>
        </is>
      </c>
      <c r="B28" s="15" t="inlineStr">
        <is>
          <t>פירוק מדרגות חוץ</t>
        </is>
      </c>
      <c r="C28" s="15" t="inlineStr">
        <is>
          <t>קומפ׳</t>
        </is>
      </c>
      <c r="D28" s="15" t="n">
        <v>1</v>
      </c>
      <c r="E28" s="15" t="inlineStr">
        <is>
          <t>ORIGINAL</t>
        </is>
      </c>
      <c r="F28" s="15" t="inlineStr">
        <is>
          <t>כמות מהכתב המקורי; סכום חד־פעמי או לא ניתן לאימות מול המסמכים שהתקבלו</t>
        </is>
      </c>
    </row>
    <row r="29">
      <c r="A29" s="15" t="inlineStr">
        <is>
          <t>02.20</t>
        </is>
      </c>
      <c r="B29" s="15" t="inlineStr">
        <is>
          <t>פירוק רצפת גרנוליט בחניה, בכניסה ובשבילים</t>
        </is>
      </c>
      <c r="C29" s="15" t="inlineStr">
        <is>
          <t>מ״ר</t>
        </is>
      </c>
      <c r="D29" s="15" t="n">
        <v>100</v>
      </c>
      <c r="E29" s="15" t="inlineStr">
        <is>
          <t>UNVERIFIED</t>
        </is>
      </c>
      <c r="F29" s="15" t="inlineStr">
        <is>
          <t>אין תוכנית הריסה בין המסמכים שהתקבלו</t>
        </is>
      </c>
    </row>
    <row r="30">
      <c r="A30" s="15" t="inlineStr">
        <is>
          <t>03.01</t>
        </is>
      </c>
      <c r="B30" s="15" t="inlineStr">
        <is>
          <t>הגדלת מרפסת הסלון ותוספת פרגולה</t>
        </is>
      </c>
      <c r="C30" s="15" t="inlineStr">
        <is>
          <t>קומפ׳</t>
        </is>
      </c>
      <c r="D30" s="15" t="n">
        <v>1</v>
      </c>
      <c r="E30" s="15" t="inlineStr">
        <is>
          <t>UNVERIFIED</t>
        </is>
      </c>
      <c r="F30" s="15" t="inlineStr">
        <is>
          <t>אין בסיס כמותי בין המסמכים שהתקבלו (רשימת פתחים / פיתוח / קונסטרוקציה)</t>
        </is>
      </c>
    </row>
    <row r="31">
      <c r="A31" s="15" t="inlineStr">
        <is>
          <t>03.02</t>
        </is>
      </c>
      <c r="B31" s="15" t="inlineStr">
        <is>
          <t>תוספת חדר בקומת הגלריה</t>
        </is>
      </c>
      <c r="C31" s="15" t="inlineStr">
        <is>
          <t>קומפ׳</t>
        </is>
      </c>
      <c r="D31" s="15" t="n">
        <v>1</v>
      </c>
      <c r="E31" s="15" t="inlineStr">
        <is>
          <t>UNVERIFIED</t>
        </is>
      </c>
      <c r="F31" s="15" t="inlineStr">
        <is>
          <t>אין בסיס כמותי בין המסמכים שהתקבלו (רשימת פתחים / פיתוח / קונסטרוקציה)</t>
        </is>
      </c>
    </row>
    <row r="32">
      <c r="A32" s="15" t="inlineStr">
        <is>
          <t>03.03</t>
        </is>
      </c>
      <c r="B32" s="15" t="inlineStr">
        <is>
          <t>כניסה חדשה וגרם מדרגות חדש</t>
        </is>
      </c>
      <c r="C32" s="15" t="inlineStr">
        <is>
          <t>קומפ׳</t>
        </is>
      </c>
      <c r="D32" s="15" t="n">
        <v>1</v>
      </c>
      <c r="E32" s="15" t="inlineStr">
        <is>
          <t>UNVERIFIED</t>
        </is>
      </c>
      <c r="F32" s="15" t="inlineStr">
        <is>
          <t>אין בסיס כמותי בין המסמכים שהתקבלו (רשימת פתחים / פיתוח / קונסטרוקציה)</t>
        </is>
      </c>
    </row>
    <row r="33">
      <c r="A33" s="15" t="inlineStr">
        <is>
          <t>03.04</t>
        </is>
      </c>
      <c r="B33" s="15" t="inlineStr">
        <is>
          <t>חיזוק גרם המדרגות הפנימי הקיים</t>
        </is>
      </c>
      <c r="C33" s="15" t="inlineStr">
        <is>
          <t>קומפ׳</t>
        </is>
      </c>
      <c r="D33" s="15" t="n">
        <v>1</v>
      </c>
      <c r="E33" s="15" t="inlineStr">
        <is>
          <t>UNVERIFIED</t>
        </is>
      </c>
      <c r="F33" s="15" t="inlineStr">
        <is>
          <t>אין בסיס כמותי בין המסמכים שהתקבלו (רשימת פתחים / פיתוח / קונסטרוקציה)</t>
        </is>
      </c>
    </row>
    <row r="34">
      <c r="A34" s="15" t="inlineStr">
        <is>
          <t>04.01</t>
        </is>
      </c>
      <c r="B34" s="15" t="inlineStr">
        <is>
          <t>קירות בלוקים במרתף</t>
        </is>
      </c>
      <c r="C34" s="15" t="inlineStr">
        <is>
          <t>מ״ר</t>
        </is>
      </c>
      <c r="D34" s="15" t="n">
        <v>6.3</v>
      </c>
      <c r="E34" s="15" t="inlineStr">
        <is>
          <t>VERIFIED</t>
        </is>
      </c>
      <c r="F34" s="15" t="inlineStr">
        <is>
          <t>קירות פנים לבנייה – בלוק 20: 6.3/17.7/2.08 (כמויות לקבלן (סריקה 24/09/2026); מפרט פרק 4 – סה"כ 26.08)</t>
        </is>
      </c>
    </row>
    <row r="35">
      <c r="A35" s="15" t="inlineStr">
        <is>
          <t>04.02</t>
        </is>
      </c>
      <c r="B35" s="15" t="inlineStr">
        <is>
          <t>קירות בלוקים בקומת הקרקע</t>
        </is>
      </c>
      <c r="C35" s="15" t="inlineStr">
        <is>
          <t>מ״ר</t>
        </is>
      </c>
      <c r="D35" s="15" t="n">
        <v>17.7</v>
      </c>
      <c r="E35" s="15" t="inlineStr">
        <is>
          <t>VERIFIED</t>
        </is>
      </c>
      <c r="F35" s="15" t="inlineStr">
        <is>
          <t>קירות פנים לבנייה – בלוק 20: 6.3/17.7/2.08 (כמויות לקבלן (סריקה 24/09/2026); מפרט פרק 4 – סה"כ 26.08)</t>
        </is>
      </c>
    </row>
    <row r="36">
      <c r="A36" s="15" t="inlineStr">
        <is>
          <t>04.03</t>
        </is>
      </c>
      <c r="B36" s="15" t="inlineStr">
        <is>
          <t>קירות בלוקים בקומה א׳ ובגלריה</t>
        </is>
      </c>
      <c r="C36" s="15" t="inlineStr">
        <is>
          <t>מ״ר</t>
        </is>
      </c>
      <c r="D36" s="15" t="n">
        <v>2.08</v>
      </c>
      <c r="E36" s="15" t="inlineStr">
        <is>
          <t>VERIFIED</t>
        </is>
      </c>
      <c r="F36" s="15" t="inlineStr">
        <is>
          <t>קירות פנים לבנייה – בלוק 20: 6.3/17.7/2.08 (כמויות לקבלן (סריקה 24/09/2026); מפרט פרק 4 – סה"כ 26.08)</t>
        </is>
      </c>
    </row>
    <row r="37">
      <c r="A37" s="15" t="inlineStr">
        <is>
          <t>05.01</t>
        </is>
      </c>
      <c r="B37" s="15" t="inlineStr">
        <is>
          <t>התקנת אסלה תלויה</t>
        </is>
      </c>
      <c r="C37" s="15" t="inlineStr">
        <is>
          <t>יח׳</t>
        </is>
      </c>
      <c r="D37" s="15" t="n">
        <v>7</v>
      </c>
      <c r="E37" s="15" t="inlineStr">
        <is>
          <t>VERIFIED</t>
        </is>
      </c>
      <c r="F37" s="15" t="inlineStr">
        <is>
          <t>כתב כמויות אינסטלציה (כמויות לקבלן (סריקה 24/09/2026)) ומפרט פרק 5. חלק מהסעיפים נשאבו בכתב המקורי מקובץ חיצוני – הוחלפו בערכים שנבדקו</t>
        </is>
      </c>
    </row>
    <row r="38">
      <c r="A38" s="15" t="inlineStr">
        <is>
          <t>05.02</t>
        </is>
      </c>
      <c r="B38" s="15" t="inlineStr">
        <is>
          <t>התקנת מכל הדחה סמוי</t>
        </is>
      </c>
      <c r="C38" s="15" t="inlineStr">
        <is>
          <t>יח׳</t>
        </is>
      </c>
      <c r="D38" s="15" t="n">
        <v>7</v>
      </c>
      <c r="E38" s="15" t="inlineStr">
        <is>
          <t>VERIFIED</t>
        </is>
      </c>
      <c r="F38" s="15" t="inlineStr">
        <is>
          <t>כתב כמויות אינסטלציה (כמויות לקבלן (סריקה 24/09/2026)) ומפרט פרק 5. חלק מהסעיפים נשאבו בכתב המקורי מקובץ חיצוני – הוחלפו בערכים שנבדקו</t>
        </is>
      </c>
    </row>
    <row r="39">
      <c r="A39" s="15" t="inlineStr">
        <is>
          <t>05.03</t>
        </is>
      </c>
      <c r="B39" s="15" t="inlineStr">
        <is>
          <t>התקנת לחצן הדחה</t>
        </is>
      </c>
      <c r="C39" s="15" t="inlineStr">
        <is>
          <t>יח׳</t>
        </is>
      </c>
      <c r="D39" s="15" t="n">
        <v>7</v>
      </c>
      <c r="E39" s="15" t="inlineStr">
        <is>
          <t>VERIFIED</t>
        </is>
      </c>
      <c r="F39" s="15" t="inlineStr">
        <is>
          <t>כתב כמויות אינסטלציה (כמויות לקבלן (סריקה 24/09/2026)) ומפרט פרק 5. חלק מהסעיפים נשאבו בכתב המקורי מקובץ חיצוני – הוחלפו בערכים שנבדקו</t>
        </is>
      </c>
    </row>
    <row r="40">
      <c r="A40" s="15" t="inlineStr">
        <is>
          <t>05.04</t>
        </is>
      </c>
      <c r="B40" s="15" t="inlineStr">
        <is>
          <t>התקנת מושב אסלה הידראולי</t>
        </is>
      </c>
      <c r="C40" s="15" t="inlineStr">
        <is>
          <t>יח׳</t>
        </is>
      </c>
      <c r="D40" s="15" t="n">
        <v>7</v>
      </c>
      <c r="E40" s="15" t="inlineStr">
        <is>
          <t>VERIFIED</t>
        </is>
      </c>
      <c r="F40" s="15" t="inlineStr">
        <is>
          <t>כתב כמויות אינסטלציה (כמויות לקבלן (סריקה 24/09/2026)) ומפרט פרק 5. חלק מהסעיפים נשאבו בכתב המקורי מקובץ חיצוני – הוחלפו בערכים שנבדקו</t>
        </is>
      </c>
    </row>
    <row r="41">
      <c r="A41" s="15" t="inlineStr">
        <is>
          <t>05.05</t>
        </is>
      </c>
      <c r="B41" s="15" t="inlineStr">
        <is>
          <t>התקנת כיור עומד</t>
        </is>
      </c>
      <c r="C41" s="15" t="inlineStr">
        <is>
          <t>יח׳</t>
        </is>
      </c>
      <c r="D41" s="15" t="n">
        <v>1</v>
      </c>
      <c r="E41" s="15" t="inlineStr">
        <is>
          <t>VERIFIED</t>
        </is>
      </c>
      <c r="F41" s="15" t="inlineStr">
        <is>
          <t>כתב כמויות אינסטלציה (כמויות לקבלן (סריקה 24/09/2026)) ומפרט פרק 5. חלק מהסעיפים נשאבו בכתב המקורי מקובץ חיצוני – הוחלפו בערכים שנבדקו</t>
        </is>
      </c>
    </row>
    <row r="42">
      <c r="A42" s="15" t="inlineStr">
        <is>
          <t>05.06</t>
        </is>
      </c>
      <c r="B42" s="15" t="inlineStr">
        <is>
          <t>התקנת ברז קיר</t>
        </is>
      </c>
      <c r="C42" s="15" t="inlineStr">
        <is>
          <t>יח׳</t>
        </is>
      </c>
      <c r="D42" s="15" t="n">
        <v>6</v>
      </c>
      <c r="E42" s="15" t="inlineStr">
        <is>
          <t>VERIFIED</t>
        </is>
      </c>
      <c r="F42" s="15" t="inlineStr">
        <is>
          <t>כתב כמויות אינסטלציה (כמויות לקבלן (סריקה 24/09/2026)) ומפרט פרק 5. חלק מהסעיפים נשאבו בכתב המקורי מקובץ חיצוני – הוחלפו בערכים שנבדקו</t>
        </is>
      </c>
    </row>
    <row r="43">
      <c r="A43" s="15" t="inlineStr">
        <is>
          <t>05.07</t>
        </is>
      </c>
      <c r="B43" s="15" t="inlineStr">
        <is>
          <t>התקנת ראש גשם</t>
        </is>
      </c>
      <c r="C43" s="15" t="inlineStr">
        <is>
          <t>יח׳</t>
        </is>
      </c>
      <c r="D43" s="15" t="n">
        <v>6</v>
      </c>
      <c r="E43" s="15" t="inlineStr">
        <is>
          <t>VERIFIED</t>
        </is>
      </c>
      <c r="F43" s="15" t="inlineStr">
        <is>
          <t>כתב כמויות אינסטלציה (כמויות לקבלן (סריקה 24/09/2026)) ומפרט פרק 5. חלק מהסעיפים נשאבו בכתב המקורי מקובץ חיצוני – הוחלפו בערכים שנבדקו</t>
        </is>
      </c>
    </row>
    <row r="44">
      <c r="A44" s="15" t="inlineStr">
        <is>
          <t>05.08</t>
        </is>
      </c>
      <c r="B44" s="15" t="inlineStr">
        <is>
          <t>התקנת אינטרפוץ תלת־דרכי</t>
        </is>
      </c>
      <c r="C44" s="15" t="inlineStr">
        <is>
          <t>יח׳</t>
        </is>
      </c>
      <c r="D44" s="15" t="n">
        <v>10</v>
      </c>
      <c r="E44" s="15" t="inlineStr">
        <is>
          <t>VERIFIED</t>
        </is>
      </c>
      <c r="F44" s="15" t="inlineStr">
        <is>
          <t>כתב כמויות אינסטלציה (כמויות לקבלן (סריקה 24/09/2026)) ומפרט פרק 5. חלק מהסעיפים נשאבו בכתב המקורי מקובץ חיצוני – הוחלפו בערכים שנבדקו</t>
        </is>
      </c>
    </row>
    <row r="45">
      <c r="A45" s="15" t="inlineStr">
        <is>
          <t>05.09</t>
        </is>
      </c>
      <c r="B45" s="15" t="inlineStr">
        <is>
          <t>התקנת אינטרפוץ ארבע־דרכי</t>
        </is>
      </c>
      <c r="C45" s="15" t="inlineStr">
        <is>
          <t>יח׳</t>
        </is>
      </c>
      <c r="D45" s="15" t="n">
        <v>2</v>
      </c>
      <c r="E45" s="15" t="inlineStr">
        <is>
          <t>VERIFIED</t>
        </is>
      </c>
      <c r="F45" s="15" t="inlineStr">
        <is>
          <t>כתב כמויות אינסטלציה (כמויות לקבלן (סריקה 24/09/2026)) ומפרט פרק 5. חלק מהסעיפים נשאבו בכתב המקורי מקובץ חיצוני – הוחלפו בערכים שנבדקו</t>
        </is>
      </c>
    </row>
    <row r="46">
      <c r="A46" s="15" t="inlineStr">
        <is>
          <t>05.10</t>
        </is>
      </c>
      <c r="B46" s="15" t="inlineStr">
        <is>
          <t>התקנת מאחז מזלף</t>
        </is>
      </c>
      <c r="C46" s="15" t="inlineStr">
        <is>
          <t>יח׳</t>
        </is>
      </c>
      <c r="D46" s="15" t="n">
        <v>7</v>
      </c>
      <c r="E46" s="15" t="inlineStr">
        <is>
          <t>VERIFIED</t>
        </is>
      </c>
      <c r="F46" s="15" t="inlineStr">
        <is>
          <t>כתב כמויות אינסטלציה (כמויות לקבלן (סריקה 24/09/2026)) ומפרט פרק 5. חלק מהסעיפים נשאבו בכתב המקורי מקובץ חיצוני – הוחלפו בערכים שנבדקו</t>
        </is>
      </c>
    </row>
    <row r="47">
      <c r="A47" s="15" t="inlineStr">
        <is>
          <t>05.11</t>
        </is>
      </c>
      <c r="B47" s="15" t="inlineStr">
        <is>
          <t>התקנת אביזר ניקוז המסומן 10/10</t>
        </is>
      </c>
      <c r="C47" s="15" t="inlineStr">
        <is>
          <t>יח׳</t>
        </is>
      </c>
      <c r="D47" s="15" t="n">
        <v>5</v>
      </c>
      <c r="E47" s="15" t="inlineStr">
        <is>
          <t>VERIFIED</t>
        </is>
      </c>
      <c r="F47" s="15" t="inlineStr">
        <is>
          <t>כתב כמויות אינסטלציה (כמויות לקבלן (סריקה 24/09/2026)) ומפרט פרק 5. חלק מהסעיפים נשאבו בכתב המקורי מקובץ חיצוני – הוחלפו בערכים שנבדקו</t>
        </is>
      </c>
    </row>
    <row r="48">
      <c r="A48" s="15" t="inlineStr">
        <is>
          <t>05.12</t>
        </is>
      </c>
      <c r="B48" s="15" t="inlineStr">
        <is>
          <t>התקנת תעלת גלישה המסומנת 110</t>
        </is>
      </c>
      <c r="C48" s="15" t="inlineStr">
        <is>
          <t>יח׳</t>
        </is>
      </c>
      <c r="D48" s="15" t="n">
        <v>1</v>
      </c>
      <c r="E48" s="15" t="inlineStr">
        <is>
          <t>VERIFIED</t>
        </is>
      </c>
      <c r="F48" s="15" t="inlineStr">
        <is>
          <t>כתב כמויות אינסטלציה (כמויות לקבלן (סריקה 24/09/2026)) ומפרט פרק 5. חלק מהסעיפים נשאבו בכתב המקורי מקובץ חיצוני – הוחלפו בערכים שנבדקו</t>
        </is>
      </c>
    </row>
    <row r="49">
      <c r="A49" s="15" t="inlineStr">
        <is>
          <t>05.13</t>
        </is>
      </c>
      <c r="B49" s="15" t="inlineStr">
        <is>
          <t>התקנת אמבטיה עצמאית</t>
        </is>
      </c>
      <c r="C49" s="15" t="inlineStr">
        <is>
          <t>יח׳</t>
        </is>
      </c>
      <c r="D49" s="15" t="n">
        <v>1</v>
      </c>
      <c r="E49" s="15" t="inlineStr">
        <is>
          <t>VERIFIED</t>
        </is>
      </c>
      <c r="F49" s="15" t="inlineStr">
        <is>
          <t>כתב כמויות אינסטלציה (כמויות לקבלן (סריקה 24/09/2026)) ומפרט פרק 5. חלק מהסעיפים נשאבו בכתב המקורי מקובץ חיצוני – הוחלפו בערכים שנבדקו</t>
        </is>
      </c>
    </row>
    <row r="50">
      <c r="A50" s="15" t="inlineStr">
        <is>
          <t>05.15</t>
        </is>
      </c>
      <c r="B50" s="15" t="inlineStr">
        <is>
          <t>התקנת ברז מילוי לאמבטיה</t>
        </is>
      </c>
      <c r="C50" s="15" t="inlineStr">
        <is>
          <t>יח׳</t>
        </is>
      </c>
      <c r="D50" s="15" t="n">
        <v>1</v>
      </c>
      <c r="E50" s="15" t="inlineStr">
        <is>
          <t>VERIFIED</t>
        </is>
      </c>
      <c r="F50" s="15" t="inlineStr">
        <is>
          <t>כתב כמויות אינסטלציה (כמויות לקבלן (סריקה 24/09/2026)) ומפרט פרק 5. חלק מהסעיפים נשאבו בכתב המקורי מקובץ חיצוני – הוחלפו בערכים שנבדקו</t>
        </is>
      </c>
    </row>
    <row r="51">
      <c r="A51" s="15" t="inlineStr">
        <is>
          <t>05.16</t>
        </is>
      </c>
      <c r="B51" s="15" t="inlineStr">
        <is>
          <t>התקנת כיור מטבח</t>
        </is>
      </c>
      <c r="C51" s="15" t="inlineStr">
        <is>
          <t>יח׳</t>
        </is>
      </c>
      <c r="D51" s="15" t="n">
        <v>3</v>
      </c>
      <c r="E51" s="15" t="inlineStr">
        <is>
          <t>VERIFIED</t>
        </is>
      </c>
      <c r="F51" s="15" t="inlineStr">
        <is>
          <t>כתב כמויות אינסטלציה (כמויות לקבלן (סריקה 24/09/2026)) ומפרט פרק 5. חלק מהסעיפים נשאבו בכתב המקורי מקובץ חיצוני – הוחלפו בערכים שנבדקו</t>
        </is>
      </c>
    </row>
    <row r="52">
      <c r="A52" s="15" t="inlineStr">
        <is>
          <t>05.17</t>
        </is>
      </c>
      <c r="B52" s="15" t="inlineStr">
        <is>
          <t>התקנת ברז מטבח פרח נשלף</t>
        </is>
      </c>
      <c r="C52" s="15" t="inlineStr">
        <is>
          <t>יח׳</t>
        </is>
      </c>
      <c r="D52" s="15" t="n">
        <v>5</v>
      </c>
      <c r="E52" s="15" t="inlineStr">
        <is>
          <t>VERIFIED</t>
        </is>
      </c>
      <c r="F52" s="15" t="inlineStr">
        <is>
          <t>כתב כמויות אינסטלציה (כמויות לקבלן (סריקה 24/09/2026)) ומפרט פרק 5. חלק מהסעיפים נשאבו בכתב המקורי מקובץ חיצוני – הוחלפו בערכים שנבדקו</t>
        </is>
      </c>
    </row>
    <row r="53">
      <c r="A53" s="15" t="inlineStr">
        <is>
          <t>05.18</t>
        </is>
      </c>
      <c r="B53" s="15" t="inlineStr">
        <is>
          <t>התקנת כיור במטבח חוץ</t>
        </is>
      </c>
      <c r="C53" s="15" t="inlineStr">
        <is>
          <t>יח׳</t>
        </is>
      </c>
      <c r="D53" s="15" t="n">
        <v>2</v>
      </c>
      <c r="E53" s="15" t="inlineStr">
        <is>
          <t>VERIFIED</t>
        </is>
      </c>
      <c r="F53" s="15" t="inlineStr">
        <is>
          <t>כתב כמויות אינסטלציה (כמויות לקבלן (סריקה 24/09/2026)) ומפרט פרק 5. חלק מהסעיפים נשאבו בכתב המקורי מקובץ חיצוני – הוחלפו בערכים שנבדקו</t>
        </is>
      </c>
    </row>
    <row r="54">
      <c r="A54" s="15" t="inlineStr">
        <is>
          <t>05.19</t>
        </is>
      </c>
      <c r="B54" s="15" t="inlineStr">
        <is>
          <t>התקנת ברז פרח נשלף במטבח חוץ</t>
        </is>
      </c>
      <c r="C54" s="15" t="inlineStr">
        <is>
          <t>יח׳</t>
        </is>
      </c>
      <c r="D54" s="15" t="n">
        <v>2</v>
      </c>
      <c r="E54" s="15" t="inlineStr">
        <is>
          <t>VERIFIED</t>
        </is>
      </c>
      <c r="F54" s="15" t="inlineStr">
        <is>
          <t>כתב כמויות אינסטלציה (כמויות לקבלן (סריקה 24/09/2026)) ומפרט פרק 5. חלק מהסעיפים נשאבו בכתב המקורי מקובץ חיצוני – הוחלפו בערכים שנבדקו</t>
        </is>
      </c>
    </row>
    <row r="55">
      <c r="A55" s="15" t="inlineStr">
        <is>
          <t>05.20</t>
        </is>
      </c>
      <c r="B55" s="15" t="inlineStr">
        <is>
          <t>התקנת כיור מונח או שוקת בשירותי אורחים</t>
        </is>
      </c>
      <c r="C55" s="15" t="inlineStr">
        <is>
          <t>יח׳</t>
        </is>
      </c>
      <c r="D55" s="15" t="n">
        <v>1</v>
      </c>
      <c r="E55" s="15" t="inlineStr">
        <is>
          <t>VERIFIED</t>
        </is>
      </c>
      <c r="F55" s="15" t="inlineStr">
        <is>
          <t>כתב כמויות אינסטלציה (כמויות לקבלן (סריקה 24/09/2026)) ומפרט פרק 5. חלק מהסעיפים נשאבו בכתב המקורי מקובץ חיצוני – הוחלפו בערכים שנבדקו</t>
        </is>
      </c>
    </row>
    <row r="56">
      <c r="A56" s="15" t="inlineStr">
        <is>
          <t>05.21</t>
        </is>
      </c>
      <c r="B56" s="15" t="inlineStr">
        <is>
          <t>התקנת ברז ניל</t>
        </is>
      </c>
      <c r="C56" s="15" t="inlineStr">
        <is>
          <t>יח׳</t>
        </is>
      </c>
      <c r="D56" s="15" t="n">
        <v>11</v>
      </c>
      <c r="E56" s="15" t="inlineStr">
        <is>
          <t>VERIFIED</t>
        </is>
      </c>
      <c r="F56" s="15" t="inlineStr">
        <is>
          <t>כתב כמויות אינסטלציה (כמויות לקבלן (סריקה 24/09/2026)) ומפרט פרק 5. חלק מהסעיפים נשאבו בכתב המקורי מקובץ חיצוני – הוחלפו בערכים שנבדקו</t>
        </is>
      </c>
    </row>
    <row r="57">
      <c r="A57" s="15" t="inlineStr">
        <is>
          <t>05.22</t>
        </is>
      </c>
      <c r="B57" s="15" t="inlineStr">
        <is>
          <t>התקנת ברז פרח וארון רחצה – מכלול</t>
        </is>
      </c>
      <c r="C57" s="15" t="inlineStr">
        <is>
          <t>יח׳</t>
        </is>
      </c>
      <c r="D57" s="15" t="n">
        <v>1</v>
      </c>
      <c r="E57" s="15" t="inlineStr">
        <is>
          <t>VERIFIED</t>
        </is>
      </c>
      <c r="F57" s="15" t="inlineStr">
        <is>
          <t>כתב כמויות אינסטלציה (כמויות לקבלן (סריקה 24/09/2026)) ומפרט פרק 5. חלק מהסעיפים נשאבו בכתב המקורי מקובץ חיצוני – הוחלפו בערכים שנבדקו</t>
        </is>
      </c>
    </row>
    <row r="58">
      <c r="A58" s="15" t="inlineStr">
        <is>
          <t>05.23</t>
        </is>
      </c>
      <c r="B58" s="15" t="inlineStr">
        <is>
          <t>התקנת תעלת גלישה חיצונית המסומנת 60</t>
        </is>
      </c>
      <c r="C58" s="15" t="inlineStr">
        <is>
          <t>יח׳</t>
        </is>
      </c>
      <c r="D58" s="15" t="n">
        <v>1</v>
      </c>
      <c r="E58" s="15" t="inlineStr">
        <is>
          <t>VERIFIED</t>
        </is>
      </c>
      <c r="F58" s="15" t="inlineStr">
        <is>
          <t>כתב כמויות אינסטלציה (כמויות לקבלן (סריקה 24/09/2026)) ומפרט פרק 5. חלק מהסעיפים נשאבו בכתב המקורי מקובץ חיצוני – הוחלפו בערכים שנבדקו</t>
        </is>
      </c>
    </row>
    <row r="59">
      <c r="A59" s="15" t="inlineStr">
        <is>
          <t>05.24</t>
        </is>
      </c>
      <c r="B59" s="15" t="inlineStr">
        <is>
          <t>התקנת כיור בר</t>
        </is>
      </c>
      <c r="C59" s="15" t="inlineStr">
        <is>
          <t>יח׳</t>
        </is>
      </c>
      <c r="D59" s="15" t="n">
        <v>2</v>
      </c>
      <c r="E59" s="15" t="inlineStr">
        <is>
          <t>VERIFIED</t>
        </is>
      </c>
      <c r="F59" s="15" t="inlineStr">
        <is>
          <t>כתב כמויות אינסטלציה (כמויות לקבלן (סריקה 24/09/2026)) ומפרט פרק 5. חלק מהסעיפים נשאבו בכתב המקורי מקובץ חיצוני – הוחלפו בערכים שנבדקו</t>
        </is>
      </c>
    </row>
    <row r="60">
      <c r="A60" s="15" t="inlineStr">
        <is>
          <t>05.25</t>
        </is>
      </c>
      <c r="B60" s="15" t="inlineStr">
        <is>
          <t>נקודת מים חמים וקרים לברז או סוללה</t>
        </is>
      </c>
      <c r="C60" s="15" t="inlineStr">
        <is>
          <t>נק׳</t>
        </is>
      </c>
      <c r="D60" s="15" t="n">
        <v>23</v>
      </c>
      <c r="E60" s="15" t="inlineStr">
        <is>
          <t>UNVERIFIED</t>
        </is>
      </c>
      <c r="F60" s="15" t="inlineStr">
        <is>
          <t>הפריט אינו מופיע בטבלאות שהתקבלו; נדרשת תוכנית אינסטלציה</t>
        </is>
      </c>
    </row>
    <row r="61">
      <c r="A61" s="15" t="inlineStr">
        <is>
          <t>05.26</t>
        </is>
      </c>
      <c r="B61" s="15" t="inlineStr">
        <is>
          <t>נקודת מים קרים למכל הדחה</t>
        </is>
      </c>
      <c r="C61" s="15" t="inlineStr">
        <is>
          <t>נק׳</t>
        </is>
      </c>
      <c r="D61" s="15" t="n">
        <v>7</v>
      </c>
      <c r="E61" s="15" t="inlineStr">
        <is>
          <t>VERIFIED</t>
        </is>
      </c>
      <c r="F61" s="15" t="inlineStr">
        <is>
          <t>כתב כמויות אינסטלציה (כמויות לקבלן (סריקה 24/09/2026)) ומפרט פרק 5. חלק מהסעיפים נשאבו בכתב המקורי מקובץ חיצוני – הוחלפו בערכים שנבדקו</t>
        </is>
      </c>
    </row>
    <row r="62">
      <c r="A62" s="15" t="inlineStr">
        <is>
          <t>05.27</t>
        </is>
      </c>
      <c r="B62" s="15" t="inlineStr">
        <is>
          <t>נקודת ביוב לאסלה</t>
        </is>
      </c>
      <c r="C62" s="15" t="inlineStr">
        <is>
          <t>נק׳</t>
        </is>
      </c>
      <c r="D62" s="15" t="n">
        <v>7</v>
      </c>
      <c r="E62" s="15" t="inlineStr">
        <is>
          <t>VERIFIED</t>
        </is>
      </c>
      <c r="F62" s="15" t="inlineStr">
        <is>
          <t>כתב כמויות אינסטלציה (כמויות לקבלן (סריקה 24/09/2026)) ומפרט פרק 5. חלק מהסעיפים נשאבו בכתב המקורי מקובץ חיצוני – הוחלפו בערכים שנבדקו</t>
        </is>
      </c>
    </row>
    <row r="63">
      <c r="A63" s="15" t="inlineStr">
        <is>
          <t>05.28</t>
        </is>
      </c>
      <c r="B63" s="15" t="inlineStr">
        <is>
          <t>נקודת ניקוז לכיור ולאמבטיה</t>
        </is>
      </c>
      <c r="C63" s="15" t="inlineStr">
        <is>
          <t>נק׳</t>
        </is>
      </c>
      <c r="D63" s="15" t="n">
        <v>15</v>
      </c>
      <c r="E63" s="15" t="inlineStr">
        <is>
          <t>UNVERIFIED</t>
        </is>
      </c>
      <c r="F63" s="15" t="inlineStr">
        <is>
          <t>15 – ערך מקובץ חיצוני שלא התקבל. סכום כלי הניקוז בסריקה: 10</t>
        </is>
      </c>
    </row>
    <row r="64">
      <c r="A64" s="15" t="inlineStr">
        <is>
          <t>05.29</t>
        </is>
      </c>
      <c r="B64" s="15" t="inlineStr">
        <is>
          <t>נקודת מים וניקוז למכונת כביסה</t>
        </is>
      </c>
      <c r="C64" s="15" t="inlineStr">
        <is>
          <t>נק׳</t>
        </is>
      </c>
      <c r="D64" s="15" t="n">
        <v>2</v>
      </c>
      <c r="E64" s="15" t="inlineStr">
        <is>
          <t>UNVERIFIED</t>
        </is>
      </c>
      <c r="F64" s="15" t="inlineStr">
        <is>
          <t>הפריט אינו מופיע בטבלאות שהתקבלו; נדרשת תוכנית אינסטלציה</t>
        </is>
      </c>
    </row>
    <row r="65">
      <c r="A65" s="15" t="inlineStr">
        <is>
          <t>05.30</t>
        </is>
      </c>
      <c r="B65" s="15" t="inlineStr">
        <is>
          <t>ברז דלי</t>
        </is>
      </c>
      <c r="C65" s="15" t="inlineStr">
        <is>
          <t>יח׳</t>
        </is>
      </c>
      <c r="D65" s="15" t="n">
        <v>2</v>
      </c>
      <c r="E65" s="15" t="inlineStr">
        <is>
          <t>UNVERIFIED</t>
        </is>
      </c>
      <c r="F65" s="15" t="inlineStr">
        <is>
          <t>הפריט אינו מופיע בטבלאות שהתקבלו; נדרשת תוכנית אינסטלציה</t>
        </is>
      </c>
    </row>
    <row r="66">
      <c r="A66" s="15" t="inlineStr">
        <is>
          <t>05.32</t>
        </is>
      </c>
      <c r="B66" s="15" t="inlineStr">
        <is>
          <t>קווי אספקה ראשיים ורכזות מים קומתיות</t>
        </is>
      </c>
      <c r="C66" s="15" t="inlineStr">
        <is>
          <t>קומפ׳</t>
        </is>
      </c>
      <c r="D66" s="15" t="n">
        <v>1</v>
      </c>
      <c r="E66" s="15" t="inlineStr">
        <is>
          <t>ORIGINAL</t>
        </is>
      </c>
      <c r="F66" s="15" t="inlineStr">
        <is>
          <t>כמות מהכתב המקורי; סכום חד־פעמי או לא ניתן לאימות מול המסמכים שהתקבלו</t>
        </is>
      </c>
    </row>
    <row r="67">
      <c r="A67" s="15" t="inlineStr">
        <is>
          <t>05.33</t>
        </is>
      </c>
      <c r="B67" s="15" t="inlineStr">
        <is>
          <t>מערכת ביוב וניקוז ראשית</t>
        </is>
      </c>
      <c r="C67" s="15" t="inlineStr">
        <is>
          <t>קומפ׳</t>
        </is>
      </c>
      <c r="D67" s="15" t="n">
        <v>1</v>
      </c>
      <c r="E67" s="15" t="inlineStr">
        <is>
          <t>ORIGINAL</t>
        </is>
      </c>
      <c r="F67" s="15" t="inlineStr">
        <is>
          <t>כמות מהכתב המקורי; סכום חד־פעמי או לא ניתן לאימות מול המסמכים שהתקבלו</t>
        </is>
      </c>
    </row>
    <row r="68">
      <c r="A68" s="15" t="inlineStr">
        <is>
          <t>05.34</t>
        </is>
      </c>
      <c r="B68" s="15" t="inlineStr">
        <is>
          <t>דוד מים חמים – התקנה וחיבור</t>
        </is>
      </c>
      <c r="C68" s="15" t="inlineStr">
        <is>
          <t>יח׳</t>
        </is>
      </c>
      <c r="D68" s="15" t="n"/>
      <c r="E68" s="15" t="inlineStr">
        <is>
          <t>UNVERIFIED</t>
        </is>
      </c>
      <c r="F68" s="15" t="inlineStr">
        <is>
          <t>הכמות נקבעת מספירה בתוכניות חשמל/מיזוג/אינסטלציה שלא התקבלו</t>
        </is>
      </c>
    </row>
    <row r="69">
      <c r="A69" s="15" t="inlineStr">
        <is>
          <t>05.35</t>
        </is>
      </c>
      <c r="B69" s="15" t="inlineStr">
        <is>
          <t>בדיקות לחץ ואטימות ותוכנית עדות</t>
        </is>
      </c>
      <c r="C69" s="15" t="inlineStr">
        <is>
          <t>קומפ׳</t>
        </is>
      </c>
      <c r="D69" s="15" t="n">
        <v>1</v>
      </c>
      <c r="E69" s="15" t="inlineStr">
        <is>
          <t>ORIGINAL</t>
        </is>
      </c>
      <c r="F69" s="15" t="inlineStr">
        <is>
          <t>כמות מהכתב המקורי; סכום חד־פעמי או לא ניתן לאימות מול המסמכים שהתקבלו</t>
        </is>
      </c>
    </row>
    <row r="70">
      <c r="A70" s="15" t="inlineStr">
        <is>
          <t>06.01</t>
        </is>
      </c>
      <c r="B70" s="15" t="inlineStr">
        <is>
          <t>נקודת שקע רגיל</t>
        </is>
      </c>
      <c r="C70" s="15" t="inlineStr">
        <is>
          <t>יח׳</t>
        </is>
      </c>
      <c r="D70" s="15" t="n">
        <v>119</v>
      </c>
      <c r="E70" s="15" t="inlineStr">
        <is>
          <t>VERIFIED</t>
        </is>
      </c>
      <c r="F70" s="15" t="inlineStr">
        <is>
          <t>כתב כמויות חשמל (כמויות לקבלן (סריקה 24/09/2026)) ומפרט פרק 6. הערה בסריקה: שקע כפול נספר כ-1.5 – לאמת אם הכמות משוקללת</t>
        </is>
      </c>
    </row>
    <row r="71">
      <c r="A71" s="15" t="inlineStr">
        <is>
          <t>06.02</t>
        </is>
      </c>
      <c r="B71" s="15" t="inlineStr">
        <is>
          <t>נקודת שקע מוגן מים</t>
        </is>
      </c>
      <c r="C71" s="15" t="inlineStr">
        <is>
          <t>יח׳</t>
        </is>
      </c>
      <c r="D71" s="15" t="n">
        <v>51</v>
      </c>
      <c r="E71" s="15" t="inlineStr">
        <is>
          <t>VERIFIED</t>
        </is>
      </c>
      <c r="F71" s="15" t="inlineStr">
        <is>
          <t>כתב כמויות חשמל (כמויות לקבלן (סריקה 24/09/2026)) ומפרט פרק 6. הערה בסריקה: שקע כפול נספר כ-1.5 – לאמת אם הכמות משוקללת</t>
        </is>
      </c>
    </row>
    <row r="72">
      <c r="A72" s="15" t="inlineStr">
        <is>
          <t>06.03</t>
        </is>
      </c>
      <c r="B72" s="15" t="inlineStr">
        <is>
          <t>תשתית להפעלת תריס חשמלי</t>
        </is>
      </c>
      <c r="C72" s="15" t="inlineStr">
        <is>
          <t>יח׳</t>
        </is>
      </c>
      <c r="D72" s="15" t="n">
        <v>18</v>
      </c>
      <c r="E72" s="15" t="inlineStr">
        <is>
          <t>VERIFIED</t>
        </is>
      </c>
      <c r="F72" s="15" t="inlineStr">
        <is>
          <t>כתב כמויות חשמל (כמויות לקבלן (סריקה 24/09/2026)) ומפרט פרק 6. הערה בסריקה: שקע כפול נספר כ-1.5 – לאמת אם הכמות משוקללת</t>
        </is>
      </c>
    </row>
    <row r="73">
      <c r="A73" s="15" t="inlineStr">
        <is>
          <t>06.04</t>
        </is>
      </c>
      <c r="B73" s="15" t="inlineStr">
        <is>
          <t>שקע מנוע תריס</t>
        </is>
      </c>
      <c r="C73" s="15" t="inlineStr">
        <is>
          <t>יח׳</t>
        </is>
      </c>
      <c r="D73" s="15" t="n">
        <v>9</v>
      </c>
      <c r="E73" s="15" t="inlineStr">
        <is>
          <t>CONFLICT</t>
        </is>
      </c>
      <c r="F73" s="15" t="inlineStr">
        <is>
          <t>שניהם 9 – בסריקה רק "שקע כח 9"; במפרט שני סעיפים נפרדים. ייתכן כפל</t>
        </is>
      </c>
    </row>
    <row r="74">
      <c r="A74" s="15" t="inlineStr">
        <is>
          <t>06.05</t>
        </is>
      </c>
      <c r="B74" s="15" t="inlineStr">
        <is>
          <t>נקודת שקע תלת־פאזי</t>
        </is>
      </c>
      <c r="C74" s="15" t="inlineStr">
        <is>
          <t>יח׳</t>
        </is>
      </c>
      <c r="D74" s="15" t="n">
        <v>1</v>
      </c>
      <c r="E74" s="15" t="inlineStr">
        <is>
          <t>VERIFIED</t>
        </is>
      </c>
      <c r="F74" s="15" t="inlineStr">
        <is>
          <t>כתב כמויות חשמל (כמויות לקבלן (סריקה 24/09/2026)) ומפרט פרק 6. הערה בסריקה: שקע כפול נספר כ-1.5 – לאמת אם הכמות משוקללת</t>
        </is>
      </c>
    </row>
    <row r="75">
      <c r="A75" s="15" t="inlineStr">
        <is>
          <t>06.06</t>
        </is>
      </c>
      <c r="B75" s="15" t="inlineStr">
        <is>
          <t>הרחבת לוח החשמל הראשי</t>
        </is>
      </c>
      <c r="C75" s="15" t="inlineStr">
        <is>
          <t>קומפ׳</t>
        </is>
      </c>
      <c r="D75" s="15" t="n">
        <v>1</v>
      </c>
      <c r="E75" s="15" t="inlineStr">
        <is>
          <t>ORIGINAL</t>
        </is>
      </c>
      <c r="F75" s="15" t="inlineStr">
        <is>
          <t>כמות מהכתב המקורי; סכום חד־פעמי או לא ניתן לאימות מול המסמכים שהתקבלו</t>
        </is>
      </c>
    </row>
    <row r="76">
      <c r="A76" s="15" t="inlineStr">
        <is>
          <t>06.07</t>
        </is>
      </c>
      <c r="B76" s="15" t="inlineStr">
        <is>
          <t>אספקה והתקנת פילר חברת החשמל</t>
        </is>
      </c>
      <c r="C76" s="15" t="inlineStr">
        <is>
          <t>קומפ׳</t>
        </is>
      </c>
      <c r="D76" s="15" t="n">
        <v>1</v>
      </c>
      <c r="E76" s="15" t="inlineStr">
        <is>
          <t>ORIGINAL</t>
        </is>
      </c>
      <c r="F76" s="15" t="inlineStr">
        <is>
          <t>כמות מהכתב המקורי; סכום חד־פעמי או לא ניתן לאימות מול המסמכים שהתקבלו</t>
        </is>
      </c>
    </row>
    <row r="77">
      <c r="A77" s="15" t="inlineStr">
        <is>
          <t>06.08</t>
        </is>
      </c>
      <c r="B77" s="15" t="inlineStr">
        <is>
          <t>טיפול בהגדלת חיבור החשמל</t>
        </is>
      </c>
      <c r="C77" s="15" t="inlineStr">
        <is>
          <t>קומפ׳</t>
        </is>
      </c>
      <c r="D77" s="15" t="n">
        <v>1</v>
      </c>
      <c r="E77" s="15" t="inlineStr">
        <is>
          <t>ORIGINAL</t>
        </is>
      </c>
      <c r="F77" s="15" t="inlineStr">
        <is>
          <t>כמות מהכתב המקורי; סכום חד־פעמי או לא ניתן לאימות מול המסמכים שהתקבלו</t>
        </is>
      </c>
    </row>
    <row r="78">
      <c r="A78" s="15" t="inlineStr">
        <is>
          <t>06.09</t>
        </is>
      </c>
      <c r="B78" s="15" t="inlineStr">
        <is>
          <t>בדיקת חשמל סופית</t>
        </is>
      </c>
      <c r="C78" s="15" t="inlineStr">
        <is>
          <t>קומפ׳</t>
        </is>
      </c>
      <c r="D78" s="15" t="n">
        <v>1</v>
      </c>
      <c r="E78" s="15" t="inlineStr">
        <is>
          <t>ORIGINAL</t>
        </is>
      </c>
      <c r="F78" s="15" t="inlineStr">
        <is>
          <t>כמות מהכתב המקורי; סכום חד־פעמי או לא ניתן לאימות מול המסמכים שהתקבלו</t>
        </is>
      </c>
    </row>
    <row r="79">
      <c r="A79" s="15" t="inlineStr">
        <is>
          <t>06.10</t>
        </is>
      </c>
      <c r="B79" s="15" t="inlineStr">
        <is>
          <t>נקודת שקע כוח</t>
        </is>
      </c>
      <c r="C79" s="15" t="inlineStr">
        <is>
          <t>יח׳</t>
        </is>
      </c>
      <c r="D79" s="15" t="n">
        <v>9</v>
      </c>
      <c r="E79" s="15" t="inlineStr">
        <is>
          <t>CONFLICT</t>
        </is>
      </c>
      <c r="F79" s="15" t="inlineStr">
        <is>
          <t>שניהם 9 – בסריקה רק "שקע כח 9"; במפרט שני סעיפים נפרדים. ייתכן כפל</t>
        </is>
      </c>
    </row>
    <row r="80">
      <c r="A80" s="15" t="inlineStr">
        <is>
          <t>06.11</t>
        </is>
      </c>
      <c r="B80" s="15" t="inlineStr">
        <is>
          <t>נקודת הזנה ליחידת מיזוג</t>
        </is>
      </c>
      <c r="C80" s="15" t="inlineStr">
        <is>
          <t>נק׳</t>
        </is>
      </c>
      <c r="D80" s="15" t="n"/>
      <c r="E80" s="15" t="inlineStr">
        <is>
          <t>UNVERIFIED</t>
        </is>
      </c>
      <c r="F80" s="15" t="inlineStr">
        <is>
          <t>הכמות נקבעת מספירה בתוכניות חשמל/מיזוג/אינסטלציה שלא התקבלו</t>
        </is>
      </c>
    </row>
    <row r="81">
      <c r="A81" s="15" t="inlineStr">
        <is>
          <t>06.12</t>
        </is>
      </c>
      <c r="B81" s="15" t="inlineStr">
        <is>
          <t>נקודת חיבור ישיר</t>
        </is>
      </c>
      <c r="C81" s="15" t="inlineStr">
        <is>
          <t>נק׳</t>
        </is>
      </c>
      <c r="D81" s="15" t="n"/>
      <c r="E81" s="15" t="inlineStr">
        <is>
          <t>UNVERIFIED</t>
        </is>
      </c>
      <c r="F81" s="15" t="inlineStr">
        <is>
          <t>הכמות נקבעת מספירה בתוכניות חשמל/מיזוג/אינסטלציה שלא התקבלו</t>
        </is>
      </c>
    </row>
    <row r="82">
      <c r="A82" s="15" t="inlineStr">
        <is>
          <t>06.13</t>
        </is>
      </c>
      <c r="B82" s="15" t="inlineStr">
        <is>
          <t>מפסק זרם לדוד עם נורת סימון</t>
        </is>
      </c>
      <c r="C82" s="15" t="inlineStr">
        <is>
          <t>יח׳</t>
        </is>
      </c>
      <c r="D82" s="15" t="n"/>
      <c r="E82" s="15" t="inlineStr">
        <is>
          <t>UNVERIFIED</t>
        </is>
      </c>
      <c r="F82" s="15" t="inlineStr">
        <is>
          <t>הכמות נקבעת מספירה בתוכניות חשמל/מיזוג/אינסטלציה שלא התקבלו</t>
        </is>
      </c>
    </row>
    <row r="83">
      <c r="A83" s="15" t="inlineStr">
        <is>
          <t>06.14</t>
        </is>
      </c>
      <c r="B83" s="15" t="inlineStr">
        <is>
          <t>נקודת תרמוסטט למזגן</t>
        </is>
      </c>
      <c r="C83" s="15" t="inlineStr">
        <is>
          <t>נק׳</t>
        </is>
      </c>
      <c r="D83" s="15" t="n"/>
      <c r="E83" s="15" t="inlineStr">
        <is>
          <t>UNVERIFIED</t>
        </is>
      </c>
      <c r="F83" s="15" t="inlineStr">
        <is>
          <t>הכמות נקבעת מספירה בתוכניות חשמל/מיזוג/אינסטלציה שלא התקבלו</t>
        </is>
      </c>
    </row>
    <row r="84">
      <c r="A84" s="15" t="inlineStr">
        <is>
          <t>06.15</t>
        </is>
      </c>
      <c r="B84" s="15" t="inlineStr">
        <is>
          <t>פעמון ולחצן פעמון</t>
        </is>
      </c>
      <c r="C84" s="15" t="inlineStr">
        <is>
          <t>קומפ׳</t>
        </is>
      </c>
      <c r="D84" s="15" t="n">
        <v>1</v>
      </c>
      <c r="E84" s="15" t="inlineStr">
        <is>
          <t>ORIGINAL</t>
        </is>
      </c>
      <c r="F84" s="15" t="inlineStr">
        <is>
          <t>כמות מהכתב המקורי; סכום חד־פעמי או לא ניתן לאימות מול המסמכים שהתקבלו</t>
        </is>
      </c>
    </row>
    <row r="85">
      <c r="A85" s="15" t="inlineStr">
        <is>
          <t>07.01</t>
        </is>
      </c>
      <c r="B85" s="15" t="inlineStr">
        <is>
          <t>מפסקי הדלקת תאורה (יחיד/כפול/משולש/רביעייה)</t>
        </is>
      </c>
      <c r="C85" s="15" t="inlineStr">
        <is>
          <t>יח׳</t>
        </is>
      </c>
      <c r="D85" s="15" t="n"/>
      <c r="E85" s="15" t="inlineStr">
        <is>
          <t>UNVERIFIED</t>
        </is>
      </c>
      <c r="F85" s="15" t="inlineStr">
        <is>
          <t>הכמות נקבעת מספירה בתוכניות חשמל/מיזוג/אינסטלציה שלא התקבלו</t>
        </is>
      </c>
    </row>
    <row r="86">
      <c r="A86" s="15" t="inlineStr">
        <is>
          <t>07.02</t>
        </is>
      </c>
      <c r="B86" s="15" t="inlineStr">
        <is>
          <t>מפסקי מחלף (יחיד/משולש)</t>
        </is>
      </c>
      <c r="C86" s="15" t="inlineStr">
        <is>
          <t>יח׳</t>
        </is>
      </c>
      <c r="D86" s="15" t="n"/>
      <c r="E86" s="15" t="inlineStr">
        <is>
          <t>UNVERIFIED</t>
        </is>
      </c>
      <c r="F86" s="15" t="inlineStr">
        <is>
          <t>הכמות נקבעת מספירה בתוכניות חשמל/מיזוג/אינסטלציה שלא התקבלו</t>
        </is>
      </c>
    </row>
    <row r="87">
      <c r="A87" s="15" t="inlineStr">
        <is>
          <t>07.03</t>
        </is>
      </c>
      <c r="B87" s="15" t="inlineStr">
        <is>
          <t>התקנת גוף תאורה צמוד תקרה</t>
        </is>
      </c>
      <c r="C87" s="15" t="inlineStr">
        <is>
          <t>יח׳</t>
        </is>
      </c>
      <c r="D87" s="15" t="n">
        <v>15</v>
      </c>
      <c r="E87" s="15" t="inlineStr">
        <is>
          <t>VERIFIED</t>
        </is>
      </c>
      <c r="F87" s="15" t="inlineStr">
        <is>
          <t>טבלת תאורה (כמויות לקבלן (סריקה 24/09/2026)) ומפרט פרק 7</t>
        </is>
      </c>
    </row>
    <row r="88">
      <c r="A88" s="15" t="inlineStr">
        <is>
          <t>07.04</t>
        </is>
      </c>
      <c r="B88" s="15" t="inlineStr">
        <is>
          <t>התקנת גוף תאורה תלוי</t>
        </is>
      </c>
      <c r="C88" s="15" t="inlineStr">
        <is>
          <t>יח׳</t>
        </is>
      </c>
      <c r="D88" s="15" t="n">
        <v>22</v>
      </c>
      <c r="E88" s="15" t="inlineStr">
        <is>
          <t>VERIFIED</t>
        </is>
      </c>
      <c r="F88" s="15" t="inlineStr">
        <is>
          <t>טבלת תאורה (כמויות לקבלן (סריקה 24/09/2026)) ומפרט פרק 7</t>
        </is>
      </c>
    </row>
    <row r="89">
      <c r="A89" s="15" t="inlineStr">
        <is>
          <t>07.05</t>
        </is>
      </c>
      <c r="B89" s="15" t="inlineStr">
        <is>
          <t>התקנת גוף תאורה קירי מוגן</t>
        </is>
      </c>
      <c r="C89" s="15" t="inlineStr">
        <is>
          <t>יח׳</t>
        </is>
      </c>
      <c r="D89" s="15" t="n">
        <v>30</v>
      </c>
      <c r="E89" s="15" t="inlineStr">
        <is>
          <t>VERIFIED</t>
        </is>
      </c>
      <c r="F89" s="15" t="inlineStr">
        <is>
          <t>טבלת תאורה (כמויות לקבלן (סריקה 24/09/2026)) ומפרט פרק 7</t>
        </is>
      </c>
    </row>
    <row r="90">
      <c r="A90" s="15" t="inlineStr">
        <is>
          <t>07.06</t>
        </is>
      </c>
      <c r="B90" s="15" t="inlineStr">
        <is>
          <t>התקנת גוף תאורה שקוע בקיר, מוגן</t>
        </is>
      </c>
      <c r="C90" s="15" t="inlineStr">
        <is>
          <t>יח׳</t>
        </is>
      </c>
      <c r="D90" s="15" t="n">
        <v>35</v>
      </c>
      <c r="E90" s="15" t="inlineStr">
        <is>
          <t>VERIFIED</t>
        </is>
      </c>
      <c r="F90" s="15" t="inlineStr">
        <is>
          <t>טבלת תאורה (כמויות לקבלן (סריקה 24/09/2026)) ומפרט פרק 7</t>
        </is>
      </c>
    </row>
    <row r="91">
      <c r="A91" s="15" t="inlineStr">
        <is>
          <t>07.07</t>
        </is>
      </c>
      <c r="B91" s="15" t="inlineStr">
        <is>
          <t>התקנת ספוט שקוע בתקרת גבס</t>
        </is>
      </c>
      <c r="C91" s="15" t="inlineStr">
        <is>
          <t>יח׳</t>
        </is>
      </c>
      <c r="D91" s="15" t="n">
        <v>25</v>
      </c>
      <c r="E91" s="15" t="inlineStr">
        <is>
          <t>VERIFIED</t>
        </is>
      </c>
      <c r="F91" s="15" t="inlineStr">
        <is>
          <t>טבלת תאורה (כמויות לקבלן (סריקה 24/09/2026)) ומפרט פרק 7</t>
        </is>
      </c>
    </row>
    <row r="92">
      <c r="A92" s="15" t="inlineStr">
        <is>
          <t>07.08</t>
        </is>
      </c>
      <c r="B92" s="15" t="inlineStr">
        <is>
          <t>התקנת פס תאורת לד נסתר</t>
        </is>
      </c>
      <c r="C92" s="15" t="inlineStr">
        <is>
          <t>יח׳</t>
        </is>
      </c>
      <c r="D92" s="15" t="n">
        <v>11</v>
      </c>
      <c r="E92" s="15" t="inlineStr">
        <is>
          <t>VERIFIED</t>
        </is>
      </c>
      <c r="F92" s="15" t="inlineStr">
        <is>
          <t>טבלת תאורה (כמויות לקבלן (סריקה 24/09/2026)) ומפרט פרק 7</t>
        </is>
      </c>
    </row>
    <row r="93">
      <c r="A93" s="15" t="inlineStr">
        <is>
          <t>07.09</t>
        </is>
      </c>
      <c r="B93" s="15" t="inlineStr">
        <is>
          <t>התקנת פס תאורה שקוע בגבס</t>
        </is>
      </c>
      <c r="C93" s="15" t="inlineStr">
        <is>
          <t>יח׳</t>
        </is>
      </c>
      <c r="D93" s="15" t="n">
        <v>2</v>
      </c>
      <c r="E93" s="15" t="inlineStr">
        <is>
          <t>VERIFIED</t>
        </is>
      </c>
      <c r="F93" s="15" t="inlineStr">
        <is>
          <t>טבלת תאורה (כמויות לקבלן (סריקה 24/09/2026)) ומפרט פרק 7</t>
        </is>
      </c>
    </row>
    <row r="94">
      <c r="A94" s="15" t="inlineStr">
        <is>
          <t>07.10</t>
        </is>
      </c>
      <c r="B94" s="15" t="inlineStr">
        <is>
          <t>התקנת פס תאורה צמוד תקרה</t>
        </is>
      </c>
      <c r="C94" s="15" t="inlineStr">
        <is>
          <t>יח׳</t>
        </is>
      </c>
      <c r="D94" s="15" t="n">
        <v>9</v>
      </c>
      <c r="E94" s="15" t="inlineStr">
        <is>
          <t>VERIFIED</t>
        </is>
      </c>
      <c r="F94" s="15" t="inlineStr">
        <is>
          <t>טבלת תאורה (כמויות לקבלן (סריקה 24/09/2026)) ומפרט פרק 7</t>
        </is>
      </c>
    </row>
    <row r="95">
      <c r="A95" s="15" t="inlineStr">
        <is>
          <t>07.11</t>
        </is>
      </c>
      <c r="B95" s="15" t="inlineStr">
        <is>
          <t>נקודת הזנה לפס לד</t>
        </is>
      </c>
      <c r="C95" s="15" t="inlineStr">
        <is>
          <t>יח׳</t>
        </is>
      </c>
      <c r="D95" s="15" t="n">
        <v>25</v>
      </c>
      <c r="E95" s="15" t="inlineStr">
        <is>
          <t>VERIFIED</t>
        </is>
      </c>
      <c r="F95" s="15" t="inlineStr">
        <is>
          <t>טבלת תאורה (כמויות לקבלן (סריקה 24/09/2026)) ומפרט פרק 7</t>
        </is>
      </c>
    </row>
    <row r="96">
      <c r="A96" s="15" t="inlineStr">
        <is>
          <t>07.12</t>
        </is>
      </c>
      <c r="B96" s="15" t="inlineStr">
        <is>
          <t>התקנת גוף תאורה מוגן מים</t>
        </is>
      </c>
      <c r="C96" s="15" t="inlineStr">
        <is>
          <t>יח׳</t>
        </is>
      </c>
      <c r="D96" s="15" t="n">
        <v>8</v>
      </c>
      <c r="E96" s="15" t="inlineStr">
        <is>
          <t>VERIFIED</t>
        </is>
      </c>
      <c r="F96" s="15" t="inlineStr">
        <is>
          <t>טבלת תאורה (כמויות לקבלן (סריקה 24/09/2026)) ומפרט פרק 7</t>
        </is>
      </c>
    </row>
    <row r="97">
      <c r="A97" s="15" t="inlineStr">
        <is>
          <t>07.13</t>
        </is>
      </c>
      <c r="B97" s="15" t="inlineStr">
        <is>
          <t>התקנת גוף תאורה קירי</t>
        </is>
      </c>
      <c r="C97" s="15" t="inlineStr">
        <is>
          <t>יח׳</t>
        </is>
      </c>
      <c r="D97" s="15" t="n">
        <v>5</v>
      </c>
      <c r="E97" s="15" t="inlineStr">
        <is>
          <t>VERIFIED</t>
        </is>
      </c>
      <c r="F97" s="15" t="inlineStr">
        <is>
          <t>טבלת תאורה (כמויות לקבלן (סריקה 24/09/2026)) ומפרט פרק 7</t>
        </is>
      </c>
    </row>
    <row r="98">
      <c r="A98" s="15" t="inlineStr">
        <is>
          <t>07.14</t>
        </is>
      </c>
      <c r="B98" s="15" t="inlineStr">
        <is>
          <t>התקנת גוף תאורה שקוע בקיר</t>
        </is>
      </c>
      <c r="C98" s="15" t="inlineStr">
        <is>
          <t>יח׳</t>
        </is>
      </c>
      <c r="D98" s="15" t="n">
        <v>10</v>
      </c>
      <c r="E98" s="15" t="inlineStr">
        <is>
          <t>VERIFIED</t>
        </is>
      </c>
      <c r="F98" s="15" t="inlineStr">
        <is>
          <t>טבלת תאורה (כמויות לקבלן (סריקה 24/09/2026)) ומפרט פרק 7</t>
        </is>
      </c>
    </row>
    <row r="99">
      <c r="A99" s="15" t="inlineStr">
        <is>
          <t>07.15</t>
        </is>
      </c>
      <c r="B99" s="15" t="inlineStr">
        <is>
          <t>התקנת מאוורר תקרה משולב תאורה</t>
        </is>
      </c>
      <c r="C99" s="15" t="inlineStr">
        <is>
          <t>יח׳</t>
        </is>
      </c>
      <c r="D99" s="15" t="n">
        <v>6</v>
      </c>
      <c r="E99" s="15" t="inlineStr">
        <is>
          <t>CONFLICT</t>
        </is>
      </c>
      <c r="F99" s="15" t="inlineStr">
        <is>
          <t>סריקה: מאוורר תקרה כולל תאורה 6 בלבד; בכתב המקורי 6+6. נשאר כפי שהיה עד לאישור המתכננת</t>
        </is>
      </c>
    </row>
    <row r="100">
      <c r="A100" s="15" t="inlineStr">
        <is>
          <t>07.16</t>
        </is>
      </c>
      <c r="B100" s="15" t="inlineStr">
        <is>
          <t>התקנת מאוורר משולב תאורה, מוגן מים</t>
        </is>
      </c>
      <c r="C100" s="15" t="inlineStr">
        <is>
          <t>יח׳</t>
        </is>
      </c>
      <c r="D100" s="15" t="n">
        <v>6</v>
      </c>
      <c r="E100" s="15" t="inlineStr">
        <is>
          <t>CONFLICT</t>
        </is>
      </c>
      <c r="F100" s="15" t="inlineStr">
        <is>
          <t>סריקה: מאוורר תקרה כולל תאורה 6 בלבד; בכתב המקורי 6+6. נשאר כפי שהיה עד לאישור המתכננת</t>
        </is>
      </c>
    </row>
    <row r="101">
      <c r="A101" s="15" t="inlineStr">
        <is>
          <t>07.17</t>
        </is>
      </c>
      <c r="B101" s="15" t="inlineStr">
        <is>
          <t>התקנת ספוט צילינדר צמוד תקרה</t>
        </is>
      </c>
      <c r="C101" s="15" t="inlineStr">
        <is>
          <t>יח׳</t>
        </is>
      </c>
      <c r="D101" s="15" t="n">
        <v>111</v>
      </c>
      <c r="E101" s="15" t="inlineStr">
        <is>
          <t>CONFLICT</t>
        </is>
      </c>
      <c r="F101" s="15" t="inlineStr">
        <is>
          <t>הכתב המקורי ומפרט (עמ׳ 25): 115; סריקה ומפרט (עמ׳ 24): 111. תוקן ל-111 לפי המסמך המאוחר</t>
        </is>
      </c>
    </row>
    <row r="102">
      <c r="A102" s="15" t="inlineStr">
        <is>
          <t>07.18</t>
        </is>
      </c>
      <c r="B102" s="15" t="inlineStr">
        <is>
          <t>התקנת תאורת חירום דו־תכליתית</t>
        </is>
      </c>
      <c r="C102" s="15" t="inlineStr">
        <is>
          <t>יח׳</t>
        </is>
      </c>
      <c r="D102" s="15" t="n"/>
      <c r="E102" s="15" t="inlineStr">
        <is>
          <t>UNVERIFIED</t>
        </is>
      </c>
      <c r="F102" s="15" t="inlineStr">
        <is>
          <t>הכמות נקבעת מספירה בתוכניות חשמל/מיזוג/אינסטלציה שלא התקבלו</t>
        </is>
      </c>
    </row>
    <row r="103">
      <c r="A103" s="15" t="inlineStr">
        <is>
          <t>07.19</t>
        </is>
      </c>
      <c r="B103" s="15" t="inlineStr">
        <is>
          <t>התקנת מקבץ ספוטים „נצנצים” שקוע בגבס</t>
        </is>
      </c>
      <c r="C103" s="15" t="inlineStr">
        <is>
          <t>יח׳</t>
        </is>
      </c>
      <c r="D103" s="15" t="n">
        <v>28</v>
      </c>
      <c r="E103" s="15" t="inlineStr">
        <is>
          <t>VERIFIED</t>
        </is>
      </c>
      <c r="F103" s="15" t="inlineStr">
        <is>
          <t>טבלת תאורה (כמויות לקבלן (סריקה 24/09/2026)) ומפרט פרק 7</t>
        </is>
      </c>
    </row>
    <row r="104">
      <c r="A104" s="15" t="inlineStr">
        <is>
          <t>07.20</t>
        </is>
      </c>
      <c r="B104" s="15" t="inlineStr">
        <is>
          <t>נקודת הזנה כללית לתאורה</t>
        </is>
      </c>
      <c r="C104" s="15" t="inlineStr">
        <is>
          <t>יח׳</t>
        </is>
      </c>
      <c r="D104" s="15" t="n">
        <v>14</v>
      </c>
      <c r="E104" s="15" t="inlineStr">
        <is>
          <t>VERIFIED</t>
        </is>
      </c>
      <c r="F104" s="15" t="inlineStr">
        <is>
          <t>טבלת תאורה (כמויות לקבלן (סריקה 24/09/2026)) ומפרט פרק 7</t>
        </is>
      </c>
    </row>
    <row r="105">
      <c r="A105" s="15" t="inlineStr">
        <is>
          <t>08.01</t>
        </is>
      </c>
      <c r="B105" s="15" t="inlineStr">
        <is>
          <t>התקנת יחידת מיזוג פנימית</t>
        </is>
      </c>
      <c r="C105" s="15" t="inlineStr">
        <is>
          <t>יח׳</t>
        </is>
      </c>
      <c r="D105" s="15" t="n"/>
      <c r="E105" s="15" t="inlineStr">
        <is>
          <t>UNVERIFIED</t>
        </is>
      </c>
      <c r="F105" s="15" t="inlineStr">
        <is>
          <t>הכמות נקבעת מספירה בתוכניות חשמל/מיזוג/אינסטלציה שלא התקבלו</t>
        </is>
      </c>
    </row>
    <row r="106">
      <c r="A106" s="15" t="inlineStr">
        <is>
          <t>08.02</t>
        </is>
      </c>
      <c r="B106" s="15" t="inlineStr">
        <is>
          <t>צנרת קירור וניקוז ליחידות המיזוג</t>
        </is>
      </c>
      <c r="C106" s="15" t="inlineStr">
        <is>
          <t>מ״א</t>
        </is>
      </c>
      <c r="D106" s="15" t="n"/>
      <c r="E106" s="15" t="inlineStr">
        <is>
          <t>UNVERIFIED</t>
        </is>
      </c>
      <c r="F106" s="15" t="inlineStr">
        <is>
          <t>הכמות נקבעת מספירה בתוכניות חשמל/מיזוג/אינסטלציה שלא התקבלו</t>
        </is>
      </c>
    </row>
    <row r="107">
      <c r="A107" s="15" t="inlineStr">
        <is>
          <t>08.03</t>
        </is>
      </c>
      <c r="B107" s="15" t="inlineStr">
        <is>
          <t>בדיקות ואקום ולחץ</t>
        </is>
      </c>
      <c r="C107" s="15" t="inlineStr">
        <is>
          <t>קומפ׳</t>
        </is>
      </c>
      <c r="D107" s="15" t="n">
        <v>1</v>
      </c>
      <c r="E107" s="15" t="inlineStr">
        <is>
          <t>ORIGINAL</t>
        </is>
      </c>
      <c r="F107" s="15" t="inlineStr">
        <is>
          <t>כמות מהכתב המקורי; סכום חד־פעמי או לא ניתן לאימות מול המסמכים שהתקבלו</t>
        </is>
      </c>
    </row>
    <row r="108">
      <c r="A108" s="15" t="inlineStr">
        <is>
          <t>08.04</t>
        </is>
      </c>
      <c r="B108" s="15" t="inlineStr">
        <is>
          <t>התקנת יחידות מיזוג חיצוניות</t>
        </is>
      </c>
      <c r="C108" s="15" t="inlineStr">
        <is>
          <t>יח׳</t>
        </is>
      </c>
      <c r="D108" s="15" t="n"/>
      <c r="E108" s="15" t="inlineStr">
        <is>
          <t>UNVERIFIED</t>
        </is>
      </c>
      <c r="F108" s="15" t="inlineStr">
        <is>
          <t>הכמות נקבעת מספירה בתוכניות חשמל/מיזוג/אינסטלציה שלא התקבלו</t>
        </is>
      </c>
    </row>
    <row r="109">
      <c r="A109" s="15" t="inlineStr">
        <is>
          <t>09.01</t>
        </is>
      </c>
      <c r="B109" s="15" t="inlineStr">
        <is>
          <t>מחיצות גבס במרתף</t>
        </is>
      </c>
      <c r="C109" s="15" t="inlineStr">
        <is>
          <t>מ״ר</t>
        </is>
      </c>
      <c r="D109" s="15" t="n">
        <v>64</v>
      </c>
      <c r="E109" s="15" t="inlineStr">
        <is>
          <t>VERIFIED</t>
        </is>
      </c>
      <c r="F109" s="15" t="inlineStr">
        <is>
          <t>קירות פנים לבנייה – גבס: 64/17 (כמויות לקבלן (סריקה 24/09/2026))</t>
        </is>
      </c>
    </row>
    <row r="110">
      <c r="A110" s="15" t="inlineStr">
        <is>
          <t>09.02</t>
        </is>
      </c>
      <c r="B110" s="15" t="inlineStr">
        <is>
          <t>מחיצות גבס בקומת הקרקע</t>
        </is>
      </c>
      <c r="C110" s="15" t="inlineStr">
        <is>
          <t>מ״ר</t>
        </is>
      </c>
      <c r="D110" s="15" t="n">
        <v>17</v>
      </c>
      <c r="E110" s="15" t="inlineStr">
        <is>
          <t>VERIFIED</t>
        </is>
      </c>
      <c r="F110" s="15" t="inlineStr">
        <is>
          <t>קירות פנים לבנייה – גבס: 64/17 (כמויות לקבלן (סריקה 24/09/2026))</t>
        </is>
      </c>
    </row>
    <row r="111">
      <c r="A111" s="15" t="inlineStr">
        <is>
          <t>09.03</t>
        </is>
      </c>
      <c r="B111" s="15" t="inlineStr">
        <is>
          <t>מחיצות גבס בקומה א׳ ובגלריה</t>
        </is>
      </c>
      <c r="C111" s="15" t="inlineStr">
        <is>
          <t>מ״ר</t>
        </is>
      </c>
      <c r="D111" s="15" t="n">
        <v>52</v>
      </c>
      <c r="E111" s="15" t="inlineStr">
        <is>
          <t>CONFLICT</t>
        </is>
      </c>
      <c r="F111" s="15" t="inlineStr">
        <is>
          <t>סריקה: 52 מ"ר; טבלת מפרט פרק 9: 57 מ"ר (וסה"כ 104.5 במקום אחר). נבחר 52 – לפי הסריקה העדכנית</t>
        </is>
      </c>
    </row>
    <row r="112">
      <c r="A112" s="15" t="inlineStr">
        <is>
          <t>09.04</t>
        </is>
      </c>
      <c r="B112" s="15" t="inlineStr">
        <is>
          <t>תקרות גבס תלויות</t>
        </is>
      </c>
      <c r="C112" s="15" t="inlineStr">
        <is>
          <t>מ״ר</t>
        </is>
      </c>
      <c r="D112" s="15" t="n">
        <v>33.3</v>
      </c>
      <c r="E112" s="15" t="inlineStr">
        <is>
          <t>UNVERIFIED</t>
        </is>
      </c>
      <c r="F112" s="15" t="inlineStr">
        <is>
          <t>33.3 – ערך מקובץ חיצוני שלא התקבל; מפרט פרק 9 מציין "תקרות גבס אם נדרש"</t>
        </is>
      </c>
    </row>
    <row r="113">
      <c r="A113" s="15" t="inlineStr">
        <is>
          <t>10.01</t>
        </is>
      </c>
      <c r="B113" s="15" t="inlineStr">
        <is>
          <t>איטום רצפות חדרים רטובים</t>
        </is>
      </c>
      <c r="C113" s="15" t="inlineStr">
        <is>
          <t>מ״ר</t>
        </is>
      </c>
      <c r="D113" s="15" t="n">
        <v>40</v>
      </c>
      <c r="E113" s="15" t="inlineStr">
        <is>
          <t>VERIFIED</t>
        </is>
      </c>
      <c r="F113" s="15" t="inlineStr">
        <is>
          <t>מפרט פרק 10: 40 מ"ר רצפות ו-186 מ"ר קירות – נמסרו על ידי המזמין</t>
        </is>
      </c>
    </row>
    <row r="114">
      <c r="A114" s="15" t="inlineStr">
        <is>
          <t>10.02</t>
        </is>
      </c>
      <c r="B114" s="15" t="inlineStr">
        <is>
          <t>איטום קירות חדרים רטובים</t>
        </is>
      </c>
      <c r="C114" s="15" t="inlineStr">
        <is>
          <t>מ״ר</t>
        </is>
      </c>
      <c r="D114" s="15" t="n">
        <v>186</v>
      </c>
      <c r="E114" s="15" t="inlineStr">
        <is>
          <t>VERIFIED</t>
        </is>
      </c>
      <c r="F114" s="15" t="inlineStr">
        <is>
          <t>מפרט פרק 10: 40 מ"ר רצפות ו-186 מ"ר קירות – נמסרו על ידי המזמין</t>
        </is>
      </c>
    </row>
    <row r="115">
      <c r="A115" s="15" t="inlineStr">
        <is>
          <t>10.03</t>
        </is>
      </c>
      <c r="B115" s="15" t="inlineStr">
        <is>
          <t>בדיקות הצפה לחדרים רטובים</t>
        </is>
      </c>
      <c r="C115" s="15" t="inlineStr">
        <is>
          <t>קומפ׳</t>
        </is>
      </c>
      <c r="D115" s="15" t="n">
        <v>5</v>
      </c>
      <c r="E115" s="15" t="inlineStr">
        <is>
          <t>UNVERIFIED</t>
        </is>
      </c>
      <c r="F115" s="15" t="inlineStr">
        <is>
          <t>5 בדיקות הצפה – לא נבדק מול חדרים רטובים בתוכנית</t>
        </is>
      </c>
    </row>
    <row r="116">
      <c r="A116" s="15" t="inlineStr">
        <is>
          <t>10.04</t>
        </is>
      </c>
      <c r="B116" s="15" t="inlineStr">
        <is>
          <t>איטום מרפסות</t>
        </is>
      </c>
      <c r="C116" s="15" t="inlineStr">
        <is>
          <t>מ״ר</t>
        </is>
      </c>
      <c r="D116" s="15" t="n">
        <v>52.7</v>
      </c>
      <c r="E116" s="15" t="inlineStr">
        <is>
          <t>CALCULATED</t>
        </is>
      </c>
      <c r="F116" s="15" t="inlineStr">
        <is>
          <t>52.7 = 37+6.7+9 (מרפסות לפי סריקה); ערך נשאב בכתב המקורי מקובץ חיצוני</t>
        </is>
      </c>
    </row>
    <row r="117">
      <c r="A117" s="15" t="inlineStr">
        <is>
          <t>11.01</t>
        </is>
      </c>
      <c r="B117" s="15" t="inlineStr">
        <is>
          <t>בדיקת קונסטרוקטור למבנה הגג החשוף</t>
        </is>
      </c>
      <c r="C117" s="15" t="inlineStr">
        <is>
          <t>קומפ׳</t>
        </is>
      </c>
      <c r="D117" s="15" t="n">
        <v>1</v>
      </c>
      <c r="E117" s="15" t="inlineStr">
        <is>
          <t>VERIFIED</t>
        </is>
      </c>
      <c r="F117" s="15" t="inlineStr">
        <is>
          <t>מפרט פרק 11 סעיפים 1,5 (קומפלט)</t>
        </is>
      </c>
    </row>
    <row r="118">
      <c r="A118" s="15" t="inlineStr">
        <is>
          <t>11.02</t>
        </is>
      </c>
      <c r="B118" s="15" t="inlineStr">
        <is>
          <t>בניית פרפט חדש להסתרת שיפוע הגג</t>
        </is>
      </c>
      <c r="C118" s="15" t="inlineStr">
        <is>
          <t>מ״א</t>
        </is>
      </c>
      <c r="D118" s="15" t="n"/>
      <c r="E118" s="15" t="inlineStr">
        <is>
          <t>UNVERIFIED</t>
        </is>
      </c>
      <c r="F118" s="15" t="inlineStr">
        <is>
          <t>לפי מדידה – אין תוכנית גג/חזית בין המסמכים</t>
        </is>
      </c>
    </row>
    <row r="119">
      <c r="A119" s="15" t="inlineStr">
        <is>
          <t>11.03</t>
        </is>
      </c>
      <c r="B119" s="15" t="inlineStr">
        <is>
          <t>איטום מלא של הגג והפרפט</t>
        </is>
      </c>
      <c r="C119" s="15" t="inlineStr">
        <is>
          <t>מ״ר</t>
        </is>
      </c>
      <c r="D119" s="15" t="n"/>
      <c r="E119" s="15" t="inlineStr">
        <is>
          <t>UNVERIFIED</t>
        </is>
      </c>
      <c r="F119" s="15" t="inlineStr">
        <is>
          <t>לפי מדידה – אין תוכנית גג/חזית בין המסמכים</t>
        </is>
      </c>
    </row>
    <row r="120">
      <c r="A120" s="15" t="inlineStr">
        <is>
          <t>11.04</t>
        </is>
      </c>
      <c r="B120" s="15" t="inlineStr">
        <is>
          <t>פח קופינג עליון</t>
        </is>
      </c>
      <c r="C120" s="15" t="inlineStr">
        <is>
          <t>מ״א</t>
        </is>
      </c>
      <c r="D120" s="15" t="n"/>
      <c r="E120" s="15" t="inlineStr">
        <is>
          <t>UNVERIFIED</t>
        </is>
      </c>
      <c r="F120" s="15" t="inlineStr">
        <is>
          <t>לפי מדידה – אין תוכנית גג/חזית בין המסמכים</t>
        </is>
      </c>
    </row>
    <row r="121">
      <c r="A121" s="15" t="inlineStr">
        <is>
          <t>11.05</t>
        </is>
      </c>
      <c r="B121" s="15" t="inlineStr">
        <is>
          <t>בדיקה ושימור מערכת ניקוז קיימת</t>
        </is>
      </c>
      <c r="C121" s="15" t="inlineStr">
        <is>
          <t>קומפ׳</t>
        </is>
      </c>
      <c r="D121" s="15" t="n">
        <v>1</v>
      </c>
      <c r="E121" s="15" t="inlineStr">
        <is>
          <t>VERIFIED</t>
        </is>
      </c>
      <c r="F121" s="15" t="inlineStr">
        <is>
          <t>מפרט פרק 11 סעיפים 1,5 (קומפלט)</t>
        </is>
      </c>
    </row>
    <row r="122">
      <c r="A122" s="15" t="inlineStr">
        <is>
          <t>12.01</t>
        </is>
      </c>
      <c r="B122" s="15" t="inlineStr">
        <is>
          <t>התקנת אדני חלונות פנימיים</t>
        </is>
      </c>
      <c r="C122" s="15" t="inlineStr">
        <is>
          <t>מ״א</t>
        </is>
      </c>
      <c r="D122" s="15" t="n">
        <v>33.23</v>
      </c>
      <c r="E122" s="15" t="inlineStr">
        <is>
          <t>UNVERIFIED</t>
        </is>
      </c>
      <c r="F122" s="15" t="inlineStr">
        <is>
          <t>אין בסיס כמותי בין המסמכים שהתקבלו (רשימת פתחים / פיתוח / קונסטרוקציה)</t>
        </is>
      </c>
    </row>
    <row r="123">
      <c r="A123" s="15" t="inlineStr">
        <is>
          <t>12.02</t>
        </is>
      </c>
      <c r="B123" s="15" t="inlineStr">
        <is>
          <t>התקנת ספי חלונות חיצוניים</t>
        </is>
      </c>
      <c r="C123" s="15" t="inlineStr">
        <is>
          <t>מ״א</t>
        </is>
      </c>
      <c r="D123" s="15" t="n">
        <v>35</v>
      </c>
      <c r="E123" s="15" t="inlineStr">
        <is>
          <t>UNVERIFIED</t>
        </is>
      </c>
      <c r="F123" s="15" t="inlineStr">
        <is>
          <t>אין בסיס כמותי בין המסמכים שהתקבלו (רשימת פתחים / פיתוח / קונסטרוקציה)</t>
        </is>
      </c>
    </row>
    <row r="124">
      <c r="A124" s="15" t="inlineStr">
        <is>
          <t>12.03</t>
        </is>
      </c>
      <c r="B124" s="15" t="inlineStr">
        <is>
          <t>התקנת ספי דלתות</t>
        </is>
      </c>
      <c r="C124" s="15" t="inlineStr">
        <is>
          <t>מ״א</t>
        </is>
      </c>
      <c r="D124" s="15" t="n">
        <v>19</v>
      </c>
      <c r="E124" s="15" t="inlineStr">
        <is>
          <t>UNVERIFIED</t>
        </is>
      </c>
      <c r="F124" s="15" t="inlineStr">
        <is>
          <t>אין בסיס כמותי בין המסמכים שהתקבלו (רשימת פתחים / פיתוח / קונסטרוקציה)</t>
        </is>
      </c>
    </row>
    <row r="125">
      <c r="A125" s="15" t="inlineStr">
        <is>
          <t>12.04</t>
        </is>
      </c>
      <c r="B125" s="15" t="inlineStr">
        <is>
          <t>איטום סביב אדנים וספים</t>
        </is>
      </c>
      <c r="C125" s="15" t="inlineStr">
        <is>
          <t>מ״א</t>
        </is>
      </c>
      <c r="D125" s="15" t="n">
        <v>125.62</v>
      </c>
      <c r="E125" s="15" t="inlineStr">
        <is>
          <t>UNVERIFIED</t>
        </is>
      </c>
      <c r="F125" s="15" t="inlineStr">
        <is>
          <t>אין בסיס כמותי בין המסמכים שהתקבלו (רשימת פתחים / פיתוח / קונסטרוקציה)</t>
        </is>
      </c>
    </row>
    <row r="126">
      <c r="A126" s="15" t="inlineStr">
        <is>
          <t>13.01</t>
        </is>
      </c>
      <c r="B126" s="15" t="inlineStr">
        <is>
          <t>ריצוף פנים באריחים 120×120 ס״מ, כולל רצפות מקלחות</t>
        </is>
      </c>
      <c r="C126" s="15" t="inlineStr">
        <is>
          <t>מ״ר</t>
        </is>
      </c>
      <c r="D126" s="15" t="n">
        <v>219.9</v>
      </c>
      <c r="E126" s="15" t="inlineStr">
        <is>
          <t>CALCULATED</t>
        </is>
      </c>
      <c r="F126" s="15" t="inlineStr">
        <is>
          <t>219.9 = 191 (84+42+41+24) + 28.9 (4.5+3.1+5.7+5.1+2.5+3+5) – לפי פירוט במפרט פרק 13 ובסריקה</t>
        </is>
      </c>
    </row>
    <row r="127">
      <c r="A127" s="15" t="inlineStr">
        <is>
          <t>13.02</t>
        </is>
      </c>
      <c r="B127" s="15" t="inlineStr">
        <is>
          <t>ריצוף פנים במרתף באריחים 120×60 ס״מ</t>
        </is>
      </c>
      <c r="C127" s="15" t="inlineStr">
        <is>
          <t>מ״ר</t>
        </is>
      </c>
      <c r="D127" s="15" t="n">
        <v>105</v>
      </c>
      <c r="E127" s="15" t="inlineStr">
        <is>
          <t>VERIFIED</t>
        </is>
      </c>
      <c r="F127" s="15" t="inlineStr">
        <is>
          <t>105 – ריצוף כללי מרתף (סריקה, מפרט)</t>
        </is>
      </c>
    </row>
    <row r="128">
      <c r="A128" s="15" t="inlineStr">
        <is>
          <t>13.03</t>
        </is>
      </c>
      <c r="B128" s="15" t="inlineStr">
        <is>
          <t>חיפוי קירות מקלחות באריחים 120×60 ס״מ</t>
        </is>
      </c>
      <c r="C128" s="15" t="inlineStr">
        <is>
          <t>מ״ר</t>
        </is>
      </c>
      <c r="D128" s="15" t="n">
        <v>121.2</v>
      </c>
      <c r="E128" s="15" t="inlineStr">
        <is>
          <t>CALCULATED</t>
        </is>
      </c>
      <c r="F128" s="15" t="inlineStr">
        <is>
          <t>121.2 = 21.9+11.9+22+15.5+13.3+13.7+22.9 – לפי פירוט במפרט פרק 13</t>
        </is>
      </c>
    </row>
    <row r="129">
      <c r="A129" s="15" t="inlineStr">
        <is>
          <t>13.04</t>
        </is>
      </c>
      <c r="B129" s="15" t="inlineStr">
        <is>
          <t>התקנת פנלים</t>
        </is>
      </c>
      <c r="C129" s="15" t="inlineStr">
        <is>
          <t>מ״א</t>
        </is>
      </c>
      <c r="D129" s="15" t="n">
        <v>285</v>
      </c>
      <c r="E129" s="15" t="inlineStr">
        <is>
          <t>VERIFIED</t>
        </is>
      </c>
      <c r="F129" s="15" t="inlineStr">
        <is>
          <t>285 מ"א – מפרט פרק 13 סעיף 4. יחידה אוחדה ל-מ״א</t>
        </is>
      </c>
    </row>
    <row r="130">
      <c r="A130" s="15" t="inlineStr">
        <is>
          <t>13.05</t>
        </is>
      </c>
      <c r="B130" s="15" t="inlineStr">
        <is>
          <t>ריצוף חוץ ומרפסות באריחים 120×60 ס״מ, R11</t>
        </is>
      </c>
      <c r="C130" s="15" t="inlineStr">
        <is>
          <t>מ״ר</t>
        </is>
      </c>
      <c r="D130" s="15" t="n">
        <v>263.7</v>
      </c>
      <c r="E130" s="15" t="inlineStr">
        <is>
          <t>CALCULATED</t>
        </is>
      </c>
      <c r="F130" s="15" t="inlineStr">
        <is>
          <t>263.7 = 9+6.7+48+46+37+92+25 – לפי פירוט במפרט פרק 13; בריכה בנפרד (43 מ"ר)</t>
        </is>
      </c>
    </row>
    <row r="131">
      <c r="A131" s="15" t="inlineStr">
        <is>
          <t>13.07</t>
        </is>
      </c>
      <c r="B131" s="15" t="inlineStr">
        <is>
          <t>חיפוי מדרגות פנים (שלח ורום)</t>
        </is>
      </c>
      <c r="C131" s="15" t="inlineStr">
        <is>
          <t>מ״א</t>
        </is>
      </c>
      <c r="D131" s="15" t="n">
        <v>50</v>
      </c>
      <c r="E131" s="15" t="inlineStr">
        <is>
          <t>UNVERIFIED</t>
        </is>
      </c>
      <c r="F131" s="15" t="inlineStr">
        <is>
          <t>לא נמצא חישוב. במפרט: 54.975 מ"ר הוא תוספת פחת של 25% על ריצוף – לא קשור למדרגות</t>
        </is>
      </c>
    </row>
    <row r="132">
      <c r="A132" s="15" t="inlineStr">
        <is>
          <t>14.01</t>
        </is>
      </c>
      <c r="B132" s="15" t="inlineStr">
        <is>
          <t>הכנת תשתית וטיח צבעוני לחזיתות הבית</t>
        </is>
      </c>
      <c r="C132" s="15" t="inlineStr">
        <is>
          <t>מ״ר</t>
        </is>
      </c>
      <c r="D132" s="15" t="n">
        <v>225</v>
      </c>
      <c r="E132" s="15" t="inlineStr">
        <is>
          <t>VERIFIED</t>
        </is>
      </c>
      <c r="F132" s="15" t="inlineStr">
        <is>
          <t>225 מ"ר – שליכט חיצוני כל הבית (סריקה) ומפרט פרק 14</t>
        </is>
      </c>
    </row>
    <row r="133">
      <c r="A133" s="15" t="inlineStr">
        <is>
          <t>14.02</t>
        </is>
      </c>
      <c r="B133" s="15" t="inlineStr">
        <is>
          <t>טיח וגמר צבעוני לפרפט הגג</t>
        </is>
      </c>
      <c r="C133" s="15" t="inlineStr">
        <is>
          <t>קומפ׳</t>
        </is>
      </c>
      <c r="D133" s="15" t="n">
        <v>1</v>
      </c>
      <c r="E133" s="15" t="inlineStr">
        <is>
          <t>ORIGINAL</t>
        </is>
      </c>
      <c r="F133" s="15" t="inlineStr">
        <is>
          <t>כמות מהכתב המקורי; סכום חד־פעמי או לא ניתן לאימות מול המסמכים שהתקבלו</t>
        </is>
      </c>
    </row>
    <row r="134">
      <c r="A134" s="15" t="inlineStr">
        <is>
          <t>14.03</t>
        </is>
      </c>
      <c r="B134" s="15" t="inlineStr">
        <is>
          <t>דוגמת גוון ומרקם לאישור</t>
        </is>
      </c>
      <c r="C134" s="15" t="inlineStr">
        <is>
          <t>קומפ׳</t>
        </is>
      </c>
      <c r="D134" s="15" t="n">
        <v>1</v>
      </c>
      <c r="E134" s="15" t="inlineStr">
        <is>
          <t>ORIGINAL</t>
        </is>
      </c>
      <c r="F134" s="15" t="inlineStr">
        <is>
          <t>כמות מהכתב המקורי; סכום חד־פעמי או לא ניתן לאימות מול המסמכים שהתקבלו</t>
        </is>
      </c>
    </row>
    <row r="135">
      <c r="A135" s="15" t="inlineStr">
        <is>
          <t>15.01</t>
        </is>
      </c>
      <c r="B135" s="15" t="inlineStr">
        <is>
          <t>תיקוני טיח, שפכטל וצבע פנים – מרתף</t>
        </is>
      </c>
      <c r="C135" s="15" t="inlineStr">
        <is>
          <t>מ״ר</t>
        </is>
      </c>
      <c r="D135" s="15" t="n">
        <v>254</v>
      </c>
      <c r="E135" s="15" t="inlineStr">
        <is>
          <t>VERIFIED</t>
        </is>
      </c>
      <c r="F135" s="15" t="inlineStr">
        <is>
          <t>254/118/204 מ"ר – שפכטל וצבע (סריקה; מפרט פרק 15 סעיפים 1–3). בפתיח המפרט נכתב 579/228/175/176 – לא תואם</t>
        </is>
      </c>
    </row>
    <row r="136">
      <c r="A136" s="15" t="inlineStr">
        <is>
          <t>15.02</t>
        </is>
      </c>
      <c r="B136" s="15" t="inlineStr">
        <is>
          <t>תיקוני טיח, שפכטל וצבע פנים – קרקע</t>
        </is>
      </c>
      <c r="C136" s="15" t="inlineStr">
        <is>
          <t>מ״ר</t>
        </is>
      </c>
      <c r="D136" s="15" t="n">
        <v>118</v>
      </c>
      <c r="E136" s="15" t="inlineStr">
        <is>
          <t>VERIFIED</t>
        </is>
      </c>
      <c r="F136" s="15" t="inlineStr">
        <is>
          <t>254/118/204 מ"ר – שפכטל וצבע (סריקה; מפרט פרק 15 סעיפים 1–3). בפתיח המפרט נכתב 579/228/175/176 – לא תואם</t>
        </is>
      </c>
    </row>
    <row r="137">
      <c r="A137" s="15" t="inlineStr">
        <is>
          <t>15.03</t>
        </is>
      </c>
      <c r="B137" s="15" t="inlineStr">
        <is>
          <t>תיקוני טיח, שפכטל וצבע פנים – קומה א׳</t>
        </is>
      </c>
      <c r="C137" s="15" t="inlineStr">
        <is>
          <t>מ״ר</t>
        </is>
      </c>
      <c r="D137" s="15" t="n">
        <v>204</v>
      </c>
      <c r="E137" s="15" t="inlineStr">
        <is>
          <t>VERIFIED</t>
        </is>
      </c>
      <c r="F137" s="15" t="inlineStr">
        <is>
          <t>254/118/204 מ"ר – שפכטל וצבע (סריקה; מפרט פרק 15 סעיפים 1–3). בפתיח המפרט נכתב 579/228/175/176 – לא תואם</t>
        </is>
      </c>
    </row>
    <row r="138">
      <c r="A138" s="15" t="inlineStr">
        <is>
          <t>16.01</t>
        </is>
      </c>
      <c r="B138" s="15" t="inlineStr">
        <is>
          <t>פריטי אלומיניום לפי רשימת הפתחים</t>
        </is>
      </c>
      <c r="C138" s="15" t="inlineStr">
        <is>
          <t>יח׳</t>
        </is>
      </c>
      <c r="D138" s="15" t="n">
        <v>26</v>
      </c>
      <c r="E138" s="15" t="inlineStr">
        <is>
          <t>VERIFIED</t>
        </is>
      </c>
      <c r="F138" s="15" t="inlineStr">
        <is>
          <t>מפרט פרק 16: 26/10/3/1</t>
        </is>
      </c>
    </row>
    <row r="139">
      <c r="A139" s="15" t="inlineStr">
        <is>
          <t>16.02</t>
        </is>
      </c>
      <c r="B139" s="15" t="inlineStr">
        <is>
          <t xml:space="preserve">דלתות פנים </t>
        </is>
      </c>
      <c r="C139" s="15" t="inlineStr">
        <is>
          <t>יח׳</t>
        </is>
      </c>
      <c r="D139" s="15" t="n">
        <v>10</v>
      </c>
      <c r="E139" s="15" t="inlineStr">
        <is>
          <t>VERIFIED</t>
        </is>
      </c>
      <c r="F139" s="15" t="inlineStr">
        <is>
          <t>מפרט פרק 16: 26/10/3/1</t>
        </is>
      </c>
    </row>
    <row r="140">
      <c r="A140" s="15" t="inlineStr">
        <is>
          <t>16.03</t>
        </is>
      </c>
      <c r="B140" s="15" t="inlineStr">
        <is>
          <t>דלתות כניסה במרתף</t>
        </is>
      </c>
      <c r="C140" s="15" t="inlineStr">
        <is>
          <t>יח׳</t>
        </is>
      </c>
      <c r="D140" s="15" t="n">
        <v>3</v>
      </c>
      <c r="E140" s="15" t="inlineStr">
        <is>
          <t>VERIFIED</t>
        </is>
      </c>
      <c r="F140" s="15" t="inlineStr">
        <is>
          <t>מפרט פרק 16: 26/10/3/1</t>
        </is>
      </c>
    </row>
    <row r="141">
      <c r="A141" s="15" t="inlineStr">
        <is>
          <t>16.04</t>
        </is>
      </c>
      <c r="B141" s="15" t="inlineStr">
        <is>
          <t>דלת כניסה ראשית בקומת הקרקע</t>
        </is>
      </c>
      <c r="C141" s="15" t="inlineStr">
        <is>
          <t>יח׳</t>
        </is>
      </c>
      <c r="D141" s="15" t="n">
        <v>1</v>
      </c>
      <c r="E141" s="15" t="inlineStr">
        <is>
          <t>VERIFIED</t>
        </is>
      </c>
      <c r="F141" s="15" t="inlineStr">
        <is>
          <t>מפרט פרק 16: 26/10/3/1</t>
        </is>
      </c>
    </row>
    <row r="142">
      <c r="A142" s="15" t="inlineStr">
        <is>
          <t>16.05</t>
        </is>
      </c>
      <c r="B142" s="15" t="inlineStr">
        <is>
          <t>שער כניסה חשמלי לרכב</t>
        </is>
      </c>
      <c r="C142" s="15" t="inlineStr">
        <is>
          <t>קומפ׳</t>
        </is>
      </c>
      <c r="D142" s="15" t="n">
        <v>1</v>
      </c>
      <c r="E142" s="15" t="inlineStr">
        <is>
          <t>ORIGINAL</t>
        </is>
      </c>
      <c r="F142" s="15" t="inlineStr">
        <is>
          <t>כמות מהכתב המקורי; סכום חד־פעמי או לא ניתן לאימות מול המסמכים שהתקבלו</t>
        </is>
      </c>
    </row>
    <row r="143">
      <c r="A143" s="15" t="inlineStr">
        <is>
          <t>16.06</t>
        </is>
      </c>
      <c r="B143" s="15" t="inlineStr">
        <is>
          <t>שער פילר חשמלי</t>
        </is>
      </c>
      <c r="C143" s="15" t="inlineStr">
        <is>
          <t>קומפ׳</t>
        </is>
      </c>
      <c r="D143" s="15" t="n">
        <v>1</v>
      </c>
      <c r="E143" s="15" t="inlineStr">
        <is>
          <t>ORIGINAL</t>
        </is>
      </c>
      <c r="F143" s="15" t="inlineStr">
        <is>
          <t>כמות מהכתב המקורי; סכום חד־פעמי או לא ניתן לאימות מול המסמכים שהתקבלו</t>
        </is>
      </c>
    </row>
    <row r="144">
      <c r="A144" s="15" t="inlineStr">
        <is>
          <t>16.07</t>
        </is>
      </c>
      <c r="B144" s="15" t="inlineStr">
        <is>
          <t>שער למתחם פחי אשפה</t>
        </is>
      </c>
      <c r="C144" s="15" t="inlineStr">
        <is>
          <t>קומפ׳</t>
        </is>
      </c>
      <c r="D144" s="15" t="n">
        <v>1</v>
      </c>
      <c r="E144" s="15" t="inlineStr">
        <is>
          <t>ORIGINAL</t>
        </is>
      </c>
      <c r="F144" s="15" t="inlineStr">
        <is>
          <t>כמות מהכתב המקורי; סכום חד־פעמי או לא ניתן לאימות מול המסמכים שהתקבלו</t>
        </is>
      </c>
    </row>
    <row r="145">
      <c r="A145" s="15" t="inlineStr">
        <is>
          <t>16.09</t>
        </is>
      </c>
      <c r="B145" s="15" t="inlineStr">
        <is>
          <t>תריסים חשמליים</t>
        </is>
      </c>
      <c r="C145" s="15" t="inlineStr">
        <is>
          <t>יח׳</t>
        </is>
      </c>
      <c r="D145" s="15" t="n">
        <v>18</v>
      </c>
      <c r="E145" s="15" t="inlineStr">
        <is>
          <t>UNVERIFIED</t>
        </is>
      </c>
      <c r="F145" s="15" t="inlineStr">
        <is>
          <t>אין בסיס כמותי בין המסמכים שהתקבלו (רשימת פתחים / פיתוח / קונסטרוקציה)</t>
        </is>
      </c>
    </row>
    <row r="146">
      <c r="A146" s="15" t="inlineStr">
        <is>
          <t>17.01</t>
        </is>
      </c>
      <c r="B146" s="15" t="inlineStr">
        <is>
          <t>עבודות עפר ופילוס שטחי הפיתוח</t>
        </is>
      </c>
      <c r="C146" s="15" t="inlineStr">
        <is>
          <t>מ״ר</t>
        </is>
      </c>
      <c r="D146" s="15" t="n">
        <v>65</v>
      </c>
      <c r="E146" s="15" t="inlineStr">
        <is>
          <t>UNVERIFIED</t>
        </is>
      </c>
      <c r="F146" s="15" t="inlineStr">
        <is>
          <t>אין בסיס כמותי בין המסמכים שהתקבלו (רשימת פתחים / פיתוח / קונסטרוקציה)</t>
        </is>
      </c>
    </row>
    <row r="147">
      <c r="A147" s="15" t="inlineStr">
        <is>
          <t>17.02</t>
        </is>
      </c>
      <c r="B147" s="15" t="inlineStr">
        <is>
          <t>מערכת ניקוז מי נגר</t>
        </is>
      </c>
      <c r="C147" s="15" t="inlineStr">
        <is>
          <t>קומפ׳</t>
        </is>
      </c>
      <c r="D147" s="15" t="n">
        <v>1</v>
      </c>
      <c r="E147" s="15" t="inlineStr">
        <is>
          <t>ORIGINAL</t>
        </is>
      </c>
      <c r="F147" s="15" t="inlineStr">
        <is>
          <t>כמות מהכתב המקורי; סכום חד־פעמי או לא ניתן לאימות מול המסמכים שהתקבלו</t>
        </is>
      </c>
    </row>
    <row r="148">
      <c r="A148" s="15" t="inlineStr">
        <is>
          <t>17.04</t>
        </is>
      </c>
      <c r="B148" s="15" t="inlineStr">
        <is>
          <t>גינון, מערכת השקיה אוטומטית וברזי גינה</t>
        </is>
      </c>
      <c r="C148" s="15" t="inlineStr">
        <is>
          <t>קומפ׳</t>
        </is>
      </c>
      <c r="D148" s="15" t="n">
        <v>1</v>
      </c>
      <c r="E148" s="15" t="inlineStr">
        <is>
          <t>ORIGINAL</t>
        </is>
      </c>
      <c r="F148" s="15" t="inlineStr">
        <is>
          <t>כמות מהכתב המקורי; סכום חד־פעמי או לא ניתן לאימות מול המסמכים שהתקבלו</t>
        </is>
      </c>
    </row>
    <row r="149">
      <c r="A149" s="15" t="inlineStr">
        <is>
          <t>17.05</t>
        </is>
      </c>
      <c r="B149" s="15" t="inlineStr">
        <is>
          <t>תאורת גן כולל חיבור חשמלי</t>
        </is>
      </c>
      <c r="C149" s="15" t="inlineStr">
        <is>
          <t>קומפ׳</t>
        </is>
      </c>
      <c r="D149" s="15" t="n">
        <v>1</v>
      </c>
      <c r="E149" s="15" t="inlineStr">
        <is>
          <t>ORIGINAL</t>
        </is>
      </c>
      <c r="F149" s="15" t="inlineStr">
        <is>
          <t>כמות מהכתב המקורי; סכום חד־פעמי או לא ניתן לאימות מול המסמכים שהתקבלו</t>
        </is>
      </c>
    </row>
    <row r="150">
      <c r="A150" s="15" t="inlineStr">
        <is>
          <t>18.01</t>
        </is>
      </c>
      <c r="B150" s="15" t="inlineStr">
        <is>
          <t>תשתית צנרת ושרוולים לתקשורת, מיגון ושמע – כל הקומות</t>
        </is>
      </c>
      <c r="C150" s="15" t="inlineStr">
        <is>
          <t>קומפ׳</t>
        </is>
      </c>
      <c r="D150" s="15" t="n">
        <v>1</v>
      </c>
      <c r="E150" s="15" t="inlineStr">
        <is>
          <t>ORIGINAL</t>
        </is>
      </c>
      <c r="F150" s="15" t="inlineStr">
        <is>
          <t>כמות מהכתב המקורי; סכום חד־פעמי או לא ניתן לאימות מול המסמכים שהתקבלו</t>
        </is>
      </c>
    </row>
    <row r="151">
      <c r="A151" s="15" t="inlineStr">
        <is>
          <t>18.02</t>
        </is>
      </c>
      <c r="B151" s="15" t="inlineStr">
        <is>
          <t>מיקום ומארז ללוח תקשורת מרכזי</t>
        </is>
      </c>
      <c r="C151" s="15" t="inlineStr">
        <is>
          <t>קומפ׳</t>
        </is>
      </c>
      <c r="D151" s="15" t="n">
        <v>1</v>
      </c>
      <c r="E151" s="15" t="inlineStr">
        <is>
          <t>ORIGINAL</t>
        </is>
      </c>
      <c r="F151" s="15" t="inlineStr">
        <is>
          <t>כמות מהכתב המקורי; סכום חד־פעמי או לא ניתן לאימות מול המסמכים שהתקבלו</t>
        </is>
      </c>
    </row>
    <row r="152">
      <c r="A152" s="15" t="inlineStr">
        <is>
          <t>18.03</t>
        </is>
      </c>
      <c r="B152" s="15" t="inlineStr">
        <is>
          <t>חיבור אינטרקום השער ללוח הפנימי</t>
        </is>
      </c>
      <c r="C152" s="15" t="inlineStr">
        <is>
          <t>קומפ׳</t>
        </is>
      </c>
      <c r="D152" s="15" t="n">
        <v>1</v>
      </c>
      <c r="E152" s="15" t="inlineStr">
        <is>
          <t>ORIGINAL</t>
        </is>
      </c>
      <c r="F152" s="15" t="inlineStr">
        <is>
          <t>כמות מהכתב המקורי; סכום חד־פעמי או לא ניתן לאימות מול המסמכים שהתקבלו</t>
        </is>
      </c>
    </row>
    <row r="153">
      <c r="A153" s="15" t="inlineStr">
        <is>
          <t>18.04</t>
        </is>
      </c>
      <c r="B153" s="15" t="inlineStr">
        <is>
          <t>בדיקות רציפות לתשתיות</t>
        </is>
      </c>
      <c r="C153" s="15" t="inlineStr">
        <is>
          <t>קומפ׳</t>
        </is>
      </c>
      <c r="D153" s="15" t="n">
        <v>1</v>
      </c>
      <c r="E153" s="15" t="inlineStr">
        <is>
          <t>ORIGINAL</t>
        </is>
      </c>
      <c r="F153" s="15" t="inlineStr">
        <is>
          <t>כמות מהכתב המקורי; סכום חד־פעמי או לא ניתן לאימות מול המסמכים שהתקבלו</t>
        </is>
      </c>
    </row>
    <row r="154">
      <c r="A154" s="15" t="inlineStr">
        <is>
          <t>18.05</t>
        </is>
      </c>
      <c r="B154" s="15" t="inlineStr">
        <is>
          <t>נקודות תקשורת (טלוויזיה, טלפון/אינטרקום, אינטרנט)</t>
        </is>
      </c>
      <c r="C154" s="15" t="inlineStr">
        <is>
          <t>נק׳</t>
        </is>
      </c>
      <c r="D154" s="15" t="n"/>
      <c r="E154" s="15" t="inlineStr">
        <is>
          <t>UNVERIFIED</t>
        </is>
      </c>
      <c r="F154" s="15" t="inlineStr">
        <is>
          <t>הכמות נקבעת מספירה בתוכניות חשמל/מיזוג/אינסטלציה שלא התקבלו</t>
        </is>
      </c>
    </row>
    <row r="155">
      <c r="A155" s="15" t="inlineStr">
        <is>
          <t>21.01</t>
        </is>
      </c>
      <c r="B155" s="15" t="inlineStr">
        <is>
          <t>בריכת שחייה 8.43×3.40×1.60 מ׳ – קומפלט</t>
        </is>
      </c>
      <c r="C155" s="15" t="inlineStr">
        <is>
          <t>קומפ׳</t>
        </is>
      </c>
      <c r="D155" s="15" t="n">
        <v>1</v>
      </c>
      <c r="E155" s="15" t="inlineStr">
        <is>
          <t>VERIFIED</t>
        </is>
      </c>
      <c r="F155" s="15" t="inlineStr">
        <is>
          <t>מפרט פרק 21 סעיפים 1–2</t>
        </is>
      </c>
    </row>
    <row r="156">
      <c r="A156" s="15" t="inlineStr">
        <is>
          <t>21.02</t>
        </is>
      </c>
      <c r="B156" s="15" t="inlineStr">
        <is>
          <t>חיבור תשתית מים וחשמל לבריכה</t>
        </is>
      </c>
      <c r="C156" s="15" t="inlineStr">
        <is>
          <t>קומפ׳</t>
        </is>
      </c>
      <c r="D156" s="15" t="n">
        <v>1</v>
      </c>
      <c r="E156" s="15" t="inlineStr">
        <is>
          <t>VERIFIED</t>
        </is>
      </c>
      <c r="F156" s="15" t="inlineStr">
        <is>
          <t>מפרט פרק 21 סעיפים 1–2</t>
        </is>
      </c>
    </row>
    <row r="157">
      <c r="A157" s="15" t="inlineStr">
        <is>
          <t>21.03</t>
        </is>
      </c>
      <c r="B157" s="15" t="inlineStr">
        <is>
          <t>גידור בטיחות היקפי לבריכה</t>
        </is>
      </c>
      <c r="C157" s="15" t="inlineStr">
        <is>
          <t>מ״א</t>
        </is>
      </c>
      <c r="D157" s="15" t="n">
        <v>23.66</v>
      </c>
      <c r="E157" s="15" t="inlineStr">
        <is>
          <t>CALCULATED</t>
        </is>
      </c>
      <c r="F157" s="15" t="inlineStr">
        <is>
          <t>2×(8.43+3.40)=23.66 – הנחה: גידור מלא בהיקף</t>
        </is>
      </c>
    </row>
    <row r="158">
      <c r="A158" s="15" t="inlineStr">
        <is>
          <t>21.04</t>
        </is>
      </c>
      <c r="B158" s="15" t="inlineStr">
        <is>
          <t>ריצוף וחיפוי בריכה כולל דפנות, R11 120×60</t>
        </is>
      </c>
      <c r="C158" s="15" t="inlineStr">
        <is>
          <t>מ״ר</t>
        </is>
      </c>
      <c r="D158" s="15" t="n">
        <v>43</v>
      </c>
      <c r="E158" s="15" t="inlineStr">
        <is>
          <t>VERIFIED</t>
        </is>
      </c>
      <c r="F158" s="15" t="inlineStr">
        <is>
          <t>43 מ"ר – מפרט פרק 13 וסריקה (ריצוף בריכה כולל דפנות)</t>
        </is>
      </c>
    </row>
  </sheetData>
  <autoFilter ref="A1:F15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rightToLeft="1" workbookViewId="0">
      <pane ySplit="1" topLeftCell="A2" activePane="bottomLeft" state="frozen"/>
      <selection pane="bottomLeft" activeCell="A1" sqref="A1"/>
    </sheetView>
  </sheetViews>
  <sheetFormatPr baseColWidth="8" defaultRowHeight="15"/>
  <cols>
    <col width="5" customWidth="1" min="1" max="1"/>
    <col width="10" customWidth="1" min="2" max="2"/>
    <col width="16" customWidth="1" min="3" max="3"/>
    <col width="80" customWidth="1" min="4" max="4"/>
    <col width="14" customWidth="1" min="5" max="5"/>
    <col width="36" customWidth="1" min="6" max="6"/>
  </cols>
  <sheetData>
    <row r="1">
      <c r="A1" s="14" t="inlineStr">
        <is>
          <t>#</t>
        </is>
      </c>
      <c r="B1" s="14" t="inlineStr">
        <is>
          <t>חומרה</t>
        </is>
      </c>
      <c r="C1" s="14" t="inlineStr">
        <is>
          <t>סעיף</t>
        </is>
      </c>
      <c r="D1" s="14" t="inlineStr">
        <is>
          <t>ממצא</t>
        </is>
      </c>
      <c r="E1" s="14" t="inlineStr">
        <is>
          <t>סיווג</t>
        </is>
      </c>
      <c r="F1" s="14" t="inlineStr">
        <is>
          <t>פעולה נדרשת</t>
        </is>
      </c>
    </row>
    <row r="2">
      <c r="A2" s="15" t="n">
        <v>1</v>
      </c>
      <c r="B2" s="15" t="inlineStr">
        <is>
          <t>גבוהה</t>
        </is>
      </c>
      <c r="C2" s="15" t="inlineStr">
        <is>
          <t>11, 21</t>
        </is>
      </c>
      <c r="D2" s="15" t="inlineStr">
        <is>
          <t>פרקי גג ופרפט ובריכה קיימים במפרט (נספרו בכתב המקורי כחסרים). נוספו עם כמויות ריקות/לפי מפרט</t>
        </is>
      </c>
      <c r="E2" s="15" t="inlineStr">
        <is>
          <t>CONFLICT</t>
        </is>
      </c>
      <c r="F2" s="15" t="inlineStr">
        <is>
          <t>לאשר שהם בהיקף הקבלן. אחרת למחוק את הפרקים</t>
        </is>
      </c>
    </row>
    <row r="3">
      <c r="A3" s="15" t="n">
        <v>2</v>
      </c>
      <c r="B3" s="15" t="inlineStr">
        <is>
          <t>גבוהה</t>
        </is>
      </c>
      <c r="C3" s="15" t="inlineStr">
        <is>
          <t>פרק 20</t>
        </is>
      </c>
      <c r="D3" s="15" t="inlineStr">
        <is>
          <t>נגרות (מטבחים, ארונות רחצה, הלבשה): במפרט כתוב שלא התקבלו תוכניות. לא נוסף סעיף</t>
        </is>
      </c>
      <c r="E3" s="15" t="inlineStr">
        <is>
          <t>UNVERIFIED</t>
        </is>
      </c>
      <c r="F3" s="15" t="inlineStr">
        <is>
          <t>יש להחריג בהצעה במפורש</t>
        </is>
      </c>
    </row>
    <row r="4">
      <c r="A4" s="15" t="n">
        <v>3</v>
      </c>
      <c r="B4" s="15" t="inlineStr">
        <is>
          <t>גבוהה</t>
        </is>
      </c>
      <c r="C4" s="15" t="inlineStr">
        <is>
          <t>07.17</t>
        </is>
      </c>
      <c r="D4" s="15" t="inlineStr">
        <is>
          <t>115 מול 111 – תוקן ל-111 (סריקה 24/09/2026)</t>
        </is>
      </c>
      <c r="E4" s="15" t="inlineStr">
        <is>
          <t>CONFLICT</t>
        </is>
      </c>
      <c r="F4" s="15" t="inlineStr">
        <is>
          <t>אישור המתכננת</t>
        </is>
      </c>
    </row>
    <row r="5">
      <c r="A5" s="15" t="n">
        <v>4</v>
      </c>
      <c r="B5" s="15" t="inlineStr">
        <is>
          <t>גבוהה</t>
        </is>
      </c>
      <c r="C5" s="15" t="inlineStr">
        <is>
          <t>02.02</t>
        </is>
      </c>
      <c r="D5" s="15" t="inlineStr">
        <is>
          <t>קרקע 51 מ"ר (סריקה, טבלה) מול 86 מ"ר (פתיח המפרט; סה"כ 233 מול 198)</t>
        </is>
      </c>
      <c r="E5" s="15" t="inlineStr">
        <is>
          <t>CONFLICT</t>
        </is>
      </c>
      <c r="F5" s="15" t="inlineStr">
        <is>
          <t>אימות מול תוכנית הריסה</t>
        </is>
      </c>
    </row>
    <row r="6">
      <c r="A6" s="15" t="n">
        <v>5</v>
      </c>
      <c r="B6" s="15" t="inlineStr">
        <is>
          <t>גבוהה</t>
        </is>
      </c>
      <c r="C6" s="15" t="inlineStr">
        <is>
          <t>09.03</t>
        </is>
      </c>
      <c r="D6" s="15" t="inlineStr">
        <is>
          <t>52 מ"ר (סריקה) מול 57 מ"ר (טבלת מפרט). קיימים גם 104.5 ו-58/10.5/36 בטקסט המפרט</t>
        </is>
      </c>
      <c r="E6" s="15" t="inlineStr">
        <is>
          <t>CONFLICT</t>
        </is>
      </c>
      <c r="F6" s="15" t="inlineStr">
        <is>
          <t>אימות מול מקרא גבס</t>
        </is>
      </c>
    </row>
    <row r="7">
      <c r="A7" s="15" t="n">
        <v>6</v>
      </c>
      <c r="B7" s="15" t="inlineStr">
        <is>
          <t>גבוהה</t>
        </is>
      </c>
      <c r="C7" s="15" t="inlineStr">
        <is>
          <t>15.x</t>
        </is>
      </c>
      <c r="D7" s="15" t="inlineStr">
        <is>
          <t>בפתיח המפרט 579 מ"ר (228/175/176) מול טבלה 576 (254/118/204). הוזנו 254/118/204 לפי הסריקה</t>
        </is>
      </c>
      <c r="E7" s="15" t="inlineStr">
        <is>
          <t>CONFLICT</t>
        </is>
      </c>
      <c r="F7" s="15" t="inlineStr">
        <is>
          <t>אישור המתכננת</t>
        </is>
      </c>
    </row>
    <row r="8">
      <c r="A8" s="15" t="n">
        <v>7</v>
      </c>
      <c r="B8" s="15" t="inlineStr">
        <is>
          <t>גבוהה</t>
        </is>
      </c>
      <c r="C8" s="15" t="inlineStr">
        <is>
          <t>פרקים 06,07,08,18, 05.34</t>
        </is>
      </c>
      <c r="D8" s="15" t="inlineStr">
        <is>
          <t>13 סעיפים ללא כמות – נדרשות תוכניות חשמל, תאורה, מיזוג, אינסטלציה, שלא התקבלו</t>
        </is>
      </c>
      <c r="E8" s="15" t="inlineStr">
        <is>
          <t>UNVERIFIED</t>
        </is>
      </c>
      <c r="F8" s="15" t="inlineStr">
        <is>
          <t>לספק תוכניות. עד אז לתמחר ביחידה בלבד</t>
        </is>
      </c>
    </row>
    <row r="9">
      <c r="A9" s="15" t="n">
        <v>8</v>
      </c>
      <c r="B9" s="15" t="inlineStr">
        <is>
          <t>בינונית</t>
        </is>
      </c>
      <c r="C9" s="15" t="inlineStr">
        <is>
          <t>06.04 / 06.10</t>
        </is>
      </c>
      <c r="D9" s="15" t="inlineStr">
        <is>
          <t>שניהם 9 – ייתכן כפל</t>
        </is>
      </c>
      <c r="E9" s="15" t="inlineStr">
        <is>
          <t>CONFLICT</t>
        </is>
      </c>
      <c r="F9" s="15" t="inlineStr">
        <is>
          <t>אימות מול תוכנית חשמל</t>
        </is>
      </c>
    </row>
    <row r="10">
      <c r="A10" s="15" t="n">
        <v>9</v>
      </c>
      <c r="B10" s="15" t="inlineStr">
        <is>
          <t>בינונית</t>
        </is>
      </c>
      <c r="C10" s="15" t="inlineStr">
        <is>
          <t>07.15 / 07.16</t>
        </is>
      </c>
      <c r="D10" s="15" t="inlineStr">
        <is>
          <t>12 מאווררים בכתב מול 6 בסריקה</t>
        </is>
      </c>
      <c r="E10" s="15" t="inlineStr">
        <is>
          <t>CONFLICT</t>
        </is>
      </c>
      <c r="F10" s="15" t="inlineStr">
        <is>
          <t>אימות מול תוכנית תאורה</t>
        </is>
      </c>
    </row>
    <row r="11">
      <c r="A11" s="15" t="n">
        <v>10</v>
      </c>
      <c r="B11" s="15" t="inlineStr">
        <is>
          <t>בינונית</t>
        </is>
      </c>
      <c r="C11" s="15" t="inlineStr">
        <is>
          <t>פרק 06</t>
        </is>
      </c>
      <c r="D11" s="15" t="inlineStr">
        <is>
          <t>הערת סריקה: שקע כפול נספר כ-1.5. אם כן – הכמויות הן יחידות תמחור</t>
        </is>
      </c>
      <c r="E11" s="15" t="inlineStr">
        <is>
          <t>UNVERIFIED</t>
        </is>
      </c>
      <c r="F11" s="15" t="inlineStr">
        <is>
          <t>בירור מול המתכננת</t>
        </is>
      </c>
    </row>
    <row r="12">
      <c r="A12" s="15" t="n">
        <v>11</v>
      </c>
      <c r="B12" s="15" t="inlineStr">
        <is>
          <t>בינונית</t>
        </is>
      </c>
      <c r="C12" s="15" t="inlineStr">
        <is>
          <t>פרק 03</t>
        </is>
      </c>
      <c r="D12" s="15" t="inlineStr">
        <is>
          <t>כל הסעיפים קומפלט לפי קונסטרוקטור. בסריקה גיליון קונסטרוקציה אחד בלבד; במפרט אומדן בקרה: 10 מ"ק בטון, 2.7 טון ברזל, 21 מ"ר</t>
        </is>
      </c>
      <c r="E12" s="15" t="inlineStr">
        <is>
          <t>UNVERIFIED</t>
        </is>
      </c>
      <c r="F12" s="15" t="inlineStr">
        <is>
          <t>לדרוש תוכניות קונסטרוקציה מלאות לפני תמחור</t>
        </is>
      </c>
    </row>
    <row r="13">
      <c r="A13" s="15" t="n">
        <v>12</v>
      </c>
      <c r="B13" s="15" t="inlineStr">
        <is>
          <t>בינונית</t>
        </is>
      </c>
      <c r="C13" s="15" t="inlineStr">
        <is>
          <t>פרק 02</t>
        </is>
      </c>
      <c r="D13" s="15" t="inlineStr">
        <is>
          <t>סעיפי פירוק קומפלט (חלונות, דלתות, כלים, חשמל, מיזוג, פנלים וכו׳) – המפרט קובע "ספירה בשטח". לא נוסף פירוט כי אין תוכנית הריסה</t>
        </is>
      </c>
      <c r="E13" s="15" t="inlineStr">
        <is>
          <t>UNVERIFIED</t>
        </is>
      </c>
      <c r="F13" s="15" t="inlineStr">
        <is>
          <t>סיור וספירה, והחלפה ביחידות</t>
        </is>
      </c>
    </row>
    <row r="14">
      <c r="A14" s="15" t="n">
        <v>13</v>
      </c>
      <c r="B14" s="15" t="inlineStr">
        <is>
          <t>נמוכה</t>
        </is>
      </c>
      <c r="C14" s="15" t="inlineStr">
        <is>
          <t>מספור</t>
        </is>
      </c>
      <c r="D14" s="15" t="inlineStr">
        <is>
          <t>הושמטו בכתב המקורי: 05.14, 05.31, 13.06, 16.08, 17.03. 2.20 תוקן ל-02.20. 13.06 במפרט הוא תוספת פחת 25% – לא נדרש</t>
        </is>
      </c>
      <c r="E14" s="15" t="inlineStr">
        <is>
          <t>VERIFIED</t>
        </is>
      </c>
      <c r="F14" s="15" t="inlineStr">
        <is>
          <t>—</t>
        </is>
      </c>
    </row>
    <row r="15">
      <c r="A15" s="15" t="n">
        <v>14</v>
      </c>
      <c r="B15" s="15" t="inlineStr">
        <is>
          <t>נמוכה</t>
        </is>
      </c>
      <c r="C15" s="15" t="inlineStr">
        <is>
          <t>גרסאות</t>
        </is>
      </c>
      <c r="D15" s="15" t="inlineStr">
        <is>
          <t>מפרט 06/07/2026 (מהדורה 20), תוכניות 17/09/2026, כמויות לקבלן 24/09/2026. אין תאריך לכתב המקורי</t>
        </is>
      </c>
      <c r="E15" s="15" t="inlineStr">
        <is>
          <t>CONFLICT</t>
        </is>
      </c>
      <c r="F15" s="15" t="inlineStr">
        <is>
          <t>לאשר שהסריקה היא העדכנית</t>
        </is>
      </c>
    </row>
    <row r="16">
      <c r="A16" s="15" t="n">
        <v>15</v>
      </c>
      <c r="B16" s="15" t="inlineStr">
        <is>
          <t>נמוכה</t>
        </is>
      </c>
      <c r="C16" s="15" t="inlineStr">
        <is>
          <t>תוכניות</t>
        </is>
      </c>
      <c r="D16" s="15" t="inlineStr">
        <is>
          <t>הוצג רק מבנה חדש (קרקע וקומה א׳) וגיליון קונסטרוקציה. תוכניות חשמל, מיזוג, אינסטלציה, אלומיניום ופיתוח לא התקבלו או לא קריאות בסריקה</t>
        </is>
      </c>
      <c r="E16" s="15" t="inlineStr">
        <is>
          <t>UNVERIFIED</t>
        </is>
      </c>
      <c r="F16" s="15" t="inlineStr">
        <is>
          <t>לספק קבצי PDF וקטוריים</t>
        </is>
      </c>
    </row>
    <row r="17">
      <c r="A17" s="15" t="n">
        <v>16</v>
      </c>
      <c r="B17" s="15" t="inlineStr">
        <is>
          <t>נמוכה</t>
        </is>
      </c>
      <c r="C17" s="15" t="inlineStr">
        <is>
          <t>מחירים</t>
        </is>
      </c>
      <c r="D17" s="15" t="inlineStr">
        <is>
          <t>לא הוזנו מחירים לפי הנחיה</t>
        </is>
      </c>
      <c r="E17" s="15" t="inlineStr">
        <is>
          <t>—</t>
        </is>
      </c>
      <c r="F17" s="15" t="inlineStr">
        <is>
          <t>—</t>
        </is>
      </c>
    </row>
  </sheetData>
  <autoFilter ref="A1:F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rightToLeft="1" workbookViewId="0">
      <pane ySplit="1" topLeftCell="A2" activePane="bottomLeft" state="frozen"/>
      <selection pane="bottomLeft" activeCell="A1" sqref="A1"/>
    </sheetView>
  </sheetViews>
  <sheetFormatPr baseColWidth="8" defaultRowHeight="15"/>
  <cols>
    <col width="14" customWidth="1" min="1" max="1"/>
    <col width="14" customWidth="1" min="2" max="2"/>
    <col width="28" customWidth="1" min="3" max="3"/>
    <col width="28" customWidth="1" min="4" max="4"/>
    <col width="70" customWidth="1" min="5" max="5"/>
  </cols>
  <sheetData>
    <row r="1">
      <c r="A1" s="14" t="inlineStr">
        <is>
          <t>סעיף</t>
        </is>
      </c>
      <c r="B1" s="14" t="inlineStr">
        <is>
          <t>שדה</t>
        </is>
      </c>
      <c r="C1" s="14" t="inlineStr">
        <is>
          <t>לפני</t>
        </is>
      </c>
      <c r="D1" s="14" t="inlineStr">
        <is>
          <t>אחרי</t>
        </is>
      </c>
      <c r="E1" s="14" t="inlineStr">
        <is>
          <t>סיבה</t>
        </is>
      </c>
    </row>
    <row r="2">
      <c r="A2" s="15" t="inlineStr">
        <is>
          <t>15.01</t>
        </is>
      </c>
      <c r="B2" s="15" t="inlineStr">
        <is>
          <t>יחידה/כמות</t>
        </is>
      </c>
      <c r="C2" s="15" t="inlineStr">
        <is>
          <t>קומפ׳ 1</t>
        </is>
      </c>
      <c r="D2" s="15" t="inlineStr">
        <is>
          <t>מ״ר 254</t>
        </is>
      </c>
      <c r="E2" s="15" t="inlineStr">
        <is>
          <t>כמות מפורשת בסריקה ובמפרט – תמחור לפי מ"ר מאפשר מדידה לחשבון</t>
        </is>
      </c>
    </row>
    <row r="3">
      <c r="A3" s="15" t="inlineStr">
        <is>
          <t>15.02</t>
        </is>
      </c>
      <c r="B3" s="15" t="inlineStr">
        <is>
          <t>יחידה/כמות</t>
        </is>
      </c>
      <c r="C3" s="15" t="inlineStr">
        <is>
          <t>קומפ׳ 1</t>
        </is>
      </c>
      <c r="D3" s="15" t="inlineStr">
        <is>
          <t>מ״ר 118</t>
        </is>
      </c>
      <c r="E3" s="15" t="inlineStr">
        <is>
          <t>כמות מפורשת בסריקה ובמפרט – תמחור לפי מ"ר מאפשר מדידה לחשבון</t>
        </is>
      </c>
    </row>
    <row r="4">
      <c r="A4" s="15" t="inlineStr">
        <is>
          <t>15.03</t>
        </is>
      </c>
      <c r="B4" s="15" t="inlineStr">
        <is>
          <t>יחידה/כמות</t>
        </is>
      </c>
      <c r="C4" s="15" t="inlineStr">
        <is>
          <t>קומפ׳ 1</t>
        </is>
      </c>
      <c r="D4" s="15" t="inlineStr">
        <is>
          <t>מ״ר 204</t>
        </is>
      </c>
      <c r="E4" s="15" t="inlineStr">
        <is>
          <t>כמות מפורשת בסריקה ובמפרט – תמחור לפי מ"ר מאפשר מדידה לחשבון</t>
        </is>
      </c>
    </row>
    <row r="5">
      <c r="A5" s="15" t="inlineStr">
        <is>
          <t>07.17</t>
        </is>
      </c>
      <c r="B5" s="15" t="inlineStr">
        <is>
          <t>כמות</t>
        </is>
      </c>
      <c r="C5" s="15" t="n">
        <v>115</v>
      </c>
      <c r="D5" s="15" t="n">
        <v>111</v>
      </c>
      <c r="E5" s="15" t="inlineStr">
        <is>
          <t>סריקה 24/09/2026 ומפרט פרק 7 עמ׳ 24</t>
        </is>
      </c>
    </row>
    <row r="6">
      <c r="A6" s="15" t="inlineStr">
        <is>
          <t>13.04</t>
        </is>
      </c>
      <c r="B6" s="15" t="inlineStr">
        <is>
          <t>יחידה</t>
        </is>
      </c>
      <c r="C6" s="15" t="inlineStr">
        <is>
          <t>מטר רץ</t>
        </is>
      </c>
      <c r="D6" s="15" t="inlineStr">
        <is>
          <t>מ״א</t>
        </is>
      </c>
      <c r="E6" s="15" t="inlineStr">
        <is>
          <t>אחידות יחידות</t>
        </is>
      </c>
    </row>
    <row r="7">
      <c r="A7" s="15" t="inlineStr">
        <is>
          <t>06.11</t>
        </is>
      </c>
      <c r="B7" s="15" t="inlineStr">
        <is>
          <t>כמות</t>
        </is>
      </c>
      <c r="C7" s="15" t="inlineStr">
        <is>
          <t>7 או 8 ?</t>
        </is>
      </c>
      <c r="D7" s="15" t="inlineStr">
        <is>
          <t>(ריק)</t>
        </is>
      </c>
      <c r="E7" s="15" t="inlineStr">
        <is>
          <t>הטקסט הוחלף בהערה; הכמות תיקבע מתוכנית</t>
        </is>
      </c>
    </row>
    <row r="8">
      <c r="A8" s="15" t="inlineStr">
        <is>
          <t>08.01</t>
        </is>
      </c>
      <c r="B8" s="15" t="inlineStr">
        <is>
          <t>כמות</t>
        </is>
      </c>
      <c r="C8" s="15" t="inlineStr">
        <is>
          <t>7/8?</t>
        </is>
      </c>
      <c r="D8" s="15" t="inlineStr">
        <is>
          <t>(ריק)</t>
        </is>
      </c>
      <c r="E8" s="15" t="inlineStr">
        <is>
          <t>הטקסט הוחלף בהערה; הכמות תיקבע מתוכנית</t>
        </is>
      </c>
    </row>
    <row r="9">
      <c r="A9" s="15" t="inlineStr">
        <is>
          <t>05.34</t>
        </is>
      </c>
      <c r="B9" s="15" t="inlineStr">
        <is>
          <t>כמות</t>
        </is>
      </c>
      <c r="C9" s="15" t="inlineStr">
        <is>
          <t>להשלמה</t>
        </is>
      </c>
      <c r="D9" s="15" t="inlineStr">
        <is>
          <t>(ריק)</t>
        </is>
      </c>
      <c r="E9" s="15" t="inlineStr">
        <is>
          <t>הטקסט הוחלף בהערה; הכמות תיקבע מתוכנית</t>
        </is>
      </c>
    </row>
    <row r="10">
      <c r="A10" s="15" t="inlineStr">
        <is>
          <t>06.12</t>
        </is>
      </c>
      <c r="B10" s="15" t="inlineStr">
        <is>
          <t>כמות</t>
        </is>
      </c>
      <c r="C10" s="15" t="inlineStr">
        <is>
          <t>להשלמה</t>
        </is>
      </c>
      <c r="D10" s="15" t="inlineStr">
        <is>
          <t>(ריק)</t>
        </is>
      </c>
      <c r="E10" s="15" t="inlineStr">
        <is>
          <t>הטקסט הוחלף בהערה; הכמות תיקבע מתוכנית</t>
        </is>
      </c>
    </row>
    <row r="11">
      <c r="A11" s="15" t="inlineStr">
        <is>
          <t>06.13</t>
        </is>
      </c>
      <c r="B11" s="15" t="inlineStr">
        <is>
          <t>כמות</t>
        </is>
      </c>
      <c r="C11" s="15" t="inlineStr">
        <is>
          <t>להשלמה לפי מס דודים</t>
        </is>
      </c>
      <c r="D11" s="15" t="inlineStr">
        <is>
          <t>(ריק)</t>
        </is>
      </c>
      <c r="E11" s="15" t="inlineStr">
        <is>
          <t>הטקסט הוחלף בהערה; הכמות תיקבע מתוכנית</t>
        </is>
      </c>
    </row>
    <row r="12">
      <c r="A12" s="15" t="inlineStr">
        <is>
          <t>06.14</t>
        </is>
      </c>
      <c r="B12" s="15" t="inlineStr">
        <is>
          <t>כמות</t>
        </is>
      </c>
      <c r="C12" s="15" t="inlineStr">
        <is>
          <t>להשלמה לפי כמות מזגנים</t>
        </is>
      </c>
      <c r="D12" s="15" t="inlineStr">
        <is>
          <t>(ריק)</t>
        </is>
      </c>
      <c r="E12" s="15" t="inlineStr">
        <is>
          <t>הטקסט הוחלף בהערה; הכמות תיקבע מתוכנית</t>
        </is>
      </c>
    </row>
    <row r="13">
      <c r="A13" s="15" t="inlineStr">
        <is>
          <t>07.01</t>
        </is>
      </c>
      <c r="B13" s="15" t="inlineStr">
        <is>
          <t>כמות</t>
        </is>
      </c>
      <c r="C13" s="15" t="inlineStr">
        <is>
          <t>להשלמה</t>
        </is>
      </c>
      <c r="D13" s="15" t="inlineStr">
        <is>
          <t>(ריק)</t>
        </is>
      </c>
      <c r="E13" s="15" t="inlineStr">
        <is>
          <t>הטקסט הוחלף בהערה; הכמות תיקבע מתוכנית</t>
        </is>
      </c>
    </row>
    <row r="14">
      <c r="A14" s="15" t="inlineStr">
        <is>
          <t>07.02</t>
        </is>
      </c>
      <c r="B14" s="15" t="inlineStr">
        <is>
          <t>כמות</t>
        </is>
      </c>
      <c r="C14" s="15" t="inlineStr">
        <is>
          <t>להשלמה</t>
        </is>
      </c>
      <c r="D14" s="15" t="inlineStr">
        <is>
          <t>(ריק)</t>
        </is>
      </c>
      <c r="E14" s="15" t="inlineStr">
        <is>
          <t>הטקסט הוחלף בהערה; הכמות תיקבע מתוכנית</t>
        </is>
      </c>
    </row>
    <row r="15">
      <c r="A15" s="15" t="inlineStr">
        <is>
          <t>07.18</t>
        </is>
      </c>
      <c r="B15" s="15" t="inlineStr">
        <is>
          <t>כמות</t>
        </is>
      </c>
      <c r="C15" s="15" t="inlineStr">
        <is>
          <t>להשלמה</t>
        </is>
      </c>
      <c r="D15" s="15" t="inlineStr">
        <is>
          <t>(ריק)</t>
        </is>
      </c>
      <c r="E15" s="15" t="inlineStr">
        <is>
          <t>הטקסט הוחלף בהערה; הכמות תיקבע מתוכנית</t>
        </is>
      </c>
    </row>
    <row r="16">
      <c r="A16" s="15" t="inlineStr">
        <is>
          <t>08.04</t>
        </is>
      </c>
      <c r="B16" s="15" t="inlineStr">
        <is>
          <t>כמות</t>
        </is>
      </c>
      <c r="C16" s="15" t="inlineStr">
        <is>
          <t>להשלמה</t>
        </is>
      </c>
      <c r="D16" s="15" t="inlineStr">
        <is>
          <t>(ריק)</t>
        </is>
      </c>
      <c r="E16" s="15" t="inlineStr">
        <is>
          <t>הטקסט הוחלף בהערה; הכמות תיקבע מתוכנית</t>
        </is>
      </c>
    </row>
    <row r="17">
      <c r="A17" s="15" t="inlineStr">
        <is>
          <t>18.05</t>
        </is>
      </c>
      <c r="B17" s="15" t="inlineStr">
        <is>
          <t>כמות</t>
        </is>
      </c>
      <c r="C17" s="15" t="inlineStr">
        <is>
          <t>להשלמה</t>
        </is>
      </c>
      <c r="D17" s="15" t="inlineStr">
        <is>
          <t>(ריק)</t>
        </is>
      </c>
      <c r="E17" s="15" t="inlineStr">
        <is>
          <t>הטקסט הוחלף בהערה; הכמות תיקבע מתוכנית</t>
        </is>
      </c>
    </row>
    <row r="18">
      <c r="A18" s="15" t="inlineStr">
        <is>
          <t>08.02</t>
        </is>
      </c>
      <c r="B18" s="15" t="inlineStr">
        <is>
          <t>סעיף חדש</t>
        </is>
      </c>
      <c r="C18" s="15" t="inlineStr">
        <is>
          <t>—</t>
        </is>
      </c>
      <c r="D18" s="15" t="inlineStr">
        <is>
          <t>מ״א, כמות ריקה</t>
        </is>
      </c>
      <c r="E18" s="15" t="inlineStr">
        <is>
          <t>מפרט פרק 8 סעיף 2; הסעיף חסר בכתב המקורי (פער מספור)</t>
        </is>
      </c>
    </row>
    <row r="19">
      <c r="A19" s="15" t="inlineStr">
        <is>
          <t>11.01</t>
        </is>
      </c>
      <c r="B19" s="15" t="inlineStr">
        <is>
          <t>סעיף חדש</t>
        </is>
      </c>
      <c r="C19" s="15" t="inlineStr">
        <is>
          <t>—</t>
        </is>
      </c>
      <c r="D19" s="15" t="inlineStr">
        <is>
          <t>קומפ׳ 1</t>
        </is>
      </c>
      <c r="E19" s="15" t="inlineStr">
        <is>
          <t>מפרט פרקים 11/21 – חסר בכתב המקורי</t>
        </is>
      </c>
    </row>
    <row r="20">
      <c r="A20" s="15" t="inlineStr">
        <is>
          <t>11.02</t>
        </is>
      </c>
      <c r="B20" s="15" t="inlineStr">
        <is>
          <t>סעיף חדש</t>
        </is>
      </c>
      <c r="C20" s="15" t="inlineStr">
        <is>
          <t>—</t>
        </is>
      </c>
      <c r="D20" s="15" t="inlineStr">
        <is>
          <t>מ״א (ריק)</t>
        </is>
      </c>
      <c r="E20" s="15" t="inlineStr">
        <is>
          <t>מפרט פרקים 11/21 – חסר בכתב המקורי</t>
        </is>
      </c>
    </row>
    <row r="21">
      <c r="A21" s="15" t="inlineStr">
        <is>
          <t>11.03</t>
        </is>
      </c>
      <c r="B21" s="15" t="inlineStr">
        <is>
          <t>סעיף חדש</t>
        </is>
      </c>
      <c r="C21" s="15" t="inlineStr">
        <is>
          <t>—</t>
        </is>
      </c>
      <c r="D21" s="15" t="inlineStr">
        <is>
          <t>מ״ר (ריק)</t>
        </is>
      </c>
      <c r="E21" s="15" t="inlineStr">
        <is>
          <t>מפרט פרקים 11/21 – חסר בכתב המקורי</t>
        </is>
      </c>
    </row>
    <row r="22">
      <c r="A22" s="15" t="inlineStr">
        <is>
          <t>11.04</t>
        </is>
      </c>
      <c r="B22" s="15" t="inlineStr">
        <is>
          <t>סעיף חדש</t>
        </is>
      </c>
      <c r="C22" s="15" t="inlineStr">
        <is>
          <t>—</t>
        </is>
      </c>
      <c r="D22" s="15" t="inlineStr">
        <is>
          <t>מ״א (ריק)</t>
        </is>
      </c>
      <c r="E22" s="15" t="inlineStr">
        <is>
          <t>מפרט פרקים 11/21 – חסר בכתב המקורי</t>
        </is>
      </c>
    </row>
    <row r="23">
      <c r="A23" s="15" t="inlineStr">
        <is>
          <t>11.05</t>
        </is>
      </c>
      <c r="B23" s="15" t="inlineStr">
        <is>
          <t>סעיף חדש</t>
        </is>
      </c>
      <c r="C23" s="15" t="inlineStr">
        <is>
          <t>—</t>
        </is>
      </c>
      <c r="D23" s="15" t="inlineStr">
        <is>
          <t>קומפ׳ 1</t>
        </is>
      </c>
      <c r="E23" s="15" t="inlineStr">
        <is>
          <t>מפרט פרקים 11/21 – חסר בכתב המקורי</t>
        </is>
      </c>
    </row>
    <row r="24">
      <c r="A24" s="15" t="inlineStr">
        <is>
          <t>21.01</t>
        </is>
      </c>
      <c r="B24" s="15" t="inlineStr">
        <is>
          <t>סעיף חדש</t>
        </is>
      </c>
      <c r="C24" s="15" t="inlineStr">
        <is>
          <t>—</t>
        </is>
      </c>
      <c r="D24" s="15" t="inlineStr">
        <is>
          <t>קומפ׳ 1</t>
        </is>
      </c>
      <c r="E24" s="15" t="inlineStr">
        <is>
          <t>מפרט פרקים 11/21 – חסר בכתב המקורי</t>
        </is>
      </c>
    </row>
    <row r="25">
      <c r="A25" s="15" t="inlineStr">
        <is>
          <t>21.02</t>
        </is>
      </c>
      <c r="B25" s="15" t="inlineStr">
        <is>
          <t>סעיף חדש</t>
        </is>
      </c>
      <c r="C25" s="15" t="inlineStr">
        <is>
          <t>—</t>
        </is>
      </c>
      <c r="D25" s="15" t="inlineStr">
        <is>
          <t>קומפ׳ 1</t>
        </is>
      </c>
      <c r="E25" s="15" t="inlineStr">
        <is>
          <t>מפרט פרקים 11/21 – חסר בכתב המקורי</t>
        </is>
      </c>
    </row>
    <row r="26">
      <c r="A26" s="15" t="inlineStr">
        <is>
          <t>21.03</t>
        </is>
      </c>
      <c r="B26" s="15" t="inlineStr">
        <is>
          <t>סעיף חדש</t>
        </is>
      </c>
      <c r="C26" s="15" t="inlineStr">
        <is>
          <t>—</t>
        </is>
      </c>
      <c r="D26" s="15" t="inlineStr">
        <is>
          <t>מ״א 23.66</t>
        </is>
      </c>
      <c r="E26" s="15" t="inlineStr">
        <is>
          <t>מפרט פרקים 11/21 – חסר בכתב המקורי</t>
        </is>
      </c>
    </row>
    <row r="27">
      <c r="A27" s="15" t="inlineStr">
        <is>
          <t>21.04</t>
        </is>
      </c>
      <c r="B27" s="15" t="inlineStr">
        <is>
          <t>סעיף חדש</t>
        </is>
      </c>
      <c r="C27" s="15" t="inlineStr">
        <is>
          <t>—</t>
        </is>
      </c>
      <c r="D27" s="15" t="inlineStr">
        <is>
          <t>מ״ר 43</t>
        </is>
      </c>
      <c r="E27" s="15" t="inlineStr">
        <is>
          <t>מפרט פרקים 11/21 – חסר בכתב המקורי</t>
        </is>
      </c>
    </row>
    <row r="28">
      <c r="A28" s="15" t="inlineStr">
        <is>
          <t>כללי</t>
        </is>
      </c>
      <c r="B28" s="15" t="inlineStr">
        <is>
          <t>מבנה</t>
        </is>
      </c>
      <c r="C28" s="15" t="inlineStr">
        <is>
          <t>קובץ מקורי (פורמולות, #REF!, קישור חיצוני)</t>
        </is>
      </c>
      <c r="D28" s="15" t="inlineStr">
        <is>
          <t>גיליון חדש עם פורמולות מלאות</t>
        </is>
      </c>
      <c r="E28" s="15" t="inlineStr">
        <is>
          <t>תוקנו: 02.19 נפקד מסכום פרק 02, ו-#REF! בסכומי 05,08,13,16 ובסיכום</t>
        </is>
      </c>
    </row>
    <row r="29">
      <c r="A29" s="15" t="inlineStr">
        <is>
          <t>05.x,09.04,10.04</t>
        </is>
      </c>
      <c r="B29" s="15" t="inlineStr">
        <is>
          <t>קישור חיצוני</t>
        </is>
      </c>
      <c r="C29" s="15">
        <f>[1]חישובי כמויות</f>
        <v/>
      </c>
      <c r="D29" s="15" t="inlineStr">
        <is>
          <t>ערכים (7,1,1,3,5,2,2,1,2,7,7,15,33.3,52.7)</t>
        </is>
      </c>
      <c r="E29" s="15" t="inlineStr">
        <is>
          <t>הקובץ החיצוני לא התקבל. הערכים הם הערכים השמורים</t>
        </is>
      </c>
    </row>
    <row r="30">
      <c r="A30" s="15" t="inlineStr">
        <is>
          <t>כל הסעיפים</t>
        </is>
      </c>
      <c r="B30" s="15" t="inlineStr">
        <is>
          <t>—</t>
        </is>
      </c>
      <c r="C30" s="15" t="inlineStr">
        <is>
          <t>—</t>
        </is>
      </c>
      <c r="D30" s="15" t="inlineStr">
        <is>
          <t>—</t>
        </is>
      </c>
      <c r="E30" s="15" t="inlineStr">
        <is>
          <t>הקובץ המקורי לא נדרס</t>
        </is>
      </c>
    </row>
  </sheetData>
  <autoFilter ref="A1:E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2026-10-08T23:31:22Z</dcterms:created>
  <dcterms:modified xmlns:dcterms="http://purl.org/dc/terms/" xmlns:xsi="http://www.w3.org/2001/XMLSchema-instance" xsi:type="dcterms:W3CDTF">2026-10-08T23:31:22Z</dcterms:modified>
</cp:coreProperties>
</file>