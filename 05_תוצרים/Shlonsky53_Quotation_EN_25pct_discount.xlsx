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Notes &amp; Exclusions" sheetId="3" state="visible" r:id="rId3"/>
    <sheet xmlns:r="http://schemas.openxmlformats.org/officeDocument/2006/relationships" name="Programme" sheetId="4" state="visible" r:id="rId4"/>
  </sheets>
  <definedNames>
    <definedName name="_xlnm.Print_Titles" localSheetId="0">'Quotation'!$5:$5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##"/>
    <numFmt numFmtId="165" formatCode="yyyy-mm-dd h:mm:ss"/>
    <numFmt numFmtId="166" formatCode="dd/mm/yyyy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0" pivotButton="0" quotePrefix="0" xfId="0"/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horizontal="center" vertical="top" wrapText="1"/>
    </xf>
    <xf numFmtId="3" fontId="0" fillId="0" borderId="1" applyAlignment="1" pivotButton="0" quotePrefix="0" xfId="0">
      <alignment vertical="top" wrapText="1"/>
    </xf>
    <xf numFmtId="0" fontId="3" fillId="4" borderId="0" pivotButton="0" quotePrefix="0" xfId="0"/>
    <xf numFmtId="3" fontId="3" fillId="4" borderId="0" pivotButton="0" quotePrefix="0" xfId="0"/>
    <xf numFmtId="0" fontId="2" fillId="2" borderId="0" pivotButton="0" quotePrefix="0" xfId="0"/>
    <xf numFmtId="3" fontId="0" fillId="0" borderId="0" pivotButton="0" quotePrefix="0" xfId="0"/>
    <xf numFmtId="0" fontId="3" fillId="0" borderId="0" pivotButton="0" quotePrefix="0" xfId="0"/>
    <xf numFmtId="3" fontId="3" fillId="0" borderId="0" pivotButton="0" quotePrefix="0" xfId="0"/>
    <xf numFmtId="9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2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42" customWidth="1" min="2" max="2"/>
    <col width="62" customWidth="1" min="3" max="3"/>
    <col width="7" customWidth="1" min="4" max="4"/>
    <col width="10" customWidth="1" min="5" max="5"/>
    <col width="20" customWidth="1" min="6" max="6"/>
    <col width="11" customWidth="1" min="7" max="7"/>
    <col width="14" customWidth="1" min="8" max="8"/>
    <col width="34" customWidth="1" min="9" max="9"/>
  </cols>
  <sheetData>
    <row r="1">
      <c r="A1" s="1" t="inlineStr">
        <is>
          <t>QUOTATION – Renovation and Extension, 53 Shlonsky St., Haifa</t>
        </is>
      </c>
    </row>
    <row r="2">
      <c r="A2" t="inlineStr">
        <is>
          <t>Employer: Zohar Mor Yosef and Rami Dana  |  Contractor: [Contractor name]  |  Date: 08/10/2026  |  Quotation no.: [__]</t>
        </is>
      </c>
    </row>
    <row r="3">
      <c r="A3" t="inlineStr">
        <is>
          <t>All amounts in NIS (₪), excluding VAT, price base October 2026. Rates include contractor's overheads and profit.</t>
        </is>
      </c>
    </row>
    <row r="5">
      <c r="A5" s="2" t="inlineStr">
        <is>
          <t>Item</t>
        </is>
      </c>
      <c r="B5" s="2" t="inlineStr">
        <is>
          <t>Description</t>
        </is>
      </c>
      <c r="C5" s="2" t="inlineStr">
        <is>
          <t>Scope</t>
        </is>
      </c>
      <c r="D5" s="2" t="inlineStr">
        <is>
          <t>Unit</t>
        </is>
      </c>
      <c r="E5" s="2" t="inlineStr">
        <is>
          <t>Qty</t>
        </is>
      </c>
      <c r="F5" s="2" t="inlineStr">
        <is>
          <t>Qty basis</t>
        </is>
      </c>
      <c r="G5" s="2" t="inlineStr">
        <is>
          <t>Rate (₪)</t>
        </is>
      </c>
      <c r="H5" s="2" t="inlineStr">
        <is>
          <t>Amount (₪)</t>
        </is>
      </c>
      <c r="I5" s="2" t="inlineStr">
        <is>
          <t>Remarks</t>
        </is>
      </c>
    </row>
    <row r="6">
      <c r="A6" s="3" t="inlineStr">
        <is>
          <t>Chapter 1 — Preparation and Site Establishment</t>
        </is>
      </c>
      <c r="B6" s="3" t="n"/>
      <c r="C6" s="3" t="n"/>
      <c r="D6" s="3" t="n"/>
      <c r="E6" s="3" t="n"/>
      <c r="F6" s="3" t="n"/>
      <c r="G6" s="3" t="n"/>
      <c r="H6" s="3" t="n"/>
      <c r="I6" s="3" t="n"/>
    </row>
    <row r="7">
      <c r="A7" s="4" t="inlineStr">
        <is>
          <t>01.01</t>
        </is>
      </c>
      <c r="B7" s="5" t="inlineStr">
        <is>
          <t>Site establishment</t>
        </is>
      </c>
      <c r="C7" s="5" t="inlineStr">
        <is>
          <t>Setting up work and storage areas, workers' facilities and access coordination.</t>
        </is>
      </c>
      <c r="D7" s="4" t="inlineStr">
        <is>
          <t>lot</t>
        </is>
      </c>
      <c r="E7" s="6" t="n">
        <v>1</v>
      </c>
      <c r="F7" s="4" t="inlineStr">
        <is>
          <t>Per documents</t>
        </is>
      </c>
      <c r="G7" s="7" t="n">
        <v>9200</v>
      </c>
      <c r="H7" s="7">
        <f>ROUND(E7*G7,2)</f>
        <v/>
      </c>
      <c r="I7" s="5" t="n"/>
    </row>
    <row r="8">
      <c r="A8" s="4" t="inlineStr">
        <is>
          <t>01.02</t>
        </is>
      </c>
      <c r="B8" s="5" t="inlineStr">
        <is>
          <t>Site hoarding, signage and safety</t>
        </is>
      </c>
      <c r="C8" s="5" t="inlineStr">
        <is>
          <t>Temporary hoarding, site and hazard signage, and the safety measures required for the works.</t>
        </is>
      </c>
      <c r="D8" s="4" t="inlineStr">
        <is>
          <t>lot</t>
        </is>
      </c>
      <c r="E8" s="6" t="n">
        <v>1</v>
      </c>
      <c r="F8" s="4" t="inlineStr">
        <is>
          <t>Per documents</t>
        </is>
      </c>
      <c r="G8" s="7" t="n">
        <v>4600</v>
      </c>
      <c r="H8" s="7">
        <f>ROUND(E8*G8,2)</f>
        <v/>
      </c>
      <c r="I8" s="5" t="n"/>
    </row>
    <row r="9">
      <c r="A9" s="4" t="inlineStr">
        <is>
          <t>01.03</t>
        </is>
      </c>
      <c r="B9" s="5" t="inlineStr">
        <is>
          <t>Temporary water connection</t>
        </is>
      </c>
      <c r="C9" s="5" t="inlineStr">
        <is>
          <t>Temporary water connection from the approved source, tested.</t>
        </is>
      </c>
      <c r="D9" s="4" t="inlineStr">
        <is>
          <t>lot</t>
        </is>
      </c>
      <c r="E9" s="6" t="n">
        <v>1</v>
      </c>
      <c r="F9" s="4" t="inlineStr">
        <is>
          <t>Per documents</t>
        </is>
      </c>
      <c r="G9" s="7" t="n">
        <v>1725</v>
      </c>
      <c r="H9" s="7">
        <f>ROUND(E9*G9,2)</f>
        <v/>
      </c>
      <c r="I9" s="5" t="n"/>
    </row>
    <row r="10">
      <c r="A10" s="4" t="inlineStr">
        <is>
          <t>01.04</t>
        </is>
      </c>
      <c r="B10" s="5" t="inlineStr">
        <is>
          <t>Temporary electrical connection</t>
        </is>
      </c>
      <c r="C10" s="5" t="inlineStr">
        <is>
          <t>Temporary power connection by a licensed electrician, with protection and testing.</t>
        </is>
      </c>
      <c r="D10" s="4" t="inlineStr">
        <is>
          <t>lot</t>
        </is>
      </c>
      <c r="E10" s="6" t="n">
        <v>1</v>
      </c>
      <c r="F10" s="4" t="inlineStr">
        <is>
          <t>Per documents</t>
        </is>
      </c>
      <c r="G10" s="7" t="n">
        <v>3450</v>
      </c>
      <c r="H10" s="7">
        <f>ROUND(E10*G10,2)</f>
        <v/>
      </c>
      <c r="I10" s="5" t="n"/>
    </row>
    <row r="11">
      <c r="A11" s="4" t="inlineStr">
        <is>
          <t>01.05</t>
        </is>
      </c>
      <c r="B11" s="5" t="inlineStr">
        <is>
          <t>Protection of existing elements</t>
        </is>
      </c>
      <c r="C11" s="5" t="inlineStr">
        <is>
          <t>Protective covers for floors, openings, windows, stairs, railings, walls and plants to be retained.</t>
        </is>
      </c>
      <c r="D11" s="4" t="inlineStr">
        <is>
          <t>lot</t>
        </is>
      </c>
      <c r="E11" s="6" t="n">
        <v>1</v>
      </c>
      <c r="F11" s="4" t="inlineStr">
        <is>
          <t>Per documents</t>
        </is>
      </c>
      <c r="G11" s="7" t="n">
        <v>5750</v>
      </c>
      <c r="H11" s="7">
        <f>ROUND(E11*G11,2)</f>
        <v/>
      </c>
      <c r="I11" s="5" t="n"/>
    </row>
    <row r="12">
      <c r="A12" s="4" t="inlineStr">
        <is>
          <t>01.06</t>
        </is>
      </c>
      <c r="B12" s="5" t="inlineStr">
        <is>
          <t>Survey, verification and laser setting-out</t>
        </is>
      </c>
      <c r="C12" s="5" t="inlineStr">
        <is>
          <t>Survey of the existing building, verification against architectural and services drawings, setting-out of positions and levels.</t>
        </is>
      </c>
      <c r="D12" s="4" t="inlineStr">
        <is>
          <t>lot</t>
        </is>
      </c>
      <c r="E12" s="6" t="n">
        <v>1</v>
      </c>
      <c r="F12" s="4" t="inlineStr">
        <is>
          <t>Per documents</t>
        </is>
      </c>
      <c r="G12" s="7" t="n">
        <v>3450</v>
      </c>
      <c r="H12" s="7">
        <f>ROUND(E12*G12,2)</f>
        <v/>
      </c>
      <c r="I12" s="5" t="n"/>
    </row>
    <row r="13">
      <c r="A13" s="4" t="inlineStr">
        <is>
          <t>01.07</t>
        </is>
      </c>
      <c r="B13" s="5" t="inlineStr">
        <is>
          <t>Waste skip and waste collection area</t>
        </is>
      </c>
      <c r="C13" s="5" t="inlineStr">
        <is>
          <t>Skip placement and a waste collection area; removal of waste to a licensed site.</t>
        </is>
      </c>
      <c r="D13" s="4" t="inlineStr">
        <is>
          <t>lot</t>
        </is>
      </c>
      <c r="E13" s="6" t="n">
        <v>1</v>
      </c>
      <c r="F13" s="4" t="inlineStr">
        <is>
          <t>Per documents</t>
        </is>
      </c>
      <c r="G13" s="7" t="n">
        <v>10350</v>
      </c>
      <c r="H13" s="7">
        <f>ROUND(E13*G13,2)</f>
        <v/>
      </c>
      <c r="I13" s="5" t="n"/>
    </row>
    <row r="14">
      <c r="A14" s="4" t="inlineStr">
        <is>
          <t>01.08</t>
        </is>
      </c>
      <c r="B14" s="5" t="inlineStr">
        <is>
          <t>Ongoing site cleaning</t>
        </is>
      </c>
      <c r="C14" s="5" t="inlineStr">
        <is>
          <t>Periodic cleaning of work areas and passages throughout the works.</t>
        </is>
      </c>
      <c r="D14" s="4" t="inlineStr">
        <is>
          <t>lot</t>
        </is>
      </c>
      <c r="E14" s="6" t="n">
        <v>1</v>
      </c>
      <c r="F14" s="4" t="inlineStr">
        <is>
          <t>Per documents</t>
        </is>
      </c>
      <c r="G14" s="7" t="n">
        <v>10350</v>
      </c>
      <c r="H14" s="7">
        <f>ROUND(E14*G14,2)</f>
        <v/>
      </c>
      <c r="I14" s="5" t="n"/>
    </row>
    <row r="15">
      <c r="A15" s="4" t="inlineStr">
        <is>
          <t>01.09</t>
        </is>
      </c>
      <c r="B15" s="5" t="inlineStr">
        <is>
          <t>External scaffolding</t>
        </is>
      </c>
      <c r="C15" s="5" t="inlineStr">
        <is>
          <t>Erection, rental for the works period, maintenance and removal of compliant external scaffolding around the facades, for sawing the decorative concrete frames, parapet works and facade plaster.</t>
        </is>
      </c>
      <c r="D15" s="4" t="inlineStr">
        <is>
          <t>m²</t>
        </is>
      </c>
      <c r="E15" s="6" t="n">
        <v>225</v>
      </c>
      <c r="F15" s="4" t="inlineStr">
        <is>
          <t>Provisional – remeasure</t>
        </is>
      </c>
      <c r="G15" s="7" t="n">
        <v>98</v>
      </c>
      <c r="H15" s="7">
        <f>ROUND(E15*G15,2)</f>
        <v/>
      </c>
      <c r="I15" s="5" t="n"/>
    </row>
    <row r="16">
      <c r="A16" s="8" t="inlineStr">
        <is>
          <t>Total – Chapter 01</t>
        </is>
      </c>
      <c r="B16" s="8" t="n"/>
      <c r="C16" s="8" t="n"/>
      <c r="D16" s="8" t="n"/>
      <c r="E16" s="8" t="n"/>
      <c r="F16" s="8" t="n"/>
      <c r="G16" s="8" t="n"/>
      <c r="H16" s="9">
        <f>SUM(H7:H15)</f>
        <v/>
      </c>
      <c r="I16" s="8" t="n"/>
    </row>
    <row r="18">
      <c r="A18" s="3" t="inlineStr">
        <is>
          <t>Chapter 2 — Demolition, Removals and Disposal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</row>
    <row r="19">
      <c r="A19" s="4" t="inlineStr">
        <is>
          <t>02.01</t>
        </is>
      </c>
      <c r="B19" s="5" t="inlineStr">
        <is>
          <t>Demolition of walls and partitions – basement</t>
        </is>
      </c>
      <c r="C19" s="5" t="inlineStr">
        <is>
          <t>Demolition of existing walls and partitions per demolition drawings.</t>
        </is>
      </c>
      <c r="D19" s="4" t="inlineStr">
        <is>
          <t>m²</t>
        </is>
      </c>
      <c r="E19" s="6" t="n">
        <v>62</v>
      </c>
      <c r="F19" s="4" t="inlineStr">
        <is>
          <t>Per documents</t>
        </is>
      </c>
      <c r="G19" s="7" t="n">
        <v>138</v>
      </c>
      <c r="H19" s="7">
        <f>ROUND(E19*G19,2)</f>
        <v/>
      </c>
      <c r="I19" s="5" t="n"/>
    </row>
    <row r="20">
      <c r="A20" s="4" t="inlineStr">
        <is>
          <t>02.02</t>
        </is>
      </c>
      <c r="B20" s="5" t="inlineStr">
        <is>
          <t>Demolition of walls and partitions – ground floor</t>
        </is>
      </c>
      <c r="C20" s="5" t="inlineStr">
        <is>
          <t>Demolition of existing walls and partitions per demolition drawings.</t>
        </is>
      </c>
      <c r="D20" s="4" t="inlineStr">
        <is>
          <t>m²</t>
        </is>
      </c>
      <c r="E20" s="6" t="n">
        <v>51</v>
      </c>
      <c r="F20" s="4" t="inlineStr">
        <is>
          <t>Per documents</t>
        </is>
      </c>
      <c r="G20" s="7" t="n">
        <v>138</v>
      </c>
      <c r="H20" s="7">
        <f>ROUND(E20*G20,2)</f>
        <v/>
      </c>
      <c r="I20" s="5" t="n"/>
    </row>
    <row r="21">
      <c r="A21" s="4" t="inlineStr">
        <is>
          <t>02.03</t>
        </is>
      </c>
      <c r="B21" s="5" t="inlineStr">
        <is>
          <t>Demolition of walls and partitions – first floor</t>
        </is>
      </c>
      <c r="C21" s="5" t="inlineStr">
        <is>
          <t>Demolition of existing walls and partitions per demolition drawings.</t>
        </is>
      </c>
      <c r="D21" s="4" t="inlineStr">
        <is>
          <t>m²</t>
        </is>
      </c>
      <c r="E21" s="6" t="n">
        <v>85</v>
      </c>
      <c r="F21" s="4" t="inlineStr">
        <is>
          <t>Per documents</t>
        </is>
      </c>
      <c r="G21" s="7" t="n">
        <v>138</v>
      </c>
      <c r="H21" s="7">
        <f>ROUND(E21*G21,2)</f>
        <v/>
      </c>
      <c r="I21" s="5" t="n"/>
    </row>
    <row r="22">
      <c r="A22" s="4" t="inlineStr">
        <is>
          <t>02.04</t>
        </is>
      </c>
      <c r="B22" s="5" t="inlineStr">
        <is>
          <t>Removal of existing gypsum ceilings</t>
        </is>
      </c>
      <c r="C22" s="5" t="inlineStr">
        <is>
          <t>Removal of existing suspended gypsum ceilings.</t>
        </is>
      </c>
      <c r="D22" s="4" t="inlineStr">
        <is>
          <t>m²</t>
        </is>
      </c>
      <c r="E22" s="6" t="n">
        <v>10</v>
      </c>
      <c r="F22" s="4" t="inlineStr">
        <is>
          <t>Per documents</t>
        </is>
      </c>
      <c r="G22" s="7" t="n">
        <v>57</v>
      </c>
      <c r="H22" s="7">
        <f>ROUND(E22*G22,2)</f>
        <v/>
      </c>
      <c r="I22" s="5" t="n"/>
    </row>
    <row r="23">
      <c r="A23" s="4" t="inlineStr">
        <is>
          <t>02.05</t>
        </is>
      </c>
      <c r="B23" s="5" t="inlineStr">
        <is>
          <t>Removal of existing flooring</t>
        </is>
      </c>
      <c r="C23" s="5" t="inlineStr">
        <is>
          <t>Removal of existing floor finishes.</t>
        </is>
      </c>
      <c r="D23" s="4" t="inlineStr">
        <is>
          <t>m²</t>
        </is>
      </c>
      <c r="E23" s="6" t="n">
        <v>40</v>
      </c>
      <c r="F23" s="4" t="inlineStr">
        <is>
          <t>Per documents</t>
        </is>
      </c>
      <c r="G23" s="7" t="n">
        <v>103</v>
      </c>
      <c r="H23" s="7">
        <f>ROUND(E23*G23,2)</f>
        <v/>
      </c>
      <c r="I23" s="5" t="n"/>
    </row>
    <row r="24">
      <c r="A24" s="4" t="inlineStr">
        <is>
          <t>02.06</t>
        </is>
      </c>
      <c r="B24" s="5" t="inlineStr">
        <is>
          <t>Removal of existing kitchen cabinets</t>
        </is>
      </c>
      <c r="C24" s="5" t="inlineStr">
        <is>
          <t>Removal of existing kitchen cabinets, complete.</t>
        </is>
      </c>
      <c r="D24" s="4" t="inlineStr">
        <is>
          <t>lot</t>
        </is>
      </c>
      <c r="E24" s="6" t="n">
        <v>1</v>
      </c>
      <c r="F24" s="4" t="inlineStr">
        <is>
          <t>Per documents</t>
        </is>
      </c>
      <c r="G24" s="7" t="n">
        <v>2300</v>
      </c>
      <c r="H24" s="7">
        <f>ROUND(E24*G24,2)</f>
        <v/>
      </c>
      <c r="I24" s="5" t="n"/>
    </row>
    <row r="25">
      <c r="A25" s="4" t="inlineStr">
        <is>
          <t>02.07</t>
        </is>
      </c>
      <c r="B25" s="5" t="inlineStr">
        <is>
          <t>Removal of other existing joinery</t>
        </is>
      </c>
      <c r="C25" s="5" t="inlineStr">
        <is>
          <t>Removal of other existing cabinets and joinery.</t>
        </is>
      </c>
      <c r="D25" s="4" t="inlineStr">
        <is>
          <t>pcs</t>
        </is>
      </c>
      <c r="E25" s="6" t="n">
        <v>1</v>
      </c>
      <c r="F25" s="4" t="inlineStr">
        <is>
          <t>Per documents</t>
        </is>
      </c>
      <c r="G25" s="7" t="n">
        <v>2875</v>
      </c>
      <c r="H25" s="7">
        <f>ROUND(E25*G25,2)</f>
        <v/>
      </c>
      <c r="I25" s="5" t="n"/>
    </row>
    <row r="26">
      <c r="A26" s="4" t="inlineStr">
        <is>
          <t>02.08</t>
        </is>
      </c>
      <c r="B26" s="5" t="inlineStr">
        <is>
          <t>Removal of existing aluminium windows and shutters</t>
        </is>
      </c>
      <c r="C26" s="5" t="inlineStr">
        <is>
          <t>Complete removal of existing aluminium windows and roller shutters.</t>
        </is>
      </c>
      <c r="D26" s="4" t="inlineStr">
        <is>
          <t>lot</t>
        </is>
      </c>
      <c r="E26" s="6" t="n">
        <v>1</v>
      </c>
      <c r="F26" s="4" t="inlineStr">
        <is>
          <t>Per documents</t>
        </is>
      </c>
      <c r="G26" s="7" t="n">
        <v>6900</v>
      </c>
      <c r="H26" s="7">
        <f>ROUND(E26*G26,2)</f>
        <v/>
      </c>
      <c r="I26" s="5" t="n"/>
    </row>
    <row r="27">
      <c r="A27" s="4" t="inlineStr">
        <is>
          <t>02.09</t>
        </is>
      </c>
      <c r="B27" s="5" t="inlineStr">
        <is>
          <t>Removal of interior and entrance doors and frames</t>
        </is>
      </c>
      <c r="C27" s="5" t="inlineStr">
        <is>
          <t>Complete removal of interior and entrance doors and frames.</t>
        </is>
      </c>
      <c r="D27" s="4" t="inlineStr">
        <is>
          <t>lot</t>
        </is>
      </c>
      <c r="E27" s="6" t="n">
        <v>1</v>
      </c>
      <c r="F27" s="4" t="inlineStr">
        <is>
          <t>Per documents</t>
        </is>
      </c>
      <c r="G27" s="7" t="n">
        <v>4025</v>
      </c>
      <c r="H27" s="7">
        <f>ROUND(E27*G27,2)</f>
        <v/>
      </c>
      <c r="I27" s="5" t="n"/>
    </row>
    <row r="28">
      <c r="A28" s="4" t="inlineStr">
        <is>
          <t>02.10</t>
        </is>
      </c>
      <c r="B28" s="5" t="inlineStr">
        <is>
          <t>Removal of bathrooms, WCs and sanitary ware</t>
        </is>
      </c>
      <c r="C28" s="5" t="inlineStr">
        <is>
          <t>Complete removal of existing bathrooms, WCs and sanitary fixtures.</t>
        </is>
      </c>
      <c r="D28" s="4" t="inlineStr">
        <is>
          <t>lot</t>
        </is>
      </c>
      <c r="E28" s="6" t="n">
        <v>1</v>
      </c>
      <c r="F28" s="4" t="inlineStr">
        <is>
          <t>Per documents</t>
        </is>
      </c>
      <c r="G28" s="7" t="n">
        <v>9200</v>
      </c>
      <c r="H28" s="7">
        <f>ROUND(E28*G28,2)</f>
        <v/>
      </c>
      <c r="I28" s="5" t="n"/>
    </row>
    <row r="29">
      <c r="A29" s="4" t="inlineStr">
        <is>
          <t>02.11</t>
        </is>
      </c>
      <c r="B29" s="5" t="inlineStr">
        <is>
          <t>Removal of electrical points, accessories and light fittings</t>
        </is>
      </c>
      <c r="C29" s="5" t="inlineStr">
        <is>
          <t>Removal of existing electrical points, accessories and light fittings.</t>
        </is>
      </c>
      <c r="D29" s="4" t="inlineStr">
        <is>
          <t>lot</t>
        </is>
      </c>
      <c r="E29" s="6" t="n">
        <v>1</v>
      </c>
      <c r="F29" s="4" t="inlineStr">
        <is>
          <t>Per documents</t>
        </is>
      </c>
      <c r="G29" s="7" t="n">
        <v>4600</v>
      </c>
      <c r="H29" s="7">
        <f>ROUND(E29*G29,2)</f>
        <v/>
      </c>
      <c r="I29" s="5" t="n"/>
    </row>
    <row r="30">
      <c r="A30" s="4" t="inlineStr">
        <is>
          <t>02.12</t>
        </is>
      </c>
      <c r="B30" s="5" t="inlineStr">
        <is>
          <t>Removal of existing exposed plumbing</t>
        </is>
      </c>
      <c r="C30" s="5" t="inlineStr">
        <is>
          <t>Removal of existing exposed plumbing pipework.</t>
        </is>
      </c>
      <c r="D30" s="4" t="inlineStr">
        <is>
          <t>lot</t>
        </is>
      </c>
      <c r="E30" s="6" t="n">
        <v>1</v>
      </c>
      <c r="F30" s="4" t="inlineStr">
        <is>
          <t>Per documents</t>
        </is>
      </c>
      <c r="G30" s="7" t="n">
        <v>3450</v>
      </c>
      <c r="H30" s="7">
        <f>ROUND(E30*G30,2)</f>
        <v/>
      </c>
      <c r="I30" s="5" t="n"/>
    </row>
    <row r="31">
      <c r="A31" s="4" t="inlineStr">
        <is>
          <t>02.13</t>
        </is>
      </c>
      <c r="B31" s="5" t="inlineStr">
        <is>
          <t>Removal of existing A/C units</t>
        </is>
      </c>
      <c r="C31" s="5" t="inlineStr">
        <is>
          <t>Removal of existing indoor and outdoor air-conditioning units.</t>
        </is>
      </c>
      <c r="D31" s="4" t="inlineStr">
        <is>
          <t>lot</t>
        </is>
      </c>
      <c r="E31" s="6" t="n">
        <v>1</v>
      </c>
      <c r="F31" s="4" t="inlineStr">
        <is>
          <t>Per documents</t>
        </is>
      </c>
      <c r="G31" s="7" t="n">
        <v>2875</v>
      </c>
      <c r="H31" s="7">
        <f>ROUND(E31*G31,2)</f>
        <v/>
      </c>
      <c r="I31" s="5" t="n"/>
    </row>
    <row r="32">
      <c r="A32" s="4" t="inlineStr">
        <is>
          <t>02.14</t>
        </is>
      </c>
      <c r="B32" s="5" t="inlineStr">
        <is>
          <t>Removal of internal staircase balustrade</t>
        </is>
      </c>
      <c r="C32" s="5" t="inlineStr">
        <is>
          <t>Careful removal of the existing balustrade, ahead of strengthening works.</t>
        </is>
      </c>
      <c r="D32" s="4" t="inlineStr">
        <is>
          <t>lot</t>
        </is>
      </c>
      <c r="E32" s="6" t="n">
        <v>1</v>
      </c>
      <c r="F32" s="4" t="inlineStr">
        <is>
          <t>Per documents</t>
        </is>
      </c>
      <c r="G32" s="7" t="n">
        <v>2300</v>
      </c>
      <c r="H32" s="7">
        <f>ROUND(E32*G32,2)</f>
        <v/>
      </c>
      <c r="I32" s="5" t="n"/>
    </row>
    <row r="33">
      <c r="A33" s="4" t="inlineStr">
        <is>
          <t>02.15</t>
        </is>
      </c>
      <c r="B33" s="5" t="inlineStr">
        <is>
          <t>Sawing and removal of decorative concrete frames</t>
        </is>
      </c>
      <c r="C33" s="5" t="inlineStr">
        <is>
          <t>Sawing and removal of decorative concrete frames around windows to obtain a smooth, uniform facade; executed from scaffolding and subject to structural engineer's written approval.</t>
        </is>
      </c>
      <c r="D33" s="4" t="inlineStr">
        <is>
          <t>lm</t>
        </is>
      </c>
      <c r="E33" s="6" t="n">
        <v>45</v>
      </c>
      <c r="F33" s="4" t="inlineStr">
        <is>
          <t>Per documents</t>
        </is>
      </c>
      <c r="G33" s="7" t="n">
        <v>195</v>
      </c>
      <c r="H33" s="7">
        <f>ROUND(E33*G33,2)</f>
        <v/>
      </c>
      <c r="I33" s="5" t="n"/>
    </row>
    <row r="34">
      <c r="A34" s="4" t="inlineStr">
        <is>
          <t>02.16</t>
        </is>
      </c>
      <c r="B34" s="5" t="inlineStr">
        <is>
          <t>Waste sorting and removal to licensed site</t>
        </is>
      </c>
      <c r="C34" s="5" t="inlineStr">
        <is>
          <t>Sorting, loading and transport of demolition waste to a licensed site, with disposal certificates.</t>
        </is>
      </c>
      <c r="D34" s="4" t="inlineStr">
        <is>
          <t>lot</t>
        </is>
      </c>
      <c r="E34" s="6" t="n">
        <v>1</v>
      </c>
      <c r="F34" s="4" t="inlineStr">
        <is>
          <t>Per documents</t>
        </is>
      </c>
      <c r="G34" s="7" t="n">
        <v>32200</v>
      </c>
      <c r="H34" s="7">
        <f>ROUND(E34*G34,2)</f>
        <v/>
      </c>
      <c r="I34" s="5" t="n"/>
    </row>
    <row r="35">
      <c r="A35" s="4" t="inlineStr">
        <is>
          <t>02.17</t>
        </is>
      </c>
      <c r="B35" s="5" t="inlineStr">
        <is>
          <t>Thorough cleaning after demolition</t>
        </is>
      </c>
      <c r="C35" s="5" t="inlineStr">
        <is>
          <t>Thorough cleaning of all areas after demolition.</t>
        </is>
      </c>
      <c r="D35" s="4" t="inlineStr">
        <is>
          <t>lot</t>
        </is>
      </c>
      <c r="E35" s="6" t="n">
        <v>1</v>
      </c>
      <c r="F35" s="4" t="inlineStr">
        <is>
          <t>Per documents</t>
        </is>
      </c>
      <c r="G35" s="7" t="n">
        <v>3450</v>
      </c>
      <c r="H35" s="7">
        <f>ROUND(E35*G35,2)</f>
        <v/>
      </c>
      <c r="I35" s="5" t="n"/>
    </row>
    <row r="36">
      <c r="A36" s="4" t="inlineStr">
        <is>
          <t>02.18</t>
        </is>
      </c>
      <c r="B36" s="5" t="inlineStr">
        <is>
          <t>Removal of existing wall panels</t>
        </is>
      </c>
      <c r="C36" s="5" t="inlineStr">
        <is>
          <t>Removal of existing wall panels throughout the house.</t>
        </is>
      </c>
      <c r="D36" s="4" t="inlineStr">
        <is>
          <t>lot</t>
        </is>
      </c>
      <c r="E36" s="6" t="n">
        <v>1</v>
      </c>
      <c r="F36" s="4" t="inlineStr">
        <is>
          <t>Per documents</t>
        </is>
      </c>
      <c r="G36" s="7" t="n">
        <v>5175</v>
      </c>
      <c r="H36" s="7">
        <f>ROUND(E36*G36,2)</f>
        <v/>
      </c>
      <c r="I36" s="5" t="n"/>
    </row>
    <row r="37">
      <c r="A37" s="4" t="inlineStr">
        <is>
          <t>02.19</t>
        </is>
      </c>
      <c r="B37" s="5" t="inlineStr">
        <is>
          <t>Removal of external stairs</t>
        </is>
      </c>
      <c r="C37" s="5" t="inlineStr">
        <is>
          <t>Removal of existing external stairs.</t>
        </is>
      </c>
      <c r="D37" s="4" t="inlineStr">
        <is>
          <t>lot</t>
        </is>
      </c>
      <c r="E37" s="6" t="n">
        <v>1</v>
      </c>
      <c r="F37" s="4" t="inlineStr">
        <is>
          <t>Per documents</t>
        </is>
      </c>
      <c r="G37" s="7" t="n">
        <v>3450</v>
      </c>
      <c r="H37" s="7">
        <f>ROUND(E37*G37,2)</f>
        <v/>
      </c>
      <c r="I37" s="5" t="n"/>
    </row>
    <row r="38">
      <c r="A38" s="4" t="inlineStr">
        <is>
          <t>02.20</t>
        </is>
      </c>
      <c r="B38" s="5" t="inlineStr">
        <is>
          <t>Removal of granolithic flooring</t>
        </is>
      </c>
      <c r="C38" s="5" t="inlineStr">
        <is>
          <t>Removal of granolithic flooring in the parking area, entrance and paths.</t>
        </is>
      </c>
      <c r="D38" s="4" t="inlineStr">
        <is>
          <t>m²</t>
        </is>
      </c>
      <c r="E38" s="6" t="n">
        <v>100</v>
      </c>
      <c r="F38" s="4" t="inlineStr">
        <is>
          <t>Per documents</t>
        </is>
      </c>
      <c r="G38" s="7" t="n">
        <v>115</v>
      </c>
      <c r="H38" s="7">
        <f>ROUND(E38*G38,2)</f>
        <v/>
      </c>
      <c r="I38" s="5" t="n"/>
    </row>
    <row r="39">
      <c r="A39" s="8" t="inlineStr">
        <is>
          <t>Total – Chapter 02</t>
        </is>
      </c>
      <c r="B39" s="8" t="n"/>
      <c r="C39" s="8" t="n"/>
      <c r="D39" s="8" t="n"/>
      <c r="E39" s="8" t="n"/>
      <c r="F39" s="8" t="n"/>
      <c r="G39" s="8" t="n"/>
      <c r="H39" s="9">
        <f>SUM(H19:H38)</f>
        <v/>
      </c>
      <c r="I39" s="8" t="n"/>
    </row>
    <row r="41">
      <c r="A41" s="3" t="inlineStr">
        <is>
          <t>Chapter 3 — Structural Works and Extensions</t>
        </is>
      </c>
      <c r="B41" s="3" t="n"/>
      <c r="C41" s="3" t="n"/>
      <c r="D41" s="3" t="n"/>
      <c r="E41" s="3" t="n"/>
      <c r="F41" s="3" t="n"/>
      <c r="G41" s="3" t="n"/>
      <c r="H41" s="3" t="n"/>
      <c r="I41" s="3" t="n"/>
    </row>
    <row r="42">
      <c r="A42" s="4" t="inlineStr">
        <is>
          <t>03.01</t>
        </is>
      </c>
      <c r="B42" s="5" t="inlineStr">
        <is>
          <t>Enlargement of living-room balcony and new pergola</t>
        </is>
      </c>
      <c r="C42" s="5" t="inlineStr">
        <is>
          <t>Complete structural works per the structural engineer's drawings and specification.</t>
        </is>
      </c>
      <c r="D42" s="4" t="inlineStr">
        <is>
          <t>lot</t>
        </is>
      </c>
      <c r="E42" s="6" t="n">
        <v>1</v>
      </c>
      <c r="F42" s="4" t="inlineStr">
        <is>
          <t>Estimate – per engineer</t>
        </is>
      </c>
      <c r="G42" s="7" t="n">
        <v>80500</v>
      </c>
      <c r="H42" s="7">
        <f>ROUND(E42*G42,2)</f>
        <v/>
      </c>
      <c r="I42" s="5" t="inlineStr">
        <is>
          <t>Provisional sum pending structural drawings</t>
        </is>
      </c>
    </row>
    <row r="43">
      <c r="A43" s="4" t="inlineStr">
        <is>
          <t>03.02</t>
        </is>
      </c>
      <c r="B43" s="5" t="inlineStr">
        <is>
          <t>New room addition on the gallery level</t>
        </is>
      </c>
      <c r="C43" s="5" t="inlineStr">
        <is>
          <t>Complete structural works for the room addition per structural and architectural drawings, including connections to the existing structure and openings. Finishes and services under their own chapters.</t>
        </is>
      </c>
      <c r="D43" s="4" t="inlineStr">
        <is>
          <t>lot</t>
        </is>
      </c>
      <c r="E43" s="6" t="n">
        <v>1</v>
      </c>
      <c r="F43" s="4" t="inlineStr">
        <is>
          <t>Estimate – per engineer</t>
        </is>
      </c>
      <c r="G43" s="7" t="n">
        <v>138000</v>
      </c>
      <c r="H43" s="7">
        <f>ROUND(E43*G43,2)</f>
        <v/>
      </c>
      <c r="I43" s="5" t="inlineStr">
        <is>
          <t>Provisional sum pending structural drawings</t>
        </is>
      </c>
    </row>
    <row r="44">
      <c r="A44" s="4" t="inlineStr">
        <is>
          <t>03.03</t>
        </is>
      </c>
      <c r="B44" s="5" t="inlineStr">
        <is>
          <t>New entrance and staircase</t>
        </is>
      </c>
      <c r="C44" s="5" t="inlineStr">
        <is>
          <t>Complete works for the new entrance and staircase per the structural engineer.</t>
        </is>
      </c>
      <c r="D44" s="4" t="inlineStr">
        <is>
          <t>lot</t>
        </is>
      </c>
      <c r="E44" s="6" t="n">
        <v>1</v>
      </c>
      <c r="F44" s="4" t="inlineStr">
        <is>
          <t>Estimate – per engineer</t>
        </is>
      </c>
      <c r="G44" s="7" t="n">
        <v>43700</v>
      </c>
      <c r="H44" s="7">
        <f>ROUND(E44*G44,2)</f>
        <v/>
      </c>
      <c r="I44" s="5" t="inlineStr">
        <is>
          <t>Provisional sum pending structural drawings</t>
        </is>
      </c>
    </row>
    <row r="45">
      <c r="A45" s="4" t="inlineStr">
        <is>
          <t>03.04</t>
        </is>
      </c>
      <c r="B45" s="5" t="inlineStr">
        <is>
          <t>Strengthening of existing internal staircase</t>
        </is>
      </c>
      <c r="C45" s="5" t="inlineStr">
        <is>
          <t>Strengthening per the structural engineer, after removal of the balustrade.</t>
        </is>
      </c>
      <c r="D45" s="4" t="inlineStr">
        <is>
          <t>lot</t>
        </is>
      </c>
      <c r="E45" s="6" t="n">
        <v>1</v>
      </c>
      <c r="F45" s="4" t="inlineStr">
        <is>
          <t>Estimate – per engineer</t>
        </is>
      </c>
      <c r="G45" s="7" t="n">
        <v>20700</v>
      </c>
      <c r="H45" s="7">
        <f>ROUND(E45*G45,2)</f>
        <v/>
      </c>
      <c r="I45" s="5" t="inlineStr">
        <is>
          <t>Provisional sum pending structural drawings</t>
        </is>
      </c>
    </row>
    <row r="46">
      <c r="A46" s="8" t="inlineStr">
        <is>
          <t>Total – Chapter 03</t>
        </is>
      </c>
      <c r="B46" s="8" t="n"/>
      <c r="C46" s="8" t="n"/>
      <c r="D46" s="8" t="n"/>
      <c r="E46" s="8" t="n"/>
      <c r="F46" s="8" t="n"/>
      <c r="G46" s="8" t="n"/>
      <c r="H46" s="9">
        <f>SUM(H42:H45)</f>
        <v/>
      </c>
      <c r="I46" s="8" t="n"/>
    </row>
    <row r="48">
      <c r="A48" s="3" t="inlineStr">
        <is>
          <t>Chapter 4 — New Block Wall Partitions</t>
        </is>
      </c>
      <c r="B48" s="3" t="n"/>
      <c r="C48" s="3" t="n"/>
      <c r="D48" s="3" t="n"/>
      <c r="E48" s="3" t="n"/>
      <c r="F48" s="3" t="n"/>
      <c r="G48" s="3" t="n"/>
      <c r="H48" s="3" t="n"/>
      <c r="I48" s="3" t="n"/>
    </row>
    <row r="49">
      <c r="A49" s="4" t="inlineStr">
        <is>
          <t>04.01</t>
        </is>
      </c>
      <c r="B49" s="5" t="inlineStr">
        <is>
          <t>New block walls (20 cm) – basement</t>
        </is>
      </c>
      <c r="C49" s="5" t="inlineStr">
        <is>
          <t>Block walls per drawings.</t>
        </is>
      </c>
      <c r="D49" s="4" t="inlineStr">
        <is>
          <t>m²</t>
        </is>
      </c>
      <c r="E49" s="6" t="n">
        <v>6.3</v>
      </c>
      <c r="F49" s="4" t="inlineStr">
        <is>
          <t>Per documents</t>
        </is>
      </c>
      <c r="G49" s="7" t="n">
        <v>345</v>
      </c>
      <c r="H49" s="7">
        <f>ROUND(E49*G49,2)</f>
        <v/>
      </c>
      <c r="I49" s="5" t="n"/>
    </row>
    <row r="50">
      <c r="A50" s="4" t="inlineStr">
        <is>
          <t>04.02</t>
        </is>
      </c>
      <c r="B50" s="5" t="inlineStr">
        <is>
          <t>New block walls (20 cm) – ground floor</t>
        </is>
      </c>
      <c r="C50" s="5" t="inlineStr">
        <is>
          <t>Block walls per drawings.</t>
        </is>
      </c>
      <c r="D50" s="4" t="inlineStr">
        <is>
          <t>m²</t>
        </is>
      </c>
      <c r="E50" s="6" t="n">
        <v>17.7</v>
      </c>
      <c r="F50" s="4" t="inlineStr">
        <is>
          <t>Per documents</t>
        </is>
      </c>
      <c r="G50" s="7" t="n">
        <v>345</v>
      </c>
      <c r="H50" s="7">
        <f>ROUND(E50*G50,2)</f>
        <v/>
      </c>
      <c r="I50" s="5" t="n"/>
    </row>
    <row r="51">
      <c r="A51" s="4" t="inlineStr">
        <is>
          <t>04.03</t>
        </is>
      </c>
      <c r="B51" s="5" t="inlineStr">
        <is>
          <t>New block walls (20 cm) – first floor and gallery</t>
        </is>
      </c>
      <c r="C51" s="5" t="inlineStr">
        <is>
          <t>Block walls per drawings.</t>
        </is>
      </c>
      <c r="D51" s="4" t="inlineStr">
        <is>
          <t>m²</t>
        </is>
      </c>
      <c r="E51" s="6" t="n">
        <v>2.08</v>
      </c>
      <c r="F51" s="4" t="inlineStr">
        <is>
          <t>Per documents</t>
        </is>
      </c>
      <c r="G51" s="7" t="n">
        <v>345</v>
      </c>
      <c r="H51" s="7">
        <f>ROUND(E51*G51,2)</f>
        <v/>
      </c>
      <c r="I51" s="5" t="n"/>
    </row>
    <row r="52">
      <c r="A52" s="8" t="inlineStr">
        <is>
          <t>Total – Chapter 04</t>
        </is>
      </c>
      <c r="B52" s="8" t="n"/>
      <c r="C52" s="8" t="n"/>
      <c r="D52" s="8" t="n"/>
      <c r="E52" s="8" t="n"/>
      <c r="F52" s="8" t="n"/>
      <c r="G52" s="8" t="n"/>
      <c r="H52" s="9">
        <f>SUM(H49:H51)</f>
        <v/>
      </c>
      <c r="I52" s="8" t="n"/>
    </row>
    <row r="54">
      <c r="A54" s="3" t="inlineStr">
        <is>
          <t>Chapter 5 — Plumbing, Sanitary Fixtures and Taps</t>
        </is>
      </c>
      <c r="B54" s="3" t="n"/>
      <c r="C54" s="3" t="n"/>
      <c r="D54" s="3" t="n"/>
      <c r="E54" s="3" t="n"/>
      <c r="F54" s="3" t="n"/>
      <c r="G54" s="3" t="n"/>
      <c r="H54" s="3" t="n"/>
      <c r="I54" s="3" t="n"/>
    </row>
    <row r="55">
      <c r="A55" s="4" t="inlineStr">
        <is>
          <t>05.01</t>
        </is>
      </c>
      <c r="B55" s="5" t="inlineStr">
        <is>
          <t>Wall-hung WC pan</t>
        </is>
      </c>
      <c r="C55" s="5" t="inlineStr">
        <is>
          <t>Installation, fixing to the support frame, connection to flush system and drainage, and testing.</t>
        </is>
      </c>
      <c r="D55" s="4" t="inlineStr">
        <is>
          <t>pcs</t>
        </is>
      </c>
      <c r="E55" s="6" t="n">
        <v>7</v>
      </c>
      <c r="F55" s="4" t="inlineStr">
        <is>
          <t>Per documents</t>
        </is>
      </c>
      <c r="G55" s="7" t="n">
        <v>920</v>
      </c>
      <c r="H55" s="7">
        <f>ROUND(E55*G55,2)</f>
        <v/>
      </c>
      <c r="I55" s="5" t="inlineStr">
        <is>
          <t>Installation only; supply by Employer</t>
        </is>
      </c>
    </row>
    <row r="56">
      <c r="A56" s="4" t="inlineStr">
        <is>
          <t>05.02</t>
        </is>
      </c>
      <c r="B56" s="5" t="inlineStr">
        <is>
          <t>Concealed cistern and support frame</t>
        </is>
      </c>
      <c r="C56" s="5" t="inlineStr">
        <is>
          <t>Installation, anchoring, connection to water and WC, and leak test before closing the cladding.</t>
        </is>
      </c>
      <c r="D56" s="4" t="inlineStr">
        <is>
          <t>pcs</t>
        </is>
      </c>
      <c r="E56" s="6" t="n">
        <v>7</v>
      </c>
      <c r="F56" s="4" t="inlineStr">
        <is>
          <t>Per documents</t>
        </is>
      </c>
      <c r="G56" s="7" t="n">
        <v>1265</v>
      </c>
      <c r="H56" s="7">
        <f>ROUND(E56*G56,2)</f>
        <v/>
      </c>
      <c r="I56" s="5" t="inlineStr">
        <is>
          <t>Installation only; supply by Employer</t>
        </is>
      </c>
    </row>
    <row r="57">
      <c r="A57" s="4" t="inlineStr">
        <is>
          <t>05.03</t>
        </is>
      </c>
      <c r="B57" s="5" t="inlineStr">
        <is>
          <t>Flush plate</t>
        </is>
      </c>
      <c r="C57" s="5" t="inlineStr">
        <is>
          <t>Installation matching the concealed cistern and testing.</t>
        </is>
      </c>
      <c r="D57" s="4" t="inlineStr">
        <is>
          <t>pcs</t>
        </is>
      </c>
      <c r="E57" s="6" t="n">
        <v>7</v>
      </c>
      <c r="F57" s="4" t="inlineStr">
        <is>
          <t>Per documents</t>
        </is>
      </c>
      <c r="G57" s="7" t="n">
        <v>172</v>
      </c>
      <c r="H57" s="7">
        <f>ROUND(E57*G57,2)</f>
        <v/>
      </c>
      <c r="I57" s="5" t="inlineStr">
        <is>
          <t>Installation only; supply by Employer</t>
        </is>
      </c>
    </row>
    <row r="58">
      <c r="A58" s="4" t="inlineStr">
        <is>
          <t>05.04</t>
        </is>
      </c>
      <c r="B58" s="5" t="inlineStr">
        <is>
          <t>Hydraulic soft-close WC seat</t>
        </is>
      </c>
      <c r="C58" s="5" t="inlineStr">
        <is>
          <t>Installation and adjustment.</t>
        </is>
      </c>
      <c r="D58" s="4" t="inlineStr">
        <is>
          <t>pcs</t>
        </is>
      </c>
      <c r="E58" s="6" t="n">
        <v>7</v>
      </c>
      <c r="F58" s="4" t="inlineStr">
        <is>
          <t>Per documents</t>
        </is>
      </c>
      <c r="G58" s="7" t="n">
        <v>172</v>
      </c>
      <c r="H58" s="7">
        <f>ROUND(E58*G58,2)</f>
        <v/>
      </c>
      <c r="I58" s="5" t="inlineStr">
        <is>
          <t>Installation only; supply by Employer</t>
        </is>
      </c>
    </row>
    <row r="59">
      <c r="A59" s="4" t="inlineStr">
        <is>
          <t>05.05</t>
        </is>
      </c>
      <c r="B59" s="5" t="inlineStr">
        <is>
          <t>Freestanding washbasin</t>
        </is>
      </c>
      <c r="C59" s="5" t="inlineStr">
        <is>
          <t>Installation, fixing, connection to drainage and sealing.</t>
        </is>
      </c>
      <c r="D59" s="4" t="inlineStr">
        <is>
          <t>pcs</t>
        </is>
      </c>
      <c r="E59" s="6" t="n">
        <v>1</v>
      </c>
      <c r="F59" s="4" t="inlineStr">
        <is>
          <t>Per documents</t>
        </is>
      </c>
      <c r="G59" s="7" t="n">
        <v>690</v>
      </c>
      <c r="H59" s="7">
        <f>ROUND(E59*G59,2)</f>
        <v/>
      </c>
      <c r="I59" s="5" t="inlineStr">
        <is>
          <t>Installation only; supply by Employer</t>
        </is>
      </c>
    </row>
    <row r="60">
      <c r="A60" s="4" t="inlineStr">
        <is>
          <t>05.06</t>
        </is>
      </c>
      <c r="B60" s="5" t="inlineStr">
        <is>
          <t>Wall-mounted tap</t>
        </is>
      </c>
      <c r="C60" s="5" t="inlineStr">
        <is>
          <t>Installation and connection.</t>
        </is>
      </c>
      <c r="D60" s="4" t="inlineStr">
        <is>
          <t>pcs</t>
        </is>
      </c>
      <c r="E60" s="6" t="n">
        <v>6</v>
      </c>
      <c r="F60" s="4" t="inlineStr">
        <is>
          <t>Per documents</t>
        </is>
      </c>
      <c r="G60" s="7" t="n">
        <v>345</v>
      </c>
      <c r="H60" s="7">
        <f>ROUND(E60*G60,2)</f>
        <v/>
      </c>
      <c r="I60" s="5" t="inlineStr">
        <is>
          <t>Installation only; supply by Employer</t>
        </is>
      </c>
    </row>
    <row r="61">
      <c r="A61" s="4" t="inlineStr">
        <is>
          <t>05.07</t>
        </is>
      </c>
      <c r="B61" s="5" t="inlineStr">
        <is>
          <t>Rain shower head</t>
        </is>
      </c>
      <c r="C61" s="5" t="inlineStr">
        <is>
          <t>Installation and connection.</t>
        </is>
      </c>
      <c r="D61" s="4" t="inlineStr">
        <is>
          <t>pcs</t>
        </is>
      </c>
      <c r="E61" s="6" t="n">
        <v>6</v>
      </c>
      <c r="F61" s="4" t="inlineStr">
        <is>
          <t>Per documents</t>
        </is>
      </c>
      <c r="G61" s="7" t="n">
        <v>518</v>
      </c>
      <c r="H61" s="7">
        <f>ROUND(E61*G61,2)</f>
        <v/>
      </c>
      <c r="I61" s="5" t="inlineStr">
        <is>
          <t>Installation only; supply by Employer</t>
        </is>
      </c>
    </row>
    <row r="62">
      <c r="A62" s="4" t="inlineStr">
        <is>
          <t>05.08</t>
        </is>
      </c>
      <c r="B62" s="5" t="inlineStr">
        <is>
          <t>Three-way diverter valve</t>
        </is>
      </c>
      <c r="C62" s="5" t="inlineStr">
        <is>
          <t>Installation of three-way diverter (Interpoz-type) valve and trim.</t>
        </is>
      </c>
      <c r="D62" s="4" t="inlineStr">
        <is>
          <t>pcs</t>
        </is>
      </c>
      <c r="E62" s="6" t="n">
        <v>10</v>
      </c>
      <c r="F62" s="4" t="inlineStr">
        <is>
          <t>Per documents</t>
        </is>
      </c>
      <c r="G62" s="7" t="n">
        <v>518</v>
      </c>
      <c r="H62" s="7">
        <f>ROUND(E62*G62,2)</f>
        <v/>
      </c>
      <c r="I62" s="5" t="inlineStr">
        <is>
          <t>Installation only; supply by Employer</t>
        </is>
      </c>
    </row>
    <row r="63">
      <c r="A63" s="4" t="inlineStr">
        <is>
          <t>05.09</t>
        </is>
      </c>
      <c r="B63" s="5" t="inlineStr">
        <is>
          <t>Four-way diverter valve</t>
        </is>
      </c>
      <c r="C63" s="5" t="inlineStr">
        <is>
          <t>Installation of four-way diverter (Interpoz-type) valve and trim.</t>
        </is>
      </c>
      <c r="D63" s="4" t="inlineStr">
        <is>
          <t>pcs</t>
        </is>
      </c>
      <c r="E63" s="6" t="n">
        <v>2</v>
      </c>
      <c r="F63" s="4" t="inlineStr">
        <is>
          <t>Per documents</t>
        </is>
      </c>
      <c r="G63" s="7" t="n">
        <v>690</v>
      </c>
      <c r="H63" s="7">
        <f>ROUND(E63*G63,2)</f>
        <v/>
      </c>
      <c r="I63" s="5" t="inlineStr">
        <is>
          <t>Installation only; supply by Employer</t>
        </is>
      </c>
    </row>
    <row r="64">
      <c r="A64" s="4" t="inlineStr">
        <is>
          <t>05.10</t>
        </is>
      </c>
      <c r="B64" s="5" t="inlineStr">
        <is>
          <t>Shower hand-set holder</t>
        </is>
      </c>
      <c r="C64" s="5" t="inlineStr">
        <is>
          <t>Installation of hand-shower holder.</t>
        </is>
      </c>
      <c r="D64" s="4" t="inlineStr">
        <is>
          <t>pcs</t>
        </is>
      </c>
      <c r="E64" s="6" t="n">
        <v>7</v>
      </c>
      <c r="F64" s="4" t="inlineStr">
        <is>
          <t>Per documents</t>
        </is>
      </c>
      <c r="G64" s="7" t="n">
        <v>288</v>
      </c>
      <c r="H64" s="7">
        <f>ROUND(E64*G64,2)</f>
        <v/>
      </c>
      <c r="I64" s="5" t="inlineStr">
        <is>
          <t>Installation only; supply by Employer</t>
        </is>
      </c>
    </row>
    <row r="65">
      <c r="A65" s="4" t="inlineStr">
        <is>
          <t>05.11</t>
        </is>
      </c>
      <c r="B65" s="5" t="inlineStr">
        <is>
          <t>10/10 linear drain channel</t>
        </is>
      </c>
      <c r="C65" s="5" t="inlineStr">
        <is>
          <t>Installation and connection of drain channel.</t>
        </is>
      </c>
      <c r="D65" s="4" t="inlineStr">
        <is>
          <t>pcs</t>
        </is>
      </c>
      <c r="E65" s="6" t="n">
        <v>5</v>
      </c>
      <c r="F65" s="4" t="inlineStr">
        <is>
          <t>Per documents</t>
        </is>
      </c>
      <c r="G65" s="7" t="n">
        <v>747</v>
      </c>
      <c r="H65" s="7">
        <f>ROUND(E65*G65,2)</f>
        <v/>
      </c>
      <c r="I65" s="5" t="inlineStr">
        <is>
          <t>Installation only; supply by Employer</t>
        </is>
      </c>
    </row>
    <row r="66">
      <c r="A66" s="4" t="inlineStr">
        <is>
          <t>05.12</t>
        </is>
      </c>
      <c r="B66" s="5" t="inlineStr">
        <is>
          <t>110 overflow channel</t>
        </is>
      </c>
      <c r="C66" s="5" t="inlineStr">
        <is>
          <t>Installation of overflow channel.</t>
        </is>
      </c>
      <c r="D66" s="4" t="inlineStr">
        <is>
          <t>pcs</t>
        </is>
      </c>
      <c r="E66" s="6" t="n">
        <v>1</v>
      </c>
      <c r="F66" s="4" t="inlineStr">
        <is>
          <t>Per documents</t>
        </is>
      </c>
      <c r="G66" s="7" t="n">
        <v>1725</v>
      </c>
      <c r="H66" s="7">
        <f>ROUND(E66*G66,2)</f>
        <v/>
      </c>
      <c r="I66" s="5" t="inlineStr">
        <is>
          <t>Installation only; supply by Employer</t>
        </is>
      </c>
    </row>
    <row r="67">
      <c r="A67" s="4" t="inlineStr">
        <is>
          <t>05.13</t>
        </is>
      </c>
      <c r="B67" s="5" t="inlineStr">
        <is>
          <t>Freestanding bathtub</t>
        </is>
      </c>
      <c r="C67" s="5" t="inlineStr">
        <is>
          <t>Installation and connection of freestanding bathtub.</t>
        </is>
      </c>
      <c r="D67" s="4" t="inlineStr">
        <is>
          <t>pcs</t>
        </is>
      </c>
      <c r="E67" s="6" t="n">
        <v>1</v>
      </c>
      <c r="F67" s="4" t="inlineStr">
        <is>
          <t>Per documents</t>
        </is>
      </c>
      <c r="G67" s="7" t="n">
        <v>2530</v>
      </c>
      <c r="H67" s="7">
        <f>ROUND(E67*G67,2)</f>
        <v/>
      </c>
      <c r="I67" s="5" t="inlineStr">
        <is>
          <t>Installation only; supply by Employer</t>
        </is>
      </c>
    </row>
    <row r="68">
      <c r="A68" s="4" t="inlineStr">
        <is>
          <t>05.15</t>
        </is>
      </c>
      <c r="B68" s="5" t="inlineStr">
        <is>
          <t>Bath filler tap</t>
        </is>
      </c>
      <c r="C68" s="5" t="inlineStr">
        <is>
          <t>Installation of bath filler tap.</t>
        </is>
      </c>
      <c r="D68" s="4" t="inlineStr">
        <is>
          <t>pcs</t>
        </is>
      </c>
      <c r="E68" s="6" t="n">
        <v>1</v>
      </c>
      <c r="F68" s="4" t="inlineStr">
        <is>
          <t>Per documents</t>
        </is>
      </c>
      <c r="G68" s="7" t="n">
        <v>1150</v>
      </c>
      <c r="H68" s="7">
        <f>ROUND(E68*G68,2)</f>
        <v/>
      </c>
      <c r="I68" s="5" t="inlineStr">
        <is>
          <t>Installation only; supply by Employer</t>
        </is>
      </c>
    </row>
    <row r="69">
      <c r="A69" s="4" t="inlineStr">
        <is>
          <t>05.16</t>
        </is>
      </c>
      <c r="B69" s="5" t="inlineStr">
        <is>
          <t>Kitchen sink</t>
        </is>
      </c>
      <c r="C69" s="5" t="inlineStr">
        <is>
          <t>Installation, sealing and drain connection, coordinated with the countertop supplier.</t>
        </is>
      </c>
      <c r="D69" s="4" t="inlineStr">
        <is>
          <t>pcs</t>
        </is>
      </c>
      <c r="E69" s="6" t="n">
        <v>3</v>
      </c>
      <c r="F69" s="4" t="inlineStr">
        <is>
          <t>Per documents</t>
        </is>
      </c>
      <c r="G69" s="7" t="n">
        <v>747</v>
      </c>
      <c r="H69" s="7">
        <f>ROUND(E69*G69,2)</f>
        <v/>
      </c>
      <c r="I69" s="5" t="inlineStr">
        <is>
          <t>Installation only; supply by Employer</t>
        </is>
      </c>
    </row>
    <row r="70">
      <c r="A70" s="4" t="inlineStr">
        <is>
          <t>05.17</t>
        </is>
      </c>
      <c r="B70" s="5" t="inlineStr">
        <is>
          <t>Kitchen pull-out tap</t>
        </is>
      </c>
      <c r="C70" s="5" t="inlineStr">
        <is>
          <t>Installation, connection and function test.</t>
        </is>
      </c>
      <c r="D70" s="4" t="inlineStr">
        <is>
          <t>pcs</t>
        </is>
      </c>
      <c r="E70" s="6" t="n">
        <v>5</v>
      </c>
      <c r="F70" s="4" t="inlineStr">
        <is>
          <t>Per documents</t>
        </is>
      </c>
      <c r="G70" s="7" t="n">
        <v>518</v>
      </c>
      <c r="H70" s="7">
        <f>ROUND(E70*G70,2)</f>
        <v/>
      </c>
      <c r="I70" s="5" t="inlineStr">
        <is>
          <t>Installation only; supply by Employer</t>
        </is>
      </c>
    </row>
    <row r="71">
      <c r="A71" s="4" t="inlineStr">
        <is>
          <t>05.18</t>
        </is>
      </c>
      <c r="B71" s="5" t="inlineStr">
        <is>
          <t>Outdoor kitchen sink</t>
        </is>
      </c>
      <c r="C71" s="5" t="inlineStr">
        <is>
          <t>Installation and drain connection.</t>
        </is>
      </c>
      <c r="D71" s="4" t="inlineStr">
        <is>
          <t>pcs</t>
        </is>
      </c>
      <c r="E71" s="6" t="n">
        <v>2</v>
      </c>
      <c r="F71" s="4" t="inlineStr">
        <is>
          <t>Per documents</t>
        </is>
      </c>
      <c r="G71" s="7" t="n">
        <v>747</v>
      </c>
      <c r="H71" s="7">
        <f>ROUND(E71*G71,2)</f>
        <v/>
      </c>
      <c r="I71" s="5" t="inlineStr">
        <is>
          <t>Installation only; supply by Employer</t>
        </is>
      </c>
    </row>
    <row r="72">
      <c r="A72" s="4" t="inlineStr">
        <is>
          <t>05.19</t>
        </is>
      </c>
      <c r="B72" s="5" t="inlineStr">
        <is>
          <t>Outdoor pull-out tap</t>
        </is>
      </c>
      <c r="C72" s="5" t="inlineStr">
        <is>
          <t>Installation and connection.</t>
        </is>
      </c>
      <c r="D72" s="4" t="inlineStr">
        <is>
          <t>pcs</t>
        </is>
      </c>
      <c r="E72" s="6" t="n">
        <v>2</v>
      </c>
      <c r="F72" s="4" t="inlineStr">
        <is>
          <t>Per documents</t>
        </is>
      </c>
      <c r="G72" s="7" t="n">
        <v>518</v>
      </c>
      <c r="H72" s="7">
        <f>ROUND(E72*G72,2)</f>
        <v/>
      </c>
      <c r="I72" s="5" t="inlineStr">
        <is>
          <t>Installation only; supply by Employer</t>
        </is>
      </c>
    </row>
    <row r="73">
      <c r="A73" s="4" t="inlineStr">
        <is>
          <t>05.20</t>
        </is>
      </c>
      <c r="B73" s="5" t="inlineStr">
        <is>
          <t>Countertop basin / trough – guest WC</t>
        </is>
      </c>
      <c r="C73" s="5" t="inlineStr">
        <is>
          <t>Installation and connection.</t>
        </is>
      </c>
      <c r="D73" s="4" t="inlineStr">
        <is>
          <t>pcs</t>
        </is>
      </c>
      <c r="E73" s="6" t="n">
        <v>1</v>
      </c>
      <c r="F73" s="4" t="inlineStr">
        <is>
          <t>Per documents</t>
        </is>
      </c>
      <c r="G73" s="7" t="n">
        <v>747</v>
      </c>
      <c r="H73" s="7">
        <f>ROUND(E73*G73,2)</f>
        <v/>
      </c>
      <c r="I73" s="5" t="inlineStr">
        <is>
          <t>Installation only; supply by Employer</t>
        </is>
      </c>
    </row>
    <row r="74">
      <c r="A74" s="4" t="inlineStr">
        <is>
          <t>05.21</t>
        </is>
      </c>
      <c r="B74" s="5" t="inlineStr">
        <is>
          <t>Nile tap</t>
        </is>
      </c>
      <c r="C74" s="5" t="inlineStr">
        <is>
          <t>Installation of tap.</t>
        </is>
      </c>
      <c r="D74" s="4" t="inlineStr">
        <is>
          <t>pcs</t>
        </is>
      </c>
      <c r="E74" s="6" t="n">
        <v>11</v>
      </c>
      <c r="F74" s="4" t="inlineStr">
        <is>
          <t>Per documents</t>
        </is>
      </c>
      <c r="G74" s="7" t="n">
        <v>207</v>
      </c>
      <c r="H74" s="7">
        <f>ROUND(E74*G74,2)</f>
        <v/>
      </c>
      <c r="I74" s="5" t="inlineStr">
        <is>
          <t>Installation only; supply by Employer</t>
        </is>
      </c>
    </row>
    <row r="75">
      <c r="A75" s="4" t="inlineStr">
        <is>
          <t>05.22</t>
        </is>
      </c>
      <c r="B75" s="5" t="inlineStr">
        <is>
          <t>Tap with vanity unit – assembly</t>
        </is>
      </c>
      <c r="C75" s="5" t="inlineStr">
        <is>
          <t>Installation of tap and vanity unit as an assembly.</t>
        </is>
      </c>
      <c r="D75" s="4" t="inlineStr">
        <is>
          <t>pcs</t>
        </is>
      </c>
      <c r="E75" s="6" t="n">
        <v>1</v>
      </c>
      <c r="F75" s="4" t="inlineStr">
        <is>
          <t>Per documents</t>
        </is>
      </c>
      <c r="G75" s="7" t="n">
        <v>2070</v>
      </c>
      <c r="H75" s="7">
        <f>ROUND(E75*G75,2)</f>
        <v/>
      </c>
      <c r="I75" s="5" t="inlineStr">
        <is>
          <t>Installation only; supply by Employer</t>
        </is>
      </c>
    </row>
    <row r="76">
      <c r="A76" s="4" t="inlineStr">
        <is>
          <t>05.23</t>
        </is>
      </c>
      <c r="B76" s="5" t="inlineStr">
        <is>
          <t>60 external overflow channel</t>
        </is>
      </c>
      <c r="C76" s="5" t="inlineStr">
        <is>
          <t>Installation of external overflow channel.</t>
        </is>
      </c>
      <c r="D76" s="4" t="inlineStr">
        <is>
          <t>pcs</t>
        </is>
      </c>
      <c r="E76" s="6" t="n">
        <v>1</v>
      </c>
      <c r="F76" s="4" t="inlineStr">
        <is>
          <t>Per documents</t>
        </is>
      </c>
      <c r="G76" s="7" t="n">
        <v>1380</v>
      </c>
      <c r="H76" s="7">
        <f>ROUND(E76*G76,2)</f>
        <v/>
      </c>
      <c r="I76" s="5" t="inlineStr">
        <is>
          <t>Installation only; supply by Employer</t>
        </is>
      </c>
    </row>
    <row r="77">
      <c r="A77" s="4" t="inlineStr">
        <is>
          <t>05.24</t>
        </is>
      </c>
      <c r="B77" s="5" t="inlineStr">
        <is>
          <t>Bar sink</t>
        </is>
      </c>
      <c r="C77" s="5" t="inlineStr">
        <is>
          <t>Installation and connection.</t>
        </is>
      </c>
      <c r="D77" s="4" t="inlineStr">
        <is>
          <t>pcs</t>
        </is>
      </c>
      <c r="E77" s="6" t="n">
        <v>2</v>
      </c>
      <c r="F77" s="4" t="inlineStr">
        <is>
          <t>Per documents</t>
        </is>
      </c>
      <c r="G77" s="7" t="n">
        <v>632</v>
      </c>
      <c r="H77" s="7">
        <f>ROUND(E77*G77,2)</f>
        <v/>
      </c>
      <c r="I77" s="5" t="inlineStr">
        <is>
          <t>Installation only; supply by Employer</t>
        </is>
      </c>
    </row>
    <row r="78">
      <c r="A78" s="4" t="inlineStr">
        <is>
          <t>05.25</t>
        </is>
      </c>
      <c r="B78" s="5" t="inlineStr">
        <is>
          <t>Hot and cold water point</t>
        </is>
      </c>
      <c r="C78" s="5" t="inlineStr">
        <is>
          <t>Supply pipework and point.</t>
        </is>
      </c>
      <c r="D78" s="4" t="inlineStr">
        <is>
          <t>pt</t>
        </is>
      </c>
      <c r="E78" s="6" t="n">
        <v>23</v>
      </c>
      <c r="F78" s="4" t="inlineStr">
        <is>
          <t>Per documents</t>
        </is>
      </c>
      <c r="G78" s="7" t="n">
        <v>1380</v>
      </c>
      <c r="H78" s="7">
        <f>ROUND(E78*G78,2)</f>
        <v/>
      </c>
      <c r="I78" s="5" t="n"/>
    </row>
    <row r="79">
      <c r="A79" s="4" t="inlineStr">
        <is>
          <t>05.26</t>
        </is>
      </c>
      <c r="B79" s="5" t="inlineStr">
        <is>
          <t>Cold water point for cistern</t>
        </is>
      </c>
      <c r="C79" s="5" t="inlineStr">
        <is>
          <t>Supply pipework and point.</t>
        </is>
      </c>
      <c r="D79" s="4" t="inlineStr">
        <is>
          <t>pt</t>
        </is>
      </c>
      <c r="E79" s="6" t="n">
        <v>7</v>
      </c>
      <c r="F79" s="4" t="inlineStr">
        <is>
          <t>Per documents</t>
        </is>
      </c>
      <c r="G79" s="7" t="n">
        <v>575</v>
      </c>
      <c r="H79" s="7">
        <f>ROUND(E79*G79,2)</f>
        <v/>
      </c>
      <c r="I79" s="5" t="n"/>
    </row>
    <row r="80">
      <c r="A80" s="4" t="inlineStr">
        <is>
          <t>05.27</t>
        </is>
      </c>
      <c r="B80" s="5" t="inlineStr">
        <is>
          <t>Sewage point for WC</t>
        </is>
      </c>
      <c r="C80" s="5" t="inlineStr">
        <is>
          <t>Drainage pipework and point.</t>
        </is>
      </c>
      <c r="D80" s="4" t="inlineStr">
        <is>
          <t>pt</t>
        </is>
      </c>
      <c r="E80" s="6" t="n">
        <v>7</v>
      </c>
      <c r="F80" s="4" t="inlineStr">
        <is>
          <t>Per documents</t>
        </is>
      </c>
      <c r="G80" s="7" t="n">
        <v>805</v>
      </c>
      <c r="H80" s="7">
        <f>ROUND(E80*G80,2)</f>
        <v/>
      </c>
      <c r="I80" s="5" t="n"/>
    </row>
    <row r="81">
      <c r="A81" s="4" t="inlineStr">
        <is>
          <t>05.28</t>
        </is>
      </c>
      <c r="B81" s="5" t="inlineStr">
        <is>
          <t>Drain point for basin and bathtub</t>
        </is>
      </c>
      <c r="C81" s="5" t="inlineStr">
        <is>
          <t>Drainage pipework and point.</t>
        </is>
      </c>
      <c r="D81" s="4" t="inlineStr">
        <is>
          <t>pt</t>
        </is>
      </c>
      <c r="E81" s="6" t="n">
        <v>15</v>
      </c>
      <c r="F81" s="4" t="inlineStr">
        <is>
          <t>Per documents</t>
        </is>
      </c>
      <c r="G81" s="7" t="n">
        <v>518</v>
      </c>
      <c r="H81" s="7">
        <f>ROUND(E81*G81,2)</f>
        <v/>
      </c>
      <c r="I81" s="5" t="n"/>
    </row>
    <row r="82">
      <c r="A82" s="4" t="inlineStr">
        <is>
          <t>05.29</t>
        </is>
      </c>
      <c r="B82" s="5" t="inlineStr">
        <is>
          <t>Water and drain point for washing machine</t>
        </is>
      </c>
      <c r="C82" s="5" t="inlineStr">
        <is>
          <t>Supply and drain points.</t>
        </is>
      </c>
      <c r="D82" s="4" t="inlineStr">
        <is>
          <t>pt</t>
        </is>
      </c>
      <c r="E82" s="6" t="n">
        <v>2</v>
      </c>
      <c r="F82" s="4" t="inlineStr">
        <is>
          <t>Per documents</t>
        </is>
      </c>
      <c r="G82" s="7" t="n">
        <v>1035</v>
      </c>
      <c r="H82" s="7">
        <f>ROUND(E82*G82,2)</f>
        <v/>
      </c>
      <c r="I82" s="5" t="n"/>
    </row>
    <row r="83">
      <c r="A83" s="4" t="inlineStr">
        <is>
          <t>05.30</t>
        </is>
      </c>
      <c r="B83" s="5" t="inlineStr">
        <is>
          <t>Utility (bucket) tap</t>
        </is>
      </c>
      <c r="C83" s="5" t="inlineStr">
        <is>
          <t>Installation of utility tap.</t>
        </is>
      </c>
      <c r="D83" s="4" t="inlineStr">
        <is>
          <t>pcs</t>
        </is>
      </c>
      <c r="E83" s="6" t="n">
        <v>2</v>
      </c>
      <c r="F83" s="4" t="inlineStr">
        <is>
          <t>Per documents</t>
        </is>
      </c>
      <c r="G83" s="7" t="n">
        <v>207</v>
      </c>
      <c r="H83" s="7">
        <f>ROUND(E83*G83,2)</f>
        <v/>
      </c>
      <c r="I83" s="5" t="n"/>
    </row>
    <row r="84">
      <c r="A84" s="4" t="inlineStr">
        <is>
          <t>05.32</t>
        </is>
      </c>
      <c r="B84" s="5" t="inlineStr">
        <is>
          <t>Main supply lines and floor manifolds</t>
        </is>
      </c>
      <c r="C84" s="5" t="inlineStr">
        <is>
          <t>Main water supply lines and floor-level manifolds.</t>
        </is>
      </c>
      <c r="D84" s="4" t="inlineStr">
        <is>
          <t>lot</t>
        </is>
      </c>
      <c r="E84" s="6" t="n">
        <v>1</v>
      </c>
      <c r="F84" s="4" t="inlineStr">
        <is>
          <t>Per documents</t>
        </is>
      </c>
      <c r="G84" s="7" t="n">
        <v>23000</v>
      </c>
      <c r="H84" s="7">
        <f>ROUND(E84*G84,2)</f>
        <v/>
      </c>
      <c r="I84" s="5" t="n"/>
    </row>
    <row r="85">
      <c r="A85" s="4" t="inlineStr">
        <is>
          <t>05.33</t>
        </is>
      </c>
      <c r="B85" s="5" t="inlineStr">
        <is>
          <t>Main sewage and drainage system</t>
        </is>
      </c>
      <c r="C85" s="5" t="inlineStr">
        <is>
          <t>Main sewage and drainage system.</t>
        </is>
      </c>
      <c r="D85" s="4" t="inlineStr">
        <is>
          <t>lot</t>
        </is>
      </c>
      <c r="E85" s="6" t="n">
        <v>1</v>
      </c>
      <c r="F85" s="4" t="inlineStr">
        <is>
          <t>Per documents</t>
        </is>
      </c>
      <c r="G85" s="7" t="n">
        <v>20700</v>
      </c>
      <c r="H85" s="7">
        <f>ROUND(E85*G85,2)</f>
        <v/>
      </c>
      <c r="I85" s="5" t="n"/>
    </row>
    <row r="86">
      <c r="A86" s="4" t="inlineStr">
        <is>
          <t>05.34</t>
        </is>
      </c>
      <c r="B86" s="5" t="inlineStr">
        <is>
          <t>Water heater – installation and connection</t>
        </is>
      </c>
      <c r="C86" s="5" t="inlineStr">
        <is>
          <t>Installation and connection of water heater.</t>
        </is>
      </c>
      <c r="D86" s="4" t="inlineStr">
        <is>
          <t>pcs</t>
        </is>
      </c>
      <c r="E86" s="6" t="n">
        <v>2</v>
      </c>
      <c r="F86" s="4" t="inlineStr">
        <is>
          <t>Provisional – remeasure</t>
        </is>
      </c>
      <c r="G86" s="7" t="n">
        <v>1380</v>
      </c>
      <c r="H86" s="7">
        <f>ROUND(E86*G86,2)</f>
        <v/>
      </c>
      <c r="I86" s="5" t="inlineStr">
        <is>
          <t>Installation only; supply by Employer</t>
        </is>
      </c>
    </row>
    <row r="87">
      <c r="A87" s="4" t="inlineStr">
        <is>
          <t>05.35</t>
        </is>
      </c>
      <c r="B87" s="5" t="inlineStr">
        <is>
          <t>Pressure and leak tests, as-built drawings</t>
        </is>
      </c>
      <c r="C87" s="5" t="inlineStr">
        <is>
          <t>Testing of the plumbing systems and as-built documentation.</t>
        </is>
      </c>
      <c r="D87" s="4" t="inlineStr">
        <is>
          <t>lot</t>
        </is>
      </c>
      <c r="E87" s="6" t="n">
        <v>1</v>
      </c>
      <c r="F87" s="4" t="inlineStr">
        <is>
          <t>Per documents</t>
        </is>
      </c>
      <c r="G87" s="7" t="n">
        <v>2875</v>
      </c>
      <c r="H87" s="7">
        <f>ROUND(E87*G87,2)</f>
        <v/>
      </c>
      <c r="I87" s="5" t="n"/>
    </row>
    <row r="88">
      <c r="A88" s="8" t="inlineStr">
        <is>
          <t>Total – Chapter 05</t>
        </is>
      </c>
      <c r="B88" s="8" t="n"/>
      <c r="C88" s="8" t="n"/>
      <c r="D88" s="8" t="n"/>
      <c r="E88" s="8" t="n"/>
      <c r="F88" s="8" t="n"/>
      <c r="G88" s="8" t="n"/>
      <c r="H88" s="9">
        <f>SUM(H55:H87)</f>
        <v/>
      </c>
      <c r="I88" s="8" t="n"/>
    </row>
    <row r="90">
      <c r="A90" s="3" t="inlineStr">
        <is>
          <t>Chapter 6 — Electrical Works</t>
        </is>
      </c>
      <c r="B90" s="3" t="n"/>
      <c r="C90" s="3" t="n"/>
      <c r="D90" s="3" t="n"/>
      <c r="E90" s="3" t="n"/>
      <c r="F90" s="3" t="n"/>
      <c r="G90" s="3" t="n"/>
      <c r="H90" s="3" t="n"/>
      <c r="I90" s="3" t="n"/>
    </row>
    <row r="91">
      <c r="A91" s="4" t="inlineStr">
        <is>
          <t>06.01</t>
        </is>
      </c>
      <c r="B91" s="5" t="inlineStr">
        <is>
          <t>Standard socket point</t>
        </is>
      </c>
      <c r="C91" s="5" t="inlineStr">
        <is>
          <t>Wiring to the relevant circuit, accessory and test.</t>
        </is>
      </c>
      <c r="D91" s="4" t="inlineStr">
        <is>
          <t>pcs</t>
        </is>
      </c>
      <c r="E91" s="6" t="n">
        <v>119</v>
      </c>
      <c r="F91" s="4" t="inlineStr">
        <is>
          <t>Per documents</t>
        </is>
      </c>
      <c r="G91" s="7" t="n">
        <v>310</v>
      </c>
      <c r="H91" s="7">
        <f>ROUND(E91*G91,2)</f>
        <v/>
      </c>
      <c r="I91" s="5" t="n"/>
    </row>
    <row r="92">
      <c r="A92" s="4" t="inlineStr">
        <is>
          <t>06.02</t>
        </is>
      </c>
      <c r="B92" s="5" t="inlineStr">
        <is>
          <t>Waterproof socket point</t>
        </is>
      </c>
      <c r="C92" s="5" t="inlineStr">
        <is>
          <t>Waterproof socket point (IP44 or above).</t>
        </is>
      </c>
      <c r="D92" s="4" t="inlineStr">
        <is>
          <t>pcs</t>
        </is>
      </c>
      <c r="E92" s="6" t="n">
        <v>51</v>
      </c>
      <c r="F92" s="4" t="inlineStr">
        <is>
          <t>Per documents</t>
        </is>
      </c>
      <c r="G92" s="7" t="n">
        <v>368</v>
      </c>
      <c r="H92" s="7">
        <f>ROUND(E92*G92,2)</f>
        <v/>
      </c>
      <c r="I92" s="5" t="n"/>
    </row>
    <row r="93">
      <c r="A93" s="4" t="inlineStr">
        <is>
          <t>06.03</t>
        </is>
      </c>
      <c r="B93" s="5" t="inlineStr">
        <is>
          <t>Infrastructure for electric roller shutter</t>
        </is>
      </c>
      <c r="C93" s="5" t="inlineStr">
        <is>
          <t>Conduit and wiring for electric shutter operation.</t>
        </is>
      </c>
      <c r="D93" s="4" t="inlineStr">
        <is>
          <t>pcs</t>
        </is>
      </c>
      <c r="E93" s="6" t="n">
        <v>18</v>
      </c>
      <c r="F93" s="4" t="inlineStr">
        <is>
          <t>Per documents</t>
        </is>
      </c>
      <c r="G93" s="7" t="n">
        <v>437</v>
      </c>
      <c r="H93" s="7">
        <f>ROUND(E93*G93,2)</f>
        <v/>
      </c>
      <c r="I93" s="5" t="n"/>
    </row>
    <row r="94">
      <c r="A94" s="4" t="inlineStr">
        <is>
          <t>06.04</t>
        </is>
      </c>
      <c r="B94" s="5" t="inlineStr">
        <is>
          <t>Shutter motor socket</t>
        </is>
      </c>
      <c r="C94" s="5" t="inlineStr">
        <is>
          <t>Socket for shutter motor.</t>
        </is>
      </c>
      <c r="D94" s="4" t="inlineStr">
        <is>
          <t>pcs</t>
        </is>
      </c>
      <c r="E94" s="6" t="n">
        <v>9</v>
      </c>
      <c r="F94" s="4" t="inlineStr">
        <is>
          <t>Per documents</t>
        </is>
      </c>
      <c r="G94" s="7" t="n">
        <v>253</v>
      </c>
      <c r="H94" s="7">
        <f>ROUND(E94*G94,2)</f>
        <v/>
      </c>
      <c r="I94" s="5" t="n"/>
    </row>
    <row r="95">
      <c r="A95" s="4" t="inlineStr">
        <is>
          <t>06.05</t>
        </is>
      </c>
      <c r="B95" s="5" t="inlineStr">
        <is>
          <t>Three-phase socket point</t>
        </is>
      </c>
      <c r="C95" s="5" t="inlineStr">
        <is>
          <t>Three-phase socket point.</t>
        </is>
      </c>
      <c r="D95" s="4" t="inlineStr">
        <is>
          <t>pcs</t>
        </is>
      </c>
      <c r="E95" s="6" t="n">
        <v>1</v>
      </c>
      <c r="F95" s="4" t="inlineStr">
        <is>
          <t>Per documents</t>
        </is>
      </c>
      <c r="G95" s="7" t="n">
        <v>1035</v>
      </c>
      <c r="H95" s="7">
        <f>ROUND(E95*G95,2)</f>
        <v/>
      </c>
      <c r="I95" s="5" t="n"/>
    </row>
    <row r="96">
      <c r="A96" s="4" t="inlineStr">
        <is>
          <t>06.06</t>
        </is>
      </c>
      <c r="B96" s="5" t="inlineStr">
        <is>
          <t>Extension of main distribution board</t>
        </is>
      </c>
      <c r="C96" s="5" t="inlineStr">
        <is>
          <t>Extension of the main board for the total added load.</t>
        </is>
      </c>
      <c r="D96" s="4" t="inlineStr">
        <is>
          <t>lot</t>
        </is>
      </c>
      <c r="E96" s="6" t="n">
        <v>1</v>
      </c>
      <c r="F96" s="4" t="inlineStr">
        <is>
          <t>Per documents</t>
        </is>
      </c>
      <c r="G96" s="7" t="n">
        <v>9775</v>
      </c>
      <c r="H96" s="7">
        <f>ROUND(E96*G96,2)</f>
        <v/>
      </c>
      <c r="I96" s="5" t="n"/>
    </row>
    <row r="97">
      <c r="A97" s="4" t="inlineStr">
        <is>
          <t>06.07</t>
        </is>
      </c>
      <c r="B97" s="5" t="inlineStr">
        <is>
          <t>Electricity company pillar – supply and installation</t>
        </is>
      </c>
      <c r="C97" s="5" t="inlineStr">
        <is>
          <t>Supply and installation of the new electricity company pillar at the plot entrance.</t>
        </is>
      </c>
      <c r="D97" s="4" t="inlineStr">
        <is>
          <t>lot</t>
        </is>
      </c>
      <c r="E97" s="6" t="n">
        <v>1</v>
      </c>
      <c r="F97" s="4" t="inlineStr">
        <is>
          <t>Per documents</t>
        </is>
      </c>
      <c r="G97" s="7" t="n">
        <v>8050</v>
      </c>
      <c r="H97" s="7">
        <f>ROUND(E97*G97,2)</f>
        <v/>
      </c>
      <c r="I97" s="5" t="n"/>
    </row>
    <row r="98">
      <c r="A98" s="4" t="inlineStr">
        <is>
          <t>06.08</t>
        </is>
      </c>
      <c r="B98" s="5" t="inlineStr">
        <is>
          <t>Handling of supply upgrade</t>
        </is>
      </c>
      <c r="C98" s="5" t="inlineStr">
        <is>
          <t>Preparing and submitting plans to the electricity company for upgrade to 3×40A and obtaining approvals. Fees and upgrade charges payable to the electricity company by the Employer.</t>
        </is>
      </c>
      <c r="D98" s="4" t="inlineStr">
        <is>
          <t>lot</t>
        </is>
      </c>
      <c r="E98" s="6" t="n">
        <v>1</v>
      </c>
      <c r="F98" s="4" t="inlineStr">
        <is>
          <t>Per documents</t>
        </is>
      </c>
      <c r="G98" s="7" t="n">
        <v>5175</v>
      </c>
      <c r="H98" s="7">
        <f>ROUND(E98*G98,2)</f>
        <v/>
      </c>
      <c r="I98" s="5" t="n"/>
    </row>
    <row r="99">
      <c r="A99" s="4" t="inlineStr">
        <is>
          <t>06.09</t>
        </is>
      </c>
      <c r="B99" s="5" t="inlineStr">
        <is>
          <t>Final electrical inspection</t>
        </is>
      </c>
      <c r="C99" s="5" t="inlineStr">
        <is>
          <t>Final inspection by a certified inspector, certificate and test report.</t>
        </is>
      </c>
      <c r="D99" s="4" t="inlineStr">
        <is>
          <t>lot</t>
        </is>
      </c>
      <c r="E99" s="6" t="n">
        <v>1</v>
      </c>
      <c r="F99" s="4" t="inlineStr">
        <is>
          <t>Per documents</t>
        </is>
      </c>
      <c r="G99" s="7" t="n">
        <v>2875</v>
      </c>
      <c r="H99" s="7">
        <f>ROUND(E99*G99,2)</f>
        <v/>
      </c>
      <c r="I99" s="5" t="n"/>
    </row>
    <row r="100">
      <c r="A100" s="4" t="inlineStr">
        <is>
          <t>06.10</t>
        </is>
      </c>
      <c r="B100" s="5" t="inlineStr">
        <is>
          <t>Power socket point</t>
        </is>
      </c>
      <c r="C100" s="5" t="inlineStr">
        <is>
          <t>Power socket point.</t>
        </is>
      </c>
      <c r="D100" s="4" t="inlineStr">
        <is>
          <t>pcs</t>
        </is>
      </c>
      <c r="E100" s="6" t="n">
        <v>9</v>
      </c>
      <c r="F100" s="4" t="inlineStr">
        <is>
          <t>Per documents</t>
        </is>
      </c>
      <c r="G100" s="7" t="n">
        <v>437</v>
      </c>
      <c r="H100" s="7">
        <f>ROUND(E100*G100,2)</f>
        <v/>
      </c>
      <c r="I100" s="5" t="n"/>
    </row>
    <row r="101">
      <c r="A101" s="4" t="inlineStr">
        <is>
          <t>06.11</t>
        </is>
      </c>
      <c r="B101" s="5" t="inlineStr">
        <is>
          <t>Supply point for A/C unit</t>
        </is>
      </c>
      <c r="C101" s="5" t="inlineStr">
        <is>
          <t>Dedicated supply point for an A/C unit.</t>
        </is>
      </c>
      <c r="D101" s="4" t="inlineStr">
        <is>
          <t>pt</t>
        </is>
      </c>
      <c r="E101" s="6" t="n">
        <v>8</v>
      </c>
      <c r="F101" s="4" t="inlineStr">
        <is>
          <t>Provisional – remeasure</t>
        </is>
      </c>
      <c r="G101" s="7" t="n">
        <v>862</v>
      </c>
      <c r="H101" s="7">
        <f>ROUND(E101*G101,2)</f>
        <v/>
      </c>
      <c r="I101" s="5" t="n"/>
    </row>
    <row r="102">
      <c r="A102" s="4" t="inlineStr">
        <is>
          <t>06.12</t>
        </is>
      </c>
      <c r="B102" s="5" t="inlineStr">
        <is>
          <t>Direct connection point</t>
        </is>
      </c>
      <c r="C102" s="5" t="inlineStr">
        <is>
          <t>Direct electrical connection point for fixed appliances.</t>
        </is>
      </c>
      <c r="D102" s="4" t="inlineStr">
        <is>
          <t>pt</t>
        </is>
      </c>
      <c r="E102" s="6" t="n">
        <v>6</v>
      </c>
      <c r="F102" s="4" t="inlineStr">
        <is>
          <t>Provisional – remeasure</t>
        </is>
      </c>
      <c r="G102" s="7" t="n">
        <v>598</v>
      </c>
      <c r="H102" s="7">
        <f>ROUND(E102*G102,2)</f>
        <v/>
      </c>
      <c r="I102" s="5" t="n"/>
    </row>
    <row r="103">
      <c r="A103" s="4" t="inlineStr">
        <is>
          <t>06.13</t>
        </is>
      </c>
      <c r="B103" s="5" t="inlineStr">
        <is>
          <t>Boiler switch with indicator</t>
        </is>
      </c>
      <c r="C103" s="5" t="inlineStr">
        <is>
          <t>Boiler switch with indicator light.</t>
        </is>
      </c>
      <c r="D103" s="4" t="inlineStr">
        <is>
          <t>pcs</t>
        </is>
      </c>
      <c r="E103" s="6" t="n">
        <v>2</v>
      </c>
      <c r="F103" s="4" t="inlineStr">
        <is>
          <t>Provisional – remeasure</t>
        </is>
      </c>
      <c r="G103" s="7" t="n">
        <v>402</v>
      </c>
      <c r="H103" s="7">
        <f>ROUND(E103*G103,2)</f>
        <v/>
      </c>
      <c r="I103" s="5" t="n"/>
    </row>
    <row r="104">
      <c r="A104" s="4" t="inlineStr">
        <is>
          <t>06.14</t>
        </is>
      </c>
      <c r="B104" s="5" t="inlineStr">
        <is>
          <t>A/C thermostat point</t>
        </is>
      </c>
      <c r="C104" s="5" t="inlineStr">
        <is>
          <t>Thermostat wiring point.</t>
        </is>
      </c>
      <c r="D104" s="4" t="inlineStr">
        <is>
          <t>pt</t>
        </is>
      </c>
      <c r="E104" s="6" t="n">
        <v>8</v>
      </c>
      <c r="F104" s="4" t="inlineStr">
        <is>
          <t>Provisional – remeasure</t>
        </is>
      </c>
      <c r="G104" s="7" t="n">
        <v>460</v>
      </c>
      <c r="H104" s="7">
        <f>ROUND(E104*G104,2)</f>
        <v/>
      </c>
      <c r="I104" s="5" t="n"/>
    </row>
    <row r="105">
      <c r="A105" s="4" t="inlineStr">
        <is>
          <t>06.15</t>
        </is>
      </c>
      <c r="B105" s="5" t="inlineStr">
        <is>
          <t>Doorbell and push button</t>
        </is>
      </c>
      <c r="C105" s="5" t="inlineStr">
        <is>
          <t>Doorbell and push button.</t>
        </is>
      </c>
      <c r="D105" s="4" t="inlineStr">
        <is>
          <t>lot</t>
        </is>
      </c>
      <c r="E105" s="6" t="n">
        <v>1</v>
      </c>
      <c r="F105" s="4" t="inlineStr">
        <is>
          <t>Per documents</t>
        </is>
      </c>
      <c r="G105" s="7" t="n">
        <v>747</v>
      </c>
      <c r="H105" s="7">
        <f>ROUND(E105*G105,2)</f>
        <v/>
      </c>
      <c r="I105" s="5" t="n"/>
    </row>
    <row r="106">
      <c r="A106" s="8" t="inlineStr">
        <is>
          <t>Total – Chapter 06</t>
        </is>
      </c>
      <c r="B106" s="8" t="n"/>
      <c r="C106" s="8" t="n"/>
      <c r="D106" s="8" t="n"/>
      <c r="E106" s="8" t="n"/>
      <c r="F106" s="8" t="n"/>
      <c r="G106" s="8" t="n"/>
      <c r="H106" s="9">
        <f>SUM(H91:H105)</f>
        <v/>
      </c>
      <c r="I106" s="8" t="n"/>
    </row>
    <row r="108">
      <c r="A108" s="3" t="inlineStr">
        <is>
          <t>Chapter 7 — Lighting and Light Switches</t>
        </is>
      </c>
      <c r="B108" s="3" t="n"/>
      <c r="C108" s="3" t="n"/>
      <c r="D108" s="3" t="n"/>
      <c r="E108" s="3" t="n"/>
      <c r="F108" s="3" t="n"/>
      <c r="G108" s="3" t="n"/>
      <c r="H108" s="3" t="n"/>
      <c r="I108" s="3" t="n"/>
    </row>
    <row r="109">
      <c r="A109" s="4" t="inlineStr">
        <is>
          <t>07.01</t>
        </is>
      </c>
      <c r="B109" s="5" t="inlineStr">
        <is>
          <t>Lighting switches (single / double / triple / quad)</t>
        </is>
      </c>
      <c r="C109" s="5" t="inlineStr">
        <is>
          <t>Installation of lighting switches.</t>
        </is>
      </c>
      <c r="D109" s="4" t="inlineStr">
        <is>
          <t>pcs</t>
        </is>
      </c>
      <c r="E109" s="6" t="n">
        <v>55</v>
      </c>
      <c r="F109" s="4" t="inlineStr">
        <is>
          <t>Provisional – remeasure</t>
        </is>
      </c>
      <c r="G109" s="7" t="n">
        <v>172</v>
      </c>
      <c r="H109" s="7">
        <f>ROUND(E109*G109,2)</f>
        <v/>
      </c>
      <c r="I109" s="5" t="n"/>
    </row>
    <row r="110">
      <c r="A110" s="4" t="inlineStr">
        <is>
          <t>07.02</t>
        </is>
      </c>
      <c r="B110" s="5" t="inlineStr">
        <is>
          <t>Two-way switches (single / triple)</t>
        </is>
      </c>
      <c r="C110" s="5" t="inlineStr">
        <is>
          <t>Installation of two-way switches.</t>
        </is>
      </c>
      <c r="D110" s="4" t="inlineStr">
        <is>
          <t>pcs</t>
        </is>
      </c>
      <c r="E110" s="6" t="n">
        <v>12</v>
      </c>
      <c r="F110" s="4" t="inlineStr">
        <is>
          <t>Provisional – remeasure</t>
        </is>
      </c>
      <c r="G110" s="7" t="n">
        <v>230</v>
      </c>
      <c r="H110" s="7">
        <f>ROUND(E110*G110,2)</f>
        <v/>
      </c>
      <c r="I110" s="5" t="n"/>
    </row>
    <row r="111">
      <c r="A111" s="4" t="inlineStr">
        <is>
          <t>07.03</t>
        </is>
      </c>
      <c r="B111" s="5" t="inlineStr">
        <is>
          <t>Ceiling-mounted light fitting</t>
        </is>
      </c>
      <c r="C111" s="5" t="inlineStr">
        <is>
          <t>Installation, electrical connection and test.</t>
        </is>
      </c>
      <c r="D111" s="4" t="inlineStr">
        <is>
          <t>pcs</t>
        </is>
      </c>
      <c r="E111" s="6" t="n">
        <v>15</v>
      </c>
      <c r="F111" s="4" t="inlineStr">
        <is>
          <t>Per documents</t>
        </is>
      </c>
      <c r="G111" s="7" t="n">
        <v>253</v>
      </c>
      <c r="H111" s="7">
        <f>ROUND(E111*G111,2)</f>
        <v/>
      </c>
      <c r="I111" s="5" t="inlineStr">
        <is>
          <t>Installation only; supply by Employer</t>
        </is>
      </c>
    </row>
    <row r="112">
      <c r="A112" s="4" t="inlineStr">
        <is>
          <t>07.04</t>
        </is>
      </c>
      <c r="B112" s="5" t="inlineStr">
        <is>
          <t>Pendant light fitting</t>
        </is>
      </c>
      <c r="C112" s="5" t="inlineStr">
        <is>
          <t>Installation, suspension system, height adjustment per plan, connection and test.</t>
        </is>
      </c>
      <c r="D112" s="4" t="inlineStr">
        <is>
          <t>pcs</t>
        </is>
      </c>
      <c r="E112" s="6" t="n">
        <v>22</v>
      </c>
      <c r="F112" s="4" t="inlineStr">
        <is>
          <t>Per documents</t>
        </is>
      </c>
      <c r="G112" s="7" t="n">
        <v>368</v>
      </c>
      <c r="H112" s="7">
        <f>ROUND(E112*G112,2)</f>
        <v/>
      </c>
      <c r="I112" s="5" t="inlineStr">
        <is>
          <t>Installation only; supply by Employer</t>
        </is>
      </c>
    </row>
    <row r="113">
      <c r="A113" s="4" t="inlineStr">
        <is>
          <t>07.05</t>
        </is>
      </c>
      <c r="B113" s="5" t="inlineStr">
        <is>
          <t>Protected wall light fitting</t>
        </is>
      </c>
      <c r="C113" s="5" t="inlineStr">
        <is>
          <t>Installation and connection.</t>
        </is>
      </c>
      <c r="D113" s="4" t="inlineStr">
        <is>
          <t>pcs</t>
        </is>
      </c>
      <c r="E113" s="6" t="n">
        <v>30</v>
      </c>
      <c r="F113" s="4" t="inlineStr">
        <is>
          <t>Per documents</t>
        </is>
      </c>
      <c r="G113" s="7" t="n">
        <v>253</v>
      </c>
      <c r="H113" s="7">
        <f>ROUND(E113*G113,2)</f>
        <v/>
      </c>
      <c r="I113" s="5" t="inlineStr">
        <is>
          <t>Installation only; supply by Employer</t>
        </is>
      </c>
    </row>
    <row r="114">
      <c r="A114" s="4" t="inlineStr">
        <is>
          <t>07.06</t>
        </is>
      </c>
      <c r="B114" s="5" t="inlineStr">
        <is>
          <t>Protected recessed wall light fitting</t>
        </is>
      </c>
      <c r="C114" s="5" t="inlineStr">
        <is>
          <t>Installation and connection.</t>
        </is>
      </c>
      <c r="D114" s="4" t="inlineStr">
        <is>
          <t>pcs</t>
        </is>
      </c>
      <c r="E114" s="6" t="n">
        <v>35</v>
      </c>
      <c r="F114" s="4" t="inlineStr">
        <is>
          <t>Per documents</t>
        </is>
      </c>
      <c r="G114" s="7" t="n">
        <v>345</v>
      </c>
      <c r="H114" s="7">
        <f>ROUND(E114*G114,2)</f>
        <v/>
      </c>
      <c r="I114" s="5" t="inlineStr">
        <is>
          <t>Installation only; supply by Employer</t>
        </is>
      </c>
    </row>
    <row r="115">
      <c r="A115" s="4" t="inlineStr">
        <is>
          <t>07.07</t>
        </is>
      </c>
      <c r="B115" s="5" t="inlineStr">
        <is>
          <t>Recessed spot in gypsum ceiling</t>
        </is>
      </c>
      <c r="C115" s="5" t="inlineStr">
        <is>
          <t>Installation and connection.</t>
        </is>
      </c>
      <c r="D115" s="4" t="inlineStr">
        <is>
          <t>pcs</t>
        </is>
      </c>
      <c r="E115" s="6" t="n">
        <v>25</v>
      </c>
      <c r="F115" s="4" t="inlineStr">
        <is>
          <t>Per documents</t>
        </is>
      </c>
      <c r="G115" s="7" t="n">
        <v>98</v>
      </c>
      <c r="H115" s="7">
        <f>ROUND(E115*G115,2)</f>
        <v/>
      </c>
      <c r="I115" s="5" t="inlineStr">
        <is>
          <t>Installation only; supply by Employer</t>
        </is>
      </c>
    </row>
    <row r="116">
      <c r="A116" s="4" t="inlineStr">
        <is>
          <t>07.08</t>
        </is>
      </c>
      <c r="B116" s="5" t="inlineStr">
        <is>
          <t>Concealed LED strip</t>
        </is>
      </c>
      <c r="C116" s="5" t="inlineStr">
        <is>
          <t>Installation of concealed LED strip.</t>
        </is>
      </c>
      <c r="D116" s="4" t="inlineStr">
        <is>
          <t>pcs</t>
        </is>
      </c>
      <c r="E116" s="6" t="n">
        <v>11</v>
      </c>
      <c r="F116" s="4" t="inlineStr">
        <is>
          <t>Per documents</t>
        </is>
      </c>
      <c r="G116" s="7" t="n">
        <v>402</v>
      </c>
      <c r="H116" s="7">
        <f>ROUND(E116*G116,2)</f>
        <v/>
      </c>
      <c r="I116" s="5" t="inlineStr">
        <is>
          <t>Installation only; supply by Employer</t>
        </is>
      </c>
    </row>
    <row r="117">
      <c r="A117" s="4" t="inlineStr">
        <is>
          <t>07.09</t>
        </is>
      </c>
      <c r="B117" s="5" t="inlineStr">
        <is>
          <t>Recessed linear fitting in gypsum</t>
        </is>
      </c>
      <c r="C117" s="5" t="inlineStr">
        <is>
          <t>Installation of recessed linear fitting.</t>
        </is>
      </c>
      <c r="D117" s="4" t="inlineStr">
        <is>
          <t>pcs</t>
        </is>
      </c>
      <c r="E117" s="6" t="n">
        <v>2</v>
      </c>
      <c r="F117" s="4" t="inlineStr">
        <is>
          <t>Per documents</t>
        </is>
      </c>
      <c r="G117" s="7" t="n">
        <v>518</v>
      </c>
      <c r="H117" s="7">
        <f>ROUND(E117*G117,2)</f>
        <v/>
      </c>
      <c r="I117" s="5" t="inlineStr">
        <is>
          <t>Installation only; supply by Employer</t>
        </is>
      </c>
    </row>
    <row r="118">
      <c r="A118" s="4" t="inlineStr">
        <is>
          <t>07.10</t>
        </is>
      </c>
      <c r="B118" s="5" t="inlineStr">
        <is>
          <t>Surface-mounted linear fitting</t>
        </is>
      </c>
      <c r="C118" s="5" t="inlineStr">
        <is>
          <t>Installation of ceiling-mounted linear fitting.</t>
        </is>
      </c>
      <c r="D118" s="4" t="inlineStr">
        <is>
          <t>pcs</t>
        </is>
      </c>
      <c r="E118" s="6" t="n">
        <v>9</v>
      </c>
      <c r="F118" s="4" t="inlineStr">
        <is>
          <t>Per documents</t>
        </is>
      </c>
      <c r="G118" s="7" t="n">
        <v>345</v>
      </c>
      <c r="H118" s="7">
        <f>ROUND(E118*G118,2)</f>
        <v/>
      </c>
      <c r="I118" s="5" t="inlineStr">
        <is>
          <t>Installation only; supply by Employer</t>
        </is>
      </c>
    </row>
    <row r="119">
      <c r="A119" s="4" t="inlineStr">
        <is>
          <t>07.11</t>
        </is>
      </c>
      <c r="B119" s="5" t="inlineStr">
        <is>
          <t>LED strip feed point</t>
        </is>
      </c>
      <c r="C119" s="5" t="inlineStr">
        <is>
          <t>Feed point for LED strip.</t>
        </is>
      </c>
      <c r="D119" s="4" t="inlineStr">
        <is>
          <t>pcs</t>
        </is>
      </c>
      <c r="E119" s="6" t="n">
        <v>25</v>
      </c>
      <c r="F119" s="4" t="inlineStr">
        <is>
          <t>Per documents</t>
        </is>
      </c>
      <c r="G119" s="7" t="n">
        <v>322</v>
      </c>
      <c r="H119" s="7">
        <f>ROUND(E119*G119,2)</f>
        <v/>
      </c>
      <c r="I119" s="5" t="inlineStr">
        <is>
          <t>Installation only; supply by Employer</t>
        </is>
      </c>
    </row>
    <row r="120">
      <c r="A120" s="4" t="inlineStr">
        <is>
          <t>07.12</t>
        </is>
      </c>
      <c r="B120" s="5" t="inlineStr">
        <is>
          <t>Waterproof light fitting</t>
        </is>
      </c>
      <c r="C120" s="5" t="inlineStr">
        <is>
          <t>Installation and connection.</t>
        </is>
      </c>
      <c r="D120" s="4" t="inlineStr">
        <is>
          <t>pcs</t>
        </is>
      </c>
      <c r="E120" s="6" t="n">
        <v>8</v>
      </c>
      <c r="F120" s="4" t="inlineStr">
        <is>
          <t>Per documents</t>
        </is>
      </c>
      <c r="G120" s="7" t="n">
        <v>276</v>
      </c>
      <c r="H120" s="7">
        <f>ROUND(E120*G120,2)</f>
        <v/>
      </c>
      <c r="I120" s="5" t="inlineStr">
        <is>
          <t>Installation only; supply by Employer</t>
        </is>
      </c>
    </row>
    <row r="121">
      <c r="A121" s="4" t="inlineStr">
        <is>
          <t>07.13</t>
        </is>
      </c>
      <c r="B121" s="5" t="inlineStr">
        <is>
          <t>Wall light fitting</t>
        </is>
      </c>
      <c r="C121" s="5" t="inlineStr">
        <is>
          <t>Installation and connection.</t>
        </is>
      </c>
      <c r="D121" s="4" t="inlineStr">
        <is>
          <t>pcs</t>
        </is>
      </c>
      <c r="E121" s="6" t="n">
        <v>5</v>
      </c>
      <c r="F121" s="4" t="inlineStr">
        <is>
          <t>Per documents</t>
        </is>
      </c>
      <c r="G121" s="7" t="n">
        <v>230</v>
      </c>
      <c r="H121" s="7">
        <f>ROUND(E121*G121,2)</f>
        <v/>
      </c>
      <c r="I121" s="5" t="inlineStr">
        <is>
          <t>Installation only; supply by Employer</t>
        </is>
      </c>
    </row>
    <row r="122">
      <c r="A122" s="4" t="inlineStr">
        <is>
          <t>07.14</t>
        </is>
      </c>
      <c r="B122" s="5" t="inlineStr">
        <is>
          <t>Recessed wall light fitting</t>
        </is>
      </c>
      <c r="C122" s="5" t="inlineStr">
        <is>
          <t>Installation and connection.</t>
        </is>
      </c>
      <c r="D122" s="4" t="inlineStr">
        <is>
          <t>pcs</t>
        </is>
      </c>
      <c r="E122" s="6" t="n">
        <v>10</v>
      </c>
      <c r="F122" s="4" t="inlineStr">
        <is>
          <t>Per documents</t>
        </is>
      </c>
      <c r="G122" s="7" t="n">
        <v>345</v>
      </c>
      <c r="H122" s="7">
        <f>ROUND(E122*G122,2)</f>
        <v/>
      </c>
      <c r="I122" s="5" t="inlineStr">
        <is>
          <t>Installation only; supply by Employer</t>
        </is>
      </c>
    </row>
    <row r="123">
      <c r="A123" s="4" t="inlineStr">
        <is>
          <t>07.15</t>
        </is>
      </c>
      <c r="B123" s="5" t="inlineStr">
        <is>
          <t>Ceiling fan with light</t>
        </is>
      </c>
      <c r="C123" s="5" t="inlineStr">
        <is>
          <t>Installation and connection.</t>
        </is>
      </c>
      <c r="D123" s="4" t="inlineStr">
        <is>
          <t>pcs</t>
        </is>
      </c>
      <c r="E123" s="6" t="n">
        <v>6</v>
      </c>
      <c r="F123" s="4" t="inlineStr">
        <is>
          <t>Per documents</t>
        </is>
      </c>
      <c r="G123" s="7" t="n">
        <v>598</v>
      </c>
      <c r="H123" s="7">
        <f>ROUND(E123*G123,2)</f>
        <v/>
      </c>
      <c r="I123" s="5" t="inlineStr">
        <is>
          <t>Installation only; supply by Employer</t>
        </is>
      </c>
    </row>
    <row r="124">
      <c r="A124" s="4" t="inlineStr">
        <is>
          <t>07.16</t>
        </is>
      </c>
      <c r="B124" s="5" t="inlineStr">
        <is>
          <t>Waterproof fan with light</t>
        </is>
      </c>
      <c r="C124" s="5" t="inlineStr">
        <is>
          <t>Installation and connection.</t>
        </is>
      </c>
      <c r="D124" s="4" t="inlineStr">
        <is>
          <t>pcs</t>
        </is>
      </c>
      <c r="E124" s="6" t="n">
        <v>6</v>
      </c>
      <c r="F124" s="4" t="inlineStr">
        <is>
          <t>Per documents</t>
        </is>
      </c>
      <c r="G124" s="7" t="n">
        <v>690</v>
      </c>
      <c r="H124" s="7">
        <f>ROUND(E124*G124,2)</f>
        <v/>
      </c>
      <c r="I124" s="5" t="inlineStr">
        <is>
          <t>Installation only; supply by Employer</t>
        </is>
      </c>
    </row>
    <row r="125">
      <c r="A125" s="4" t="inlineStr">
        <is>
          <t>07.17</t>
        </is>
      </c>
      <c r="B125" s="5" t="inlineStr">
        <is>
          <t>Surface-mounted cylinder spot</t>
        </is>
      </c>
      <c r="C125" s="5" t="inlineStr">
        <is>
          <t>Installation, connection and test.</t>
        </is>
      </c>
      <c r="D125" s="4" t="inlineStr">
        <is>
          <t>pcs</t>
        </is>
      </c>
      <c r="E125" s="6" t="n">
        <v>111</v>
      </c>
      <c r="F125" s="4" t="inlineStr">
        <is>
          <t>Per documents</t>
        </is>
      </c>
      <c r="G125" s="7" t="n">
        <v>115</v>
      </c>
      <c r="H125" s="7">
        <f>ROUND(E125*G125,2)</f>
        <v/>
      </c>
      <c r="I125" s="5" t="inlineStr">
        <is>
          <t>Installation only; supply by Employer</t>
        </is>
      </c>
    </row>
    <row r="126">
      <c r="A126" s="4" t="inlineStr">
        <is>
          <t>07.18</t>
        </is>
      </c>
      <c r="B126" s="5" t="inlineStr">
        <is>
          <t>Dual-purpose emergency light</t>
        </is>
      </c>
      <c r="C126" s="5" t="inlineStr">
        <is>
          <t>Installation, with direct connection to the board.</t>
        </is>
      </c>
      <c r="D126" s="4" t="inlineStr">
        <is>
          <t>pcs</t>
        </is>
      </c>
      <c r="E126" s="6" t="n">
        <v>8</v>
      </c>
      <c r="F126" s="4" t="inlineStr">
        <is>
          <t>Provisional – remeasure</t>
        </is>
      </c>
      <c r="G126" s="7" t="n">
        <v>322</v>
      </c>
      <c r="H126" s="7">
        <f>ROUND(E126*G126,2)</f>
        <v/>
      </c>
      <c r="I126" s="5" t="inlineStr">
        <is>
          <t>Installation only; supply by Employer</t>
        </is>
      </c>
    </row>
    <row r="127">
      <c r="A127" s="4" t="inlineStr">
        <is>
          <t>07.19</t>
        </is>
      </c>
      <c r="B127" s="5" t="inlineStr">
        <is>
          <t>Recessed spot cluster in gypsum</t>
        </is>
      </c>
      <c r="C127" s="5" t="inlineStr">
        <is>
          <t>Installation of recessed spot clusters.</t>
        </is>
      </c>
      <c r="D127" s="4" t="inlineStr">
        <is>
          <t>pcs</t>
        </is>
      </c>
      <c r="E127" s="6" t="n">
        <v>28</v>
      </c>
      <c r="F127" s="4" t="inlineStr">
        <is>
          <t>Per documents</t>
        </is>
      </c>
      <c r="G127" s="7" t="n">
        <v>195</v>
      </c>
      <c r="H127" s="7">
        <f>ROUND(E127*G127,2)</f>
        <v/>
      </c>
      <c r="I127" s="5" t="inlineStr">
        <is>
          <t>Installation only; supply by Employer</t>
        </is>
      </c>
    </row>
    <row r="128">
      <c r="A128" s="4" t="inlineStr">
        <is>
          <t>07.20</t>
        </is>
      </c>
      <c r="B128" s="5" t="inlineStr">
        <is>
          <t>General lighting feed point</t>
        </is>
      </c>
      <c r="C128" s="5" t="inlineStr">
        <is>
          <t>General lighting feed point.</t>
        </is>
      </c>
      <c r="D128" s="4" t="inlineStr">
        <is>
          <t>pcs</t>
        </is>
      </c>
      <c r="E128" s="6" t="n">
        <v>14</v>
      </c>
      <c r="F128" s="4" t="inlineStr">
        <is>
          <t>Per documents</t>
        </is>
      </c>
      <c r="G128" s="7" t="n">
        <v>345</v>
      </c>
      <c r="H128" s="7">
        <f>ROUND(E128*G128,2)</f>
        <v/>
      </c>
      <c r="I128" s="5" t="n"/>
    </row>
    <row r="129">
      <c r="A129" s="8" t="inlineStr">
        <is>
          <t>Total – Chapter 07</t>
        </is>
      </c>
      <c r="B129" s="8" t="n"/>
      <c r="C129" s="8" t="n"/>
      <c r="D129" s="8" t="n"/>
      <c r="E129" s="8" t="n"/>
      <c r="F129" s="8" t="n"/>
      <c r="G129" s="8" t="n"/>
      <c r="H129" s="9">
        <f>SUM(H109:H128)</f>
        <v/>
      </c>
      <c r="I129" s="8" t="n"/>
    </row>
    <row r="131">
      <c r="A131" s="3" t="inlineStr">
        <is>
          <t>Chapter 8 — Air Conditioning</t>
        </is>
      </c>
      <c r="B131" s="3" t="n"/>
      <c r="C131" s="3" t="n"/>
      <c r="D131" s="3" t="n"/>
      <c r="E131" s="3" t="n"/>
      <c r="F131" s="3" t="n"/>
      <c r="G131" s="3" t="n"/>
      <c r="H131" s="3" t="n"/>
      <c r="I131" s="3" t="n"/>
    </row>
    <row r="132">
      <c r="A132" s="4" t="inlineStr">
        <is>
          <t>08.01</t>
        </is>
      </c>
      <c r="B132" s="5" t="inlineStr">
        <is>
          <t>Indoor A/C unit installation</t>
        </is>
      </c>
      <c r="C132" s="5" t="inlineStr">
        <is>
          <t>Installation, connection to refrigerant, drain and electrical infrastructure, and operation test. Basement area marked by the designer requires written approval.</t>
        </is>
      </c>
      <c r="D132" s="4" t="inlineStr">
        <is>
          <t>pcs</t>
        </is>
      </c>
      <c r="E132" s="6" t="n">
        <v>8</v>
      </c>
      <c r="F132" s="4" t="inlineStr">
        <is>
          <t>Provisional – remeasure</t>
        </is>
      </c>
      <c r="G132" s="7" t="n">
        <v>805</v>
      </c>
      <c r="H132" s="7">
        <f>ROUND(E132*G132,2)</f>
        <v/>
      </c>
      <c r="I132" s="5" t="inlineStr">
        <is>
          <t>Installation only; supply by Employer</t>
        </is>
      </c>
    </row>
    <row r="133">
      <c r="A133" s="4" t="inlineStr">
        <is>
          <t>08.02</t>
        </is>
      </c>
      <c r="B133" s="5" t="inlineStr">
        <is>
          <t>Refrigerant piping and condensate drain</t>
        </is>
      </c>
      <c r="C133" s="5" t="inlineStr">
        <is>
          <t>Insulated copper refrigerant piping and condensate drain, including route to the outdoor kitchen / pergola area.</t>
        </is>
      </c>
      <c r="D133" s="4" t="inlineStr">
        <is>
          <t>lm</t>
        </is>
      </c>
      <c r="E133" s="6" t="n">
        <v>100</v>
      </c>
      <c r="F133" s="4" t="inlineStr">
        <is>
          <t>Provisional – remeasure</t>
        </is>
      </c>
      <c r="G133" s="7" t="n">
        <v>172</v>
      </c>
      <c r="H133" s="7">
        <f>ROUND(E133*G133,2)</f>
        <v/>
      </c>
      <c r="I133" s="5" t="n"/>
    </row>
    <row r="134">
      <c r="A134" s="4" t="inlineStr">
        <is>
          <t>08.03</t>
        </is>
      </c>
      <c r="B134" s="5" t="inlineStr">
        <is>
          <t>Vacuum and pressure tests</t>
        </is>
      </c>
      <c r="C134" s="5" t="inlineStr">
        <is>
          <t>Vacuum and pressure tests of refrigerant piping.</t>
        </is>
      </c>
      <c r="D134" s="4" t="inlineStr">
        <is>
          <t>lot</t>
        </is>
      </c>
      <c r="E134" s="6" t="n">
        <v>1</v>
      </c>
      <c r="F134" s="4" t="inlineStr">
        <is>
          <t>Per documents</t>
        </is>
      </c>
      <c r="G134" s="7" t="n">
        <v>2530</v>
      </c>
      <c r="H134" s="7">
        <f>ROUND(E134*G134,2)</f>
        <v/>
      </c>
      <c r="I134" s="5" t="n"/>
    </row>
    <row r="135">
      <c r="A135" s="4" t="inlineStr">
        <is>
          <t>08.04</t>
        </is>
      </c>
      <c r="B135" s="5" t="inlineStr">
        <is>
          <t>Outdoor A/C unit installation</t>
        </is>
      </c>
      <c r="C135" s="5" t="inlineStr">
        <is>
          <t>Installation of outdoor units.</t>
        </is>
      </c>
      <c r="D135" s="4" t="inlineStr">
        <is>
          <t>pcs</t>
        </is>
      </c>
      <c r="E135" s="6" t="n">
        <v>5</v>
      </c>
      <c r="F135" s="4" t="inlineStr">
        <is>
          <t>Provisional – remeasure</t>
        </is>
      </c>
      <c r="G135" s="7" t="n">
        <v>977</v>
      </c>
      <c r="H135" s="7">
        <f>ROUND(E135*G135,2)</f>
        <v/>
      </c>
      <c r="I135" s="5" t="inlineStr">
        <is>
          <t>Installation only; supply by Employer</t>
        </is>
      </c>
    </row>
    <row r="136">
      <c r="A136" s="8" t="inlineStr">
        <is>
          <t>Total – Chapter 08</t>
        </is>
      </c>
      <c r="B136" s="8" t="n"/>
      <c r="C136" s="8" t="n"/>
      <c r="D136" s="8" t="n"/>
      <c r="E136" s="8" t="n"/>
      <c r="F136" s="8" t="n"/>
      <c r="G136" s="8" t="n"/>
      <c r="H136" s="9">
        <f>SUM(H132:H135)</f>
        <v/>
      </c>
      <c r="I136" s="8" t="n"/>
    </row>
    <row r="138">
      <c r="A138" s="3" t="inlineStr">
        <is>
          <t>Chapter 9 — Gypsum Partitions and Ceilings</t>
        </is>
      </c>
      <c r="B138" s="3" t="n"/>
      <c r="C138" s="3" t="n"/>
      <c r="D138" s="3" t="n"/>
      <c r="E138" s="3" t="n"/>
      <c r="F138" s="3" t="n"/>
      <c r="G138" s="3" t="n"/>
      <c r="H138" s="3" t="n"/>
      <c r="I138" s="3" t="n"/>
    </row>
    <row r="139">
      <c r="A139" s="4" t="inlineStr">
        <is>
          <t>09.01</t>
        </is>
      </c>
      <c r="B139" s="5" t="inlineStr">
        <is>
          <t>Gypsum partitions and walls – basement</t>
        </is>
      </c>
      <c r="C139" s="5" t="inlineStr">
        <is>
          <t>Metal track and studs, boards, acoustic insulation, moisture-resistant boards in wet areas.</t>
        </is>
      </c>
      <c r="D139" s="4" t="inlineStr">
        <is>
          <t>m²</t>
        </is>
      </c>
      <c r="E139" s="6" t="n">
        <v>64</v>
      </c>
      <c r="F139" s="4" t="inlineStr">
        <is>
          <t>Per documents</t>
        </is>
      </c>
      <c r="G139" s="7" t="n">
        <v>437</v>
      </c>
      <c r="H139" s="7">
        <f>ROUND(E139*G139,2)</f>
        <v/>
      </c>
      <c r="I139" s="5" t="n"/>
    </row>
    <row r="140">
      <c r="A140" s="4" t="inlineStr">
        <is>
          <t>09.02</t>
        </is>
      </c>
      <c r="B140" s="5" t="inlineStr">
        <is>
          <t>Gypsum partitions and walls – ground floor</t>
        </is>
      </c>
      <c r="C140" s="5" t="inlineStr">
        <is>
          <t>Metal track and studs, boards, acoustic insulation, moisture-resistant boards in wet areas.</t>
        </is>
      </c>
      <c r="D140" s="4" t="inlineStr">
        <is>
          <t>m²</t>
        </is>
      </c>
      <c r="E140" s="6" t="n">
        <v>17</v>
      </c>
      <c r="F140" s="4" t="inlineStr">
        <is>
          <t>Per documents</t>
        </is>
      </c>
      <c r="G140" s="7" t="n">
        <v>437</v>
      </c>
      <c r="H140" s="7">
        <f>ROUND(E140*G140,2)</f>
        <v/>
      </c>
      <c r="I140" s="5" t="n"/>
    </row>
    <row r="141">
      <c r="A141" s="4" t="inlineStr">
        <is>
          <t>09.03</t>
        </is>
      </c>
      <c r="B141" s="5" t="inlineStr">
        <is>
          <t>Gypsum partitions and walls – first floor and gallery</t>
        </is>
      </c>
      <c r="C141" s="5" t="inlineStr">
        <is>
          <t>Metal track and studs, boards, acoustic insulation, moisture-resistant boards in wet areas.</t>
        </is>
      </c>
      <c r="D141" s="4" t="inlineStr">
        <is>
          <t>m²</t>
        </is>
      </c>
      <c r="E141" s="6" t="n">
        <v>52</v>
      </c>
      <c r="F141" s="4" t="inlineStr">
        <is>
          <t>Per documents</t>
        </is>
      </c>
      <c r="G141" s="7" t="n">
        <v>437</v>
      </c>
      <c r="H141" s="7">
        <f>ROUND(E141*G141,2)</f>
        <v/>
      </c>
      <c r="I141" s="5" t="n"/>
    </row>
    <row r="142">
      <c r="A142" s="4" t="inlineStr">
        <is>
          <t>09.04</t>
        </is>
      </c>
      <c r="B142" s="5" t="inlineStr">
        <is>
          <t>Suspended gypsum ceilings</t>
        </is>
      </c>
      <c r="C142" s="5" t="inlineStr">
        <is>
          <t>Hangers, carrying profiles and boards, with openings coordinated for lighting and A/C. Skim coat and paint under chapter 15.</t>
        </is>
      </c>
      <c r="D142" s="4" t="inlineStr">
        <is>
          <t>m²</t>
        </is>
      </c>
      <c r="E142" s="6" t="n">
        <v>33.3</v>
      </c>
      <c r="F142" s="4" t="inlineStr">
        <is>
          <t>Per documents</t>
        </is>
      </c>
      <c r="G142" s="7" t="n">
        <v>379</v>
      </c>
      <c r="H142" s="7">
        <f>ROUND(E142*G142,2)</f>
        <v/>
      </c>
      <c r="I142" s="5" t="n"/>
    </row>
    <row r="143">
      <c r="A143" s="8" t="inlineStr">
        <is>
          <t>Total – Chapter 09</t>
        </is>
      </c>
      <c r="B143" s="8" t="n"/>
      <c r="C143" s="8" t="n"/>
      <c r="D143" s="8" t="n"/>
      <c r="E143" s="8" t="n"/>
      <c r="F143" s="8" t="n"/>
      <c r="G143" s="8" t="n"/>
      <c r="H143" s="9">
        <f>SUM(H139:H142)</f>
        <v/>
      </c>
      <c r="I143" s="8" t="n"/>
    </row>
    <row r="145">
      <c r="A145" s="3" t="inlineStr">
        <is>
          <t>Chapter 10 — Internal Waterproofing</t>
        </is>
      </c>
      <c r="B145" s="3" t="n"/>
      <c r="C145" s="3" t="n"/>
      <c r="D145" s="3" t="n"/>
      <c r="E145" s="3" t="n"/>
      <c r="F145" s="3" t="n"/>
      <c r="G145" s="3" t="n"/>
      <c r="H145" s="3" t="n"/>
      <c r="I145" s="3" t="n"/>
    </row>
    <row r="146">
      <c r="A146" s="4" t="inlineStr">
        <is>
          <t>10.01</t>
        </is>
      </c>
      <c r="B146" s="5" t="inlineStr">
        <is>
          <t>Waterproofing – wet-area floors</t>
        </is>
      </c>
      <c r="C146" s="5" t="inlineStr">
        <is>
          <t>Continuous waterproofing system with perimeter upturns, as directed by the waterproofing consultant.</t>
        </is>
      </c>
      <c r="D146" s="4" t="inlineStr">
        <is>
          <t>m²</t>
        </is>
      </c>
      <c r="E146" s="6" t="n">
        <v>40</v>
      </c>
      <c r="F146" s="4" t="inlineStr">
        <is>
          <t>Per documents</t>
        </is>
      </c>
      <c r="G146" s="7" t="n">
        <v>161</v>
      </c>
      <c r="H146" s="7">
        <f>ROUND(E146*G146,2)</f>
        <v/>
      </c>
      <c r="I146" s="5" t="n"/>
    </row>
    <row r="147">
      <c r="A147" s="4" t="inlineStr">
        <is>
          <t>10.02</t>
        </is>
      </c>
      <c r="B147" s="5" t="inlineStr">
        <is>
          <t>Waterproofing – wet-area walls</t>
        </is>
      </c>
      <c r="C147" s="5" t="inlineStr">
        <is>
          <t>Wall waterproofing in wet areas.</t>
        </is>
      </c>
      <c r="D147" s="4" t="inlineStr">
        <is>
          <t>m²</t>
        </is>
      </c>
      <c r="E147" s="6" t="n">
        <v>186</v>
      </c>
      <c r="F147" s="4" t="inlineStr">
        <is>
          <t>Per documents</t>
        </is>
      </c>
      <c r="G147" s="7" t="n">
        <v>126</v>
      </c>
      <c r="H147" s="7">
        <f>ROUND(E147*G147,2)</f>
        <v/>
      </c>
      <c r="I147" s="5" t="n"/>
    </row>
    <row r="148">
      <c r="A148" s="4" t="inlineStr">
        <is>
          <t>10.03</t>
        </is>
      </c>
      <c r="B148" s="5" t="inlineStr">
        <is>
          <t>Flood tests – wet areas</t>
        </is>
      </c>
      <c r="C148" s="5" t="inlineStr">
        <is>
          <t>Flood test for each wet area.</t>
        </is>
      </c>
      <c r="D148" s="4" t="inlineStr">
        <is>
          <t>lot</t>
        </is>
      </c>
      <c r="E148" s="6" t="n">
        <v>5</v>
      </c>
      <c r="F148" s="4" t="inlineStr">
        <is>
          <t>Per documents</t>
        </is>
      </c>
      <c r="G148" s="7" t="n">
        <v>575</v>
      </c>
      <c r="H148" s="7">
        <f>ROUND(E148*G148,2)</f>
        <v/>
      </c>
      <c r="I148" s="5" t="n"/>
    </row>
    <row r="149">
      <c r="A149" s="4" t="inlineStr">
        <is>
          <t>10.04</t>
        </is>
      </c>
      <c r="B149" s="5" t="inlineStr">
        <is>
          <t>Balcony waterproofing</t>
        </is>
      </c>
      <c r="C149" s="5" t="inlineStr">
        <is>
          <t>Waterproofing of balconies.</t>
        </is>
      </c>
      <c r="D149" s="4" t="inlineStr">
        <is>
          <t>m²</t>
        </is>
      </c>
      <c r="E149" s="6" t="n">
        <v>52.7</v>
      </c>
      <c r="F149" s="4" t="inlineStr">
        <is>
          <t>Per documents</t>
        </is>
      </c>
      <c r="G149" s="7" t="n">
        <v>195</v>
      </c>
      <c r="H149" s="7">
        <f>ROUND(E149*G149,2)</f>
        <v/>
      </c>
      <c r="I149" s="5" t="n"/>
    </row>
    <row r="150">
      <c r="A150" s="8" t="inlineStr">
        <is>
          <t>Total – Chapter 10</t>
        </is>
      </c>
      <c r="B150" s="8" t="n"/>
      <c r="C150" s="8" t="n"/>
      <c r="D150" s="8" t="n"/>
      <c r="E150" s="8" t="n"/>
      <c r="F150" s="8" t="n"/>
      <c r="G150" s="8" t="n"/>
      <c r="H150" s="9">
        <f>SUM(H146:H149)</f>
        <v/>
      </c>
      <c r="I150" s="8" t="n"/>
    </row>
    <row r="152">
      <c r="A152" s="3" t="inlineStr">
        <is>
          <t>Chapter 11 — Roof and Parapet Waterproofing</t>
        </is>
      </c>
      <c r="B152" s="3" t="n"/>
      <c r="C152" s="3" t="n"/>
      <c r="D152" s="3" t="n"/>
      <c r="E152" s="3" t="n"/>
      <c r="F152" s="3" t="n"/>
      <c r="G152" s="3" t="n"/>
      <c r="H152" s="3" t="n"/>
      <c r="I152" s="3" t="n"/>
    </row>
    <row r="153">
      <c r="A153" s="4" t="inlineStr">
        <is>
          <t>11.01</t>
        </is>
      </c>
      <c r="B153" s="5" t="inlineStr">
        <is>
          <t>Structural inspection of exposed roof</t>
        </is>
      </c>
      <c r="C153" s="5" t="inlineStr">
        <is>
          <t>Inspection of the roof structure after removal of tiles and wind boxes, with written approval.</t>
        </is>
      </c>
      <c r="D153" s="4" t="inlineStr">
        <is>
          <t>lot</t>
        </is>
      </c>
      <c r="E153" s="6" t="n">
        <v>1</v>
      </c>
      <c r="F153" s="4" t="inlineStr">
        <is>
          <t>Per documents</t>
        </is>
      </c>
      <c r="G153" s="7" t="n">
        <v>2875</v>
      </c>
      <c r="H153" s="7">
        <f>ROUND(E153*G153,2)</f>
        <v/>
      </c>
      <c r="I153" s="5" t="n"/>
    </row>
    <row r="154">
      <c r="A154" s="4" t="inlineStr">
        <is>
          <t>11.02</t>
        </is>
      </c>
      <c r="B154" s="5" t="inlineStr">
        <is>
          <t>New roof parapet</t>
        </is>
      </c>
      <c r="C154" s="5" t="inlineStr">
        <is>
          <t>New vertical parapet around the roof perimeter at a uniform height concealing the old slope line.</t>
        </is>
      </c>
      <c r="D154" s="4" t="inlineStr">
        <is>
          <t>lm</t>
        </is>
      </c>
      <c r="E154" s="6" t="n">
        <v>55</v>
      </c>
      <c r="F154" s="4" t="inlineStr">
        <is>
          <t>Provisional – remeasure</t>
        </is>
      </c>
      <c r="G154" s="7" t="n">
        <v>598</v>
      </c>
      <c r="H154" s="7">
        <f>ROUND(E154*G154,2)</f>
        <v/>
      </c>
      <c r="I154" s="5" t="n"/>
    </row>
    <row r="155">
      <c r="A155" s="4" t="inlineStr">
        <is>
          <t>11.03</t>
        </is>
      </c>
      <c r="B155" s="5" t="inlineStr">
        <is>
          <t>Roof and parapet waterproofing</t>
        </is>
      </c>
      <c r="C155" s="5" t="inlineStr">
        <is>
          <t>Continuous waterproofing of the roof surface with upturn on the parapet and 48–72 hour flood test, as directed by the waterproofing consultant.</t>
        </is>
      </c>
      <c r="D155" s="4" t="inlineStr">
        <is>
          <t>m²</t>
        </is>
      </c>
      <c r="E155" s="6" t="n">
        <v>180</v>
      </c>
      <c r="F155" s="4" t="inlineStr">
        <is>
          <t>Provisional – remeasure</t>
        </is>
      </c>
      <c r="G155" s="7" t="n">
        <v>218</v>
      </c>
      <c r="H155" s="7">
        <f>ROUND(E155*G155,2)</f>
        <v/>
      </c>
      <c r="I155" s="5" t="n"/>
    </row>
    <row r="156">
      <c r="A156" s="4" t="inlineStr">
        <is>
          <t>11.04</t>
        </is>
      </c>
      <c r="B156" s="5" t="inlineStr">
        <is>
          <t>Top coping</t>
        </is>
      </c>
      <c r="C156" s="5" t="inlineStr">
        <is>
          <t>Coping flashing with inner slope and expansion joints, in house colour.</t>
        </is>
      </c>
      <c r="D156" s="4" t="inlineStr">
        <is>
          <t>lm</t>
        </is>
      </c>
      <c r="E156" s="6" t="n">
        <v>55</v>
      </c>
      <c r="F156" s="4" t="inlineStr">
        <is>
          <t>Provisional – remeasure</t>
        </is>
      </c>
      <c r="G156" s="7" t="n">
        <v>264</v>
      </c>
      <c r="H156" s="7">
        <f>ROUND(E156*G156,2)</f>
        <v/>
      </c>
      <c r="I156" s="5" t="n"/>
    </row>
    <row r="157">
      <c r="A157" s="4" t="inlineStr">
        <is>
          <t>11.05</t>
        </is>
      </c>
      <c r="B157" s="5" t="inlineStr">
        <is>
          <t>Inspection of existing drainage</t>
        </is>
      </c>
      <c r="C157" s="5" t="inlineStr">
        <is>
          <t>Check and preservation of the existing roof drainage.</t>
        </is>
      </c>
      <c r="D157" s="4" t="inlineStr">
        <is>
          <t>lot</t>
        </is>
      </c>
      <c r="E157" s="6" t="n">
        <v>1</v>
      </c>
      <c r="F157" s="4" t="inlineStr">
        <is>
          <t>Per documents</t>
        </is>
      </c>
      <c r="G157" s="7" t="n">
        <v>4025</v>
      </c>
      <c r="H157" s="7">
        <f>ROUND(E157*G157,2)</f>
        <v/>
      </c>
      <c r="I157" s="5" t="n"/>
    </row>
    <row r="158">
      <c r="A158" s="8" t="inlineStr">
        <is>
          <t>Total – Chapter 11</t>
        </is>
      </c>
      <c r="B158" s="8" t="n"/>
      <c r="C158" s="8" t="n"/>
      <c r="D158" s="8" t="n"/>
      <c r="E158" s="8" t="n"/>
      <c r="F158" s="8" t="n"/>
      <c r="G158" s="8" t="n"/>
      <c r="H158" s="9">
        <f>SUM(H153:H157)</f>
        <v/>
      </c>
      <c r="I158" s="8" t="n"/>
    </row>
    <row r="160">
      <c r="A160" s="3" t="inlineStr">
        <is>
          <t>Chapter 12 — Window Sills and Door Thresholds</t>
        </is>
      </c>
      <c r="B160" s="3" t="n"/>
      <c r="C160" s="3" t="n"/>
      <c r="D160" s="3" t="n"/>
      <c r="E160" s="3" t="n"/>
      <c r="F160" s="3" t="n"/>
      <c r="G160" s="3" t="n"/>
      <c r="H160" s="3" t="n"/>
      <c r="I160" s="3" t="n"/>
    </row>
    <row r="161">
      <c r="A161" s="4" t="inlineStr">
        <is>
          <t>12.01</t>
        </is>
      </c>
      <c r="B161" s="5" t="inlineStr">
        <is>
          <t>Internal window sills</t>
        </is>
      </c>
      <c r="C161" s="5" t="inlineStr">
        <is>
          <t>Stone / marble sills, after final measurement.</t>
        </is>
      </c>
      <c r="D161" s="4" t="inlineStr">
        <is>
          <t>lm</t>
        </is>
      </c>
      <c r="E161" s="6" t="n">
        <v>33.23</v>
      </c>
      <c r="F161" s="4" t="inlineStr">
        <is>
          <t>Per documents</t>
        </is>
      </c>
      <c r="G161" s="7" t="n">
        <v>391</v>
      </c>
      <c r="H161" s="7">
        <f>ROUND(E161*G161,2)</f>
        <v/>
      </c>
      <c r="I161" s="5" t="n"/>
    </row>
    <row r="162">
      <c r="A162" s="4" t="inlineStr">
        <is>
          <t>12.02</t>
        </is>
      </c>
      <c r="B162" s="5" t="inlineStr">
        <is>
          <t>External window sills</t>
        </is>
      </c>
      <c r="C162" s="5" t="inlineStr">
        <is>
          <t>External sills.</t>
        </is>
      </c>
      <c r="D162" s="4" t="inlineStr">
        <is>
          <t>lm</t>
        </is>
      </c>
      <c r="E162" s="6" t="n">
        <v>35</v>
      </c>
      <c r="F162" s="4" t="inlineStr">
        <is>
          <t>Per documents</t>
        </is>
      </c>
      <c r="G162" s="7" t="n">
        <v>345</v>
      </c>
      <c r="H162" s="7">
        <f>ROUND(E162*G162,2)</f>
        <v/>
      </c>
      <c r="I162" s="5" t="n"/>
    </row>
    <row r="163">
      <c r="A163" s="4" t="inlineStr">
        <is>
          <t>12.03</t>
        </is>
      </c>
      <c r="B163" s="5" t="inlineStr">
        <is>
          <t>Door thresholds</t>
        </is>
      </c>
      <c r="C163" s="5" t="inlineStr">
        <is>
          <t>Thresholds.</t>
        </is>
      </c>
      <c r="D163" s="4" t="inlineStr">
        <is>
          <t>lm</t>
        </is>
      </c>
      <c r="E163" s="6" t="n">
        <v>19</v>
      </c>
      <c r="F163" s="4" t="inlineStr">
        <is>
          <t>Per documents</t>
        </is>
      </c>
      <c r="G163" s="7" t="n">
        <v>230</v>
      </c>
      <c r="H163" s="7">
        <f>ROUND(E163*G163,2)</f>
        <v/>
      </c>
      <c r="I163" s="5" t="n"/>
    </row>
    <row r="164">
      <c r="A164" s="4" t="inlineStr">
        <is>
          <t>12.04</t>
        </is>
      </c>
      <c r="B164" s="5" t="inlineStr">
        <is>
          <t>Sealing around sills and thresholds</t>
        </is>
      </c>
      <c r="C164" s="5" t="inlineStr">
        <is>
          <t>Sealing around sills and thresholds.</t>
        </is>
      </c>
      <c r="D164" s="4" t="inlineStr">
        <is>
          <t>lm</t>
        </is>
      </c>
      <c r="E164" s="6" t="n">
        <v>125.62</v>
      </c>
      <c r="F164" s="4" t="inlineStr">
        <is>
          <t>Per documents</t>
        </is>
      </c>
      <c r="G164" s="7" t="n">
        <v>40</v>
      </c>
      <c r="H164" s="7">
        <f>ROUND(E164*G164,2)</f>
        <v/>
      </c>
      <c r="I164" s="5" t="n"/>
    </row>
    <row r="165">
      <c r="A165" s="8" t="inlineStr">
        <is>
          <t>Total – Chapter 12</t>
        </is>
      </c>
      <c r="B165" s="8" t="n"/>
      <c r="C165" s="8" t="n"/>
      <c r="D165" s="8" t="n"/>
      <c r="E165" s="8" t="n"/>
      <c r="F165" s="8" t="n"/>
      <c r="G165" s="8" t="n"/>
      <c r="H165" s="9">
        <f>SUM(H161:H164)</f>
        <v/>
      </c>
      <c r="I165" s="8" t="n"/>
    </row>
    <row r="167">
      <c r="A167" s="3" t="inlineStr">
        <is>
          <t>Chapter 13 — Flooring, Wall Tiling and Skirting</t>
        </is>
      </c>
      <c r="B167" s="3" t="n"/>
      <c r="C167" s="3" t="n"/>
      <c r="D167" s="3" t="n"/>
      <c r="E167" s="3" t="n"/>
      <c r="F167" s="3" t="n"/>
      <c r="G167" s="3" t="n"/>
      <c r="H167" s="3" t="n"/>
      <c r="I167" s="3" t="n"/>
    </row>
    <row r="168">
      <c r="A168" s="4" t="inlineStr">
        <is>
          <t>13.01</t>
        </is>
      </c>
      <c r="B168" s="5" t="inlineStr">
        <is>
          <t>Interior floor tiling 120×120 cm incl. shower floors</t>
        </is>
      </c>
      <c r="C168" s="5" t="inlineStr">
        <is>
          <t>Laying after waterproofing approval, including substrate preparation, adhesive, cutting, falls to drains and grouting.</t>
        </is>
      </c>
      <c r="D168" s="4" t="inlineStr">
        <is>
          <t>m²</t>
        </is>
      </c>
      <c r="E168" s="6" t="n">
        <v>219.9</v>
      </c>
      <c r="F168" s="4" t="inlineStr">
        <is>
          <t>Per documents</t>
        </is>
      </c>
      <c r="G168" s="7" t="n">
        <v>322</v>
      </c>
      <c r="H168" s="7">
        <f>ROUND(E168*G168,2)</f>
        <v/>
      </c>
      <c r="I168" s="5" t="inlineStr">
        <is>
          <t>Installation only; supply by Employer</t>
        </is>
      </c>
    </row>
    <row r="169">
      <c r="A169" s="4" t="inlineStr">
        <is>
          <t>13.02</t>
        </is>
      </c>
      <c r="B169" s="5" t="inlineStr">
        <is>
          <t>Basement floor tiling 120×60 cm</t>
        </is>
      </c>
      <c r="C169" s="5" t="inlineStr">
        <is>
          <t>Laying including substrate preparation, adhesive and grouting.</t>
        </is>
      </c>
      <c r="D169" s="4" t="inlineStr">
        <is>
          <t>m²</t>
        </is>
      </c>
      <c r="E169" s="6" t="n">
        <v>105</v>
      </c>
      <c r="F169" s="4" t="inlineStr">
        <is>
          <t>Per documents</t>
        </is>
      </c>
      <c r="G169" s="7" t="n">
        <v>264</v>
      </c>
      <c r="H169" s="7">
        <f>ROUND(E169*G169,2)</f>
        <v/>
      </c>
      <c r="I169" s="5" t="inlineStr">
        <is>
          <t>Installation only; supply by Employer</t>
        </is>
      </c>
    </row>
    <row r="170">
      <c r="A170" s="4" t="inlineStr">
        <is>
          <t>13.03</t>
        </is>
      </c>
      <c r="B170" s="5" t="inlineStr">
        <is>
          <t>Shower wall tiling 120×60 cm</t>
        </is>
      </c>
      <c r="C170" s="5" t="inlineStr">
        <is>
          <t>Wall tiling including adhesive, cutting and grouting.</t>
        </is>
      </c>
      <c r="D170" s="4" t="inlineStr">
        <is>
          <t>m²</t>
        </is>
      </c>
      <c r="E170" s="6" t="n">
        <v>121.2</v>
      </c>
      <c r="F170" s="4" t="inlineStr">
        <is>
          <t>Per documents</t>
        </is>
      </c>
      <c r="G170" s="7" t="n">
        <v>483</v>
      </c>
      <c r="H170" s="7">
        <f>ROUND(E170*G170,2)</f>
        <v/>
      </c>
      <c r="I170" s="5" t="inlineStr">
        <is>
          <t>Installation only; supply by Employer</t>
        </is>
      </c>
    </row>
    <row r="171">
      <c r="A171" s="4" t="inlineStr">
        <is>
          <t>13.04</t>
        </is>
      </c>
      <c r="B171" s="5" t="inlineStr">
        <is>
          <t>Skirting / panels from finish tiles</t>
        </is>
      </c>
      <c r="C171" s="5" t="inlineStr">
        <is>
          <t>Cutting and fixing of panels from the selected finish tiles.</t>
        </is>
      </c>
      <c r="D171" s="4" t="inlineStr">
        <is>
          <t>lm</t>
        </is>
      </c>
      <c r="E171" s="6" t="n">
        <v>285</v>
      </c>
      <c r="F171" s="4" t="inlineStr">
        <is>
          <t>Per documents</t>
        </is>
      </c>
      <c r="G171" s="7" t="n">
        <v>86</v>
      </c>
      <c r="H171" s="7">
        <f>ROUND(E171*G171,2)</f>
        <v/>
      </c>
      <c r="I171" s="5" t="inlineStr">
        <is>
          <t>Installation only; supply by Employer</t>
        </is>
      </c>
    </row>
    <row r="172">
      <c r="A172" s="4" t="inlineStr">
        <is>
          <t>13.05</t>
        </is>
      </c>
      <c r="B172" s="5" t="inlineStr">
        <is>
          <t>External and balcony tiling 120×60 cm, R11</t>
        </is>
      </c>
      <c r="C172" s="5" t="inlineStr">
        <is>
          <t>Laying of external tiles with slip resistance R11.</t>
        </is>
      </c>
      <c r="D172" s="4" t="inlineStr">
        <is>
          <t>m²</t>
        </is>
      </c>
      <c r="E172" s="6" t="n">
        <v>263.7</v>
      </c>
      <c r="F172" s="4" t="inlineStr">
        <is>
          <t>Per documents</t>
        </is>
      </c>
      <c r="G172" s="7" t="n">
        <v>299</v>
      </c>
      <c r="H172" s="7">
        <f>ROUND(E172*G172,2)</f>
        <v/>
      </c>
      <c r="I172" s="5" t="inlineStr">
        <is>
          <t>Installation only; supply by Employer</t>
        </is>
      </c>
    </row>
    <row r="173">
      <c r="A173" s="4" t="inlineStr">
        <is>
          <t>13.07</t>
        </is>
      </c>
      <c r="B173" s="5" t="inlineStr">
        <is>
          <t>Interior stair cladding (tread and riser)</t>
        </is>
      </c>
      <c r="C173" s="5" t="inlineStr">
        <is>
          <t>Cladding of interior stairs, tread and riser.</t>
        </is>
      </c>
      <c r="D173" s="4" t="inlineStr">
        <is>
          <t>lm</t>
        </is>
      </c>
      <c r="E173" s="6" t="n">
        <v>50</v>
      </c>
      <c r="F173" s="4" t="inlineStr">
        <is>
          <t>Per documents</t>
        </is>
      </c>
      <c r="G173" s="7" t="n">
        <v>368</v>
      </c>
      <c r="H173" s="7">
        <f>ROUND(E173*G173,2)</f>
        <v/>
      </c>
      <c r="I173" s="5" t="inlineStr">
        <is>
          <t>Installation only; supply by Employer</t>
        </is>
      </c>
    </row>
    <row r="174">
      <c r="A174" s="8" t="inlineStr">
        <is>
          <t>Total – Chapter 13</t>
        </is>
      </c>
      <c r="B174" s="8" t="n"/>
      <c r="C174" s="8" t="n"/>
      <c r="D174" s="8" t="n"/>
      <c r="E174" s="8" t="n"/>
      <c r="F174" s="8" t="n"/>
      <c r="G174" s="8" t="n"/>
      <c r="H174" s="9">
        <f>SUM(H168:H173)</f>
        <v/>
      </c>
      <c r="I174" s="8" t="n"/>
    </row>
    <row r="176">
      <c r="A176" s="3" t="inlineStr">
        <is>
          <t>Chapter 14 — External Coloured Plaster</t>
        </is>
      </c>
      <c r="B176" s="3" t="n"/>
      <c r="C176" s="3" t="n"/>
      <c r="D176" s="3" t="n"/>
      <c r="E176" s="3" t="n"/>
      <c r="F176" s="3" t="n"/>
      <c r="G176" s="3" t="n"/>
      <c r="H176" s="3" t="n"/>
      <c r="I176" s="3" t="n"/>
    </row>
    <row r="177">
      <c r="A177" s="4" t="inlineStr">
        <is>
          <t>14.01</t>
        </is>
      </c>
      <c r="B177" s="5" t="inlineStr">
        <is>
          <t>Facade preparation and coloured plaster</t>
        </is>
      </c>
      <c r="C177" s="5" t="inlineStr">
        <is>
          <t>Preparation and repair of the facade substrate (including areas of removed frames) and application of the approved coloured plaster system. Scaffolding under item 01.09.</t>
        </is>
      </c>
      <c r="D177" s="4" t="inlineStr">
        <is>
          <t>m²</t>
        </is>
      </c>
      <c r="E177" s="6" t="n">
        <v>225</v>
      </c>
      <c r="F177" s="4" t="inlineStr">
        <is>
          <t>Per documents</t>
        </is>
      </c>
      <c r="G177" s="7" t="n">
        <v>241</v>
      </c>
      <c r="H177" s="7">
        <f>ROUND(E177*G177,2)</f>
        <v/>
      </c>
      <c r="I177" s="5" t="n"/>
    </row>
    <row r="178">
      <c r="A178" s="4" t="inlineStr">
        <is>
          <t>14.02</t>
        </is>
      </c>
      <c r="B178" s="5" t="inlineStr">
        <is>
          <t>Coloured plaster – roof parapet</t>
        </is>
      </c>
      <c r="C178" s="5" t="inlineStr">
        <is>
          <t>Plaster and coloured finish to the roof parapet.</t>
        </is>
      </c>
      <c r="D178" s="4" t="inlineStr">
        <is>
          <t>lot</t>
        </is>
      </c>
      <c r="E178" s="6" t="n">
        <v>1</v>
      </c>
      <c r="F178" s="4" t="inlineStr">
        <is>
          <t>Per documents</t>
        </is>
      </c>
      <c r="G178" s="7" t="n">
        <v>8050</v>
      </c>
      <c r="H178" s="7">
        <f>ROUND(E178*G178,2)</f>
        <v/>
      </c>
      <c r="I178" s="5" t="n"/>
    </row>
    <row r="179">
      <c r="A179" s="4" t="inlineStr">
        <is>
          <t>14.03</t>
        </is>
      </c>
      <c r="B179" s="5" t="inlineStr">
        <is>
          <t>Colour and texture sample for approval</t>
        </is>
      </c>
      <c r="C179" s="5" t="inlineStr">
        <is>
          <t>Mock-up sample for approval.</t>
        </is>
      </c>
      <c r="D179" s="4" t="inlineStr">
        <is>
          <t>lot</t>
        </is>
      </c>
      <c r="E179" s="6" t="n">
        <v>1</v>
      </c>
      <c r="F179" s="4" t="inlineStr">
        <is>
          <t>Per documents</t>
        </is>
      </c>
      <c r="G179" s="7" t="n">
        <v>1150</v>
      </c>
      <c r="H179" s="7">
        <f>ROUND(E179*G179,2)</f>
        <v/>
      </c>
      <c r="I179" s="5" t="n"/>
    </row>
    <row r="180">
      <c r="A180" s="8" t="inlineStr">
        <is>
          <t>Total – Chapter 14</t>
        </is>
      </c>
      <c r="B180" s="8" t="n"/>
      <c r="C180" s="8" t="n"/>
      <c r="D180" s="8" t="n"/>
      <c r="E180" s="8" t="n"/>
      <c r="F180" s="8" t="n"/>
      <c r="G180" s="8" t="n"/>
      <c r="H180" s="9">
        <f>SUM(H177:H179)</f>
        <v/>
      </c>
      <c r="I180" s="8" t="n"/>
    </row>
    <row r="182">
      <c r="A182" s="3" t="inlineStr">
        <is>
          <t>Chapter 15 — Plaster Repairs, Skim Coat and Internal Painting</t>
        </is>
      </c>
      <c r="B182" s="3" t="n"/>
      <c r="C182" s="3" t="n"/>
      <c r="D182" s="3" t="n"/>
      <c r="E182" s="3" t="n"/>
      <c r="F182" s="3" t="n"/>
      <c r="G182" s="3" t="n"/>
      <c r="H182" s="3" t="n"/>
      <c r="I182" s="3" t="n"/>
    </row>
    <row r="183">
      <c r="A183" s="4" t="inlineStr">
        <is>
          <t>15.01</t>
        </is>
      </c>
      <c r="B183" s="5" t="inlineStr">
        <is>
          <t>Plaster repairs, skim coat and paint – basement</t>
        </is>
      </c>
      <c r="C183" s="5" t="inlineStr">
        <is>
          <t>Plaster repairs, three-coat skim and repainting of internal walls and ceilings, until the designer's approval.</t>
        </is>
      </c>
      <c r="D183" s="4" t="inlineStr">
        <is>
          <t>m²</t>
        </is>
      </c>
      <c r="E183" s="6" t="n">
        <v>254</v>
      </c>
      <c r="F183" s="4" t="inlineStr">
        <is>
          <t>Per documents</t>
        </is>
      </c>
      <c r="G183" s="7" t="n">
        <v>115</v>
      </c>
      <c r="H183" s="7">
        <f>ROUND(E183*G183,2)</f>
        <v/>
      </c>
      <c r="I183" s="5" t="n"/>
    </row>
    <row r="184">
      <c r="A184" s="4" t="inlineStr">
        <is>
          <t>15.02</t>
        </is>
      </c>
      <c r="B184" s="5" t="inlineStr">
        <is>
          <t>Plaster repairs, skim coat and paint – ground floor</t>
        </is>
      </c>
      <c r="C184" s="5" t="inlineStr">
        <is>
          <t>Plaster repairs, three-coat skim and repainting of internal walls and ceilings, until the designer's approval.</t>
        </is>
      </c>
      <c r="D184" s="4" t="inlineStr">
        <is>
          <t>m²</t>
        </is>
      </c>
      <c r="E184" s="6" t="n">
        <v>118</v>
      </c>
      <c r="F184" s="4" t="inlineStr">
        <is>
          <t>Per documents</t>
        </is>
      </c>
      <c r="G184" s="7" t="n">
        <v>115</v>
      </c>
      <c r="H184" s="7">
        <f>ROUND(E184*G184,2)</f>
        <v/>
      </c>
      <c r="I184" s="5" t="n"/>
    </row>
    <row r="185">
      <c r="A185" s="4" t="inlineStr">
        <is>
          <t>15.03</t>
        </is>
      </c>
      <c r="B185" s="5" t="inlineStr">
        <is>
          <t>Plaster repairs, skim coat and paint – first floor</t>
        </is>
      </c>
      <c r="C185" s="5" t="inlineStr">
        <is>
          <t>Plaster repairs, three-coat skim and repainting of internal walls and ceilings, until the designer's approval.</t>
        </is>
      </c>
      <c r="D185" s="4" t="inlineStr">
        <is>
          <t>m²</t>
        </is>
      </c>
      <c r="E185" s="6" t="n">
        <v>204</v>
      </c>
      <c r="F185" s="4" t="inlineStr">
        <is>
          <t>Per documents</t>
        </is>
      </c>
      <c r="G185" s="7" t="n">
        <v>115</v>
      </c>
      <c r="H185" s="7">
        <f>ROUND(E185*G185,2)</f>
        <v/>
      </c>
      <c r="I185" s="5" t="n"/>
    </row>
    <row r="186">
      <c r="A186" s="8" t="inlineStr">
        <is>
          <t>Total – Chapter 15</t>
        </is>
      </c>
      <c r="B186" s="8" t="n"/>
      <c r="C186" s="8" t="n"/>
      <c r="D186" s="8" t="n"/>
      <c r="E186" s="8" t="n"/>
      <c r="F186" s="8" t="n"/>
      <c r="G186" s="8" t="n"/>
      <c r="H186" s="9">
        <f>SUM(H183:H185)</f>
        <v/>
      </c>
      <c r="I186" s="8" t="n"/>
    </row>
    <row r="188">
      <c r="A188" s="3" t="inlineStr">
        <is>
          <t>Chapter 16 — Aluminium, Doors and Gates</t>
        </is>
      </c>
      <c r="B188" s="3" t="n"/>
      <c r="C188" s="3" t="n"/>
      <c r="D188" s="3" t="n"/>
      <c r="E188" s="3" t="n"/>
      <c r="F188" s="3" t="n"/>
      <c r="G188" s="3" t="n"/>
      <c r="H188" s="3" t="n"/>
      <c r="I188" s="3" t="n"/>
    </row>
    <row r="189">
      <c r="A189" s="4" t="inlineStr">
        <is>
          <t>16.01</t>
        </is>
      </c>
      <c r="B189" s="5" t="inlineStr">
        <is>
          <t>Aluminium windows and doors R1–R26</t>
        </is>
      </c>
      <c r="C189" s="5" t="inlineStr">
        <is>
          <t>Supply and installation per the aluminium schedule, including frames, sashes, glazing, hardware and sealing.</t>
        </is>
      </c>
      <c r="D189" s="4" t="inlineStr">
        <is>
          <t>pcs</t>
        </is>
      </c>
      <c r="E189" s="6" t="n">
        <v>26</v>
      </c>
      <c r="F189" s="4" t="inlineStr">
        <is>
          <t>Per documents</t>
        </is>
      </c>
      <c r="G189" s="7" t="n">
        <v>5750</v>
      </c>
      <c r="H189" s="7">
        <f>ROUND(E189*G189,2)</f>
        <v/>
      </c>
      <c r="I189" s="5" t="n"/>
    </row>
    <row r="190">
      <c r="A190" s="4" t="inlineStr">
        <is>
          <t>16.02</t>
        </is>
      </c>
      <c r="B190" s="5" t="inlineStr">
        <is>
          <t>Interior doors</t>
        </is>
      </c>
      <c r="C190" s="5" t="inlineStr">
        <is>
          <t>Supply and installation of interior doors per the door schedule.</t>
        </is>
      </c>
      <c r="D190" s="4" t="inlineStr">
        <is>
          <t>pcs</t>
        </is>
      </c>
      <c r="E190" s="6" t="n">
        <v>10</v>
      </c>
      <c r="F190" s="4" t="inlineStr">
        <is>
          <t>Per documents</t>
        </is>
      </c>
      <c r="G190" s="7" t="n">
        <v>1380</v>
      </c>
      <c r="H190" s="7">
        <f>ROUND(E190*G190,2)</f>
        <v/>
      </c>
      <c r="I190" s="5" t="n"/>
    </row>
    <row r="191">
      <c r="A191" s="4" t="inlineStr">
        <is>
          <t>16.03</t>
        </is>
      </c>
      <c r="B191" s="5" t="inlineStr">
        <is>
          <t>Basement entrance doors</t>
        </is>
      </c>
      <c r="C191" s="5" t="inlineStr">
        <is>
          <t>Supply and installation.</t>
        </is>
      </c>
      <c r="D191" s="4" t="inlineStr">
        <is>
          <t>pcs</t>
        </is>
      </c>
      <c r="E191" s="6" t="n">
        <v>3</v>
      </c>
      <c r="F191" s="4" t="inlineStr">
        <is>
          <t>Per documents</t>
        </is>
      </c>
      <c r="G191" s="7" t="n">
        <v>2875</v>
      </c>
      <c r="H191" s="7">
        <f>ROUND(E191*G191,2)</f>
        <v/>
      </c>
      <c r="I191" s="5" t="n"/>
    </row>
    <row r="192">
      <c r="A192" s="4" t="inlineStr">
        <is>
          <t>16.04</t>
        </is>
      </c>
      <c r="B192" s="5" t="inlineStr">
        <is>
          <t>Main entrance door – ground floor</t>
        </is>
      </c>
      <c r="C192" s="5" t="inlineStr">
        <is>
          <t>Supply and installation of the main entrance door (120/220).</t>
        </is>
      </c>
      <c r="D192" s="4" t="inlineStr">
        <is>
          <t>pcs</t>
        </is>
      </c>
      <c r="E192" s="6" t="n">
        <v>1</v>
      </c>
      <c r="F192" s="4" t="inlineStr">
        <is>
          <t>Per documents</t>
        </is>
      </c>
      <c r="G192" s="7" t="n">
        <v>10350</v>
      </c>
      <c r="H192" s="7">
        <f>ROUND(E192*G192,2)</f>
        <v/>
      </c>
      <c r="I192" s="5" t="n"/>
    </row>
    <row r="193">
      <c r="A193" s="4" t="inlineStr">
        <is>
          <t>16.05</t>
        </is>
      </c>
      <c r="B193" s="5" t="inlineStr">
        <is>
          <t>Electric vehicle gate</t>
        </is>
      </c>
      <c r="C193" s="5" t="inlineStr">
        <is>
          <t>Supply and installation of the electric vehicle gate including drive and control.</t>
        </is>
      </c>
      <c r="D193" s="4" t="inlineStr">
        <is>
          <t>lot</t>
        </is>
      </c>
      <c r="E193" s="6" t="n">
        <v>1</v>
      </c>
      <c r="F193" s="4" t="inlineStr">
        <is>
          <t>Per documents</t>
        </is>
      </c>
      <c r="G193" s="7" t="n">
        <v>20700</v>
      </c>
      <c r="H193" s="7">
        <f>ROUND(E193*G193,2)</f>
        <v/>
      </c>
      <c r="I193" s="5" t="n"/>
    </row>
    <row r="194">
      <c r="A194" s="4" t="inlineStr">
        <is>
          <t>16.06</t>
        </is>
      </c>
      <c r="B194" s="5" t="inlineStr">
        <is>
          <t>Electric pillar gate</t>
        </is>
      </c>
      <c r="C194" s="5" t="inlineStr">
        <is>
          <t>Supply and installation.</t>
        </is>
      </c>
      <c r="D194" s="4" t="inlineStr">
        <is>
          <t>lot</t>
        </is>
      </c>
      <c r="E194" s="6" t="n">
        <v>1</v>
      </c>
      <c r="F194" s="4" t="inlineStr">
        <is>
          <t>Per documents</t>
        </is>
      </c>
      <c r="G194" s="7" t="n">
        <v>10350</v>
      </c>
      <c r="H194" s="7">
        <f>ROUND(E194*G194,2)</f>
        <v/>
      </c>
      <c r="I194" s="5" t="n"/>
    </row>
    <row r="195">
      <c r="A195" s="4" t="inlineStr">
        <is>
          <t>16.07</t>
        </is>
      </c>
      <c r="B195" s="5" t="inlineStr">
        <is>
          <t>Waste-bin enclosure gate</t>
        </is>
      </c>
      <c r="C195" s="5" t="inlineStr">
        <is>
          <t>Supply and installation.</t>
        </is>
      </c>
      <c r="D195" s="4" t="inlineStr">
        <is>
          <t>lot</t>
        </is>
      </c>
      <c r="E195" s="6" t="n">
        <v>1</v>
      </c>
      <c r="F195" s="4" t="inlineStr">
        <is>
          <t>Per documents</t>
        </is>
      </c>
      <c r="G195" s="7" t="n">
        <v>4025</v>
      </c>
      <c r="H195" s="7">
        <f>ROUND(E195*G195,2)</f>
        <v/>
      </c>
      <c r="I195" s="5" t="n"/>
    </row>
    <row r="196">
      <c r="A196" s="4" t="inlineStr">
        <is>
          <t>16.09</t>
        </is>
      </c>
      <c r="B196" s="5" t="inlineStr">
        <is>
          <t>Electric roller shutters (optional)</t>
        </is>
      </c>
      <c r="C196" s="5" t="inlineStr">
        <is>
          <t>Supply and installation of electric shutters including box, slats, guides and motor. Optional item, priced if the shutters are also supplied and not only the preparation.</t>
        </is>
      </c>
      <c r="D196" s="4" t="inlineStr">
        <is>
          <t>pcs</t>
        </is>
      </c>
      <c r="E196" s="6" t="n">
        <v>18</v>
      </c>
      <c r="F196" s="4" t="inlineStr">
        <is>
          <t>Per documents</t>
        </is>
      </c>
      <c r="G196" s="7" t="n">
        <v>2760</v>
      </c>
      <c r="H196" s="7">
        <f>ROUND(E196*G196,2)</f>
        <v/>
      </c>
      <c r="I196" s="5" t="inlineStr">
        <is>
          <t>Optional</t>
        </is>
      </c>
    </row>
    <row r="197">
      <c r="A197" s="8" t="inlineStr">
        <is>
          <t>Total – Chapter 16</t>
        </is>
      </c>
      <c r="B197" s="8" t="n"/>
      <c r="C197" s="8" t="n"/>
      <c r="D197" s="8" t="n"/>
      <c r="E197" s="8" t="n"/>
      <c r="F197" s="8" t="n"/>
      <c r="G197" s="8" t="n"/>
      <c r="H197" s="9">
        <f>SUM(H189:H196)</f>
        <v/>
      </c>
      <c r="I197" s="8" t="n"/>
    </row>
    <row r="199">
      <c r="A199" s="3" t="inlineStr">
        <is>
          <t>Chapter 17 — External Development</t>
        </is>
      </c>
      <c r="B199" s="3" t="n"/>
      <c r="C199" s="3" t="n"/>
      <c r="D199" s="3" t="n"/>
      <c r="E199" s="3" t="n"/>
      <c r="F199" s="3" t="n"/>
      <c r="G199" s="3" t="n"/>
      <c r="H199" s="3" t="n"/>
      <c r="I199" s="3" t="n"/>
    </row>
    <row r="200">
      <c r="A200" s="4" t="inlineStr">
        <is>
          <t>17.01</t>
        </is>
      </c>
      <c r="B200" s="5" t="inlineStr">
        <is>
          <t>Earthworks and levelling of development areas</t>
        </is>
      </c>
      <c r="C200" s="5" t="inlineStr">
        <is>
          <t>Shaping of levels and soil compaction per the approved plan.</t>
        </is>
      </c>
      <c r="D200" s="4" t="inlineStr">
        <is>
          <t>m²</t>
        </is>
      </c>
      <c r="E200" s="6" t="n">
        <v>65</v>
      </c>
      <c r="F200" s="4" t="inlineStr">
        <is>
          <t>Per documents</t>
        </is>
      </c>
      <c r="G200" s="7" t="n">
        <v>86</v>
      </c>
      <c r="H200" s="7">
        <f>ROUND(E200*G200,2)</f>
        <v/>
      </c>
      <c r="I200" s="5" t="n"/>
    </row>
    <row r="201">
      <c r="A201" s="4" t="inlineStr">
        <is>
          <t>17.02</t>
        </is>
      </c>
      <c r="B201" s="5" t="inlineStr">
        <is>
          <t>Storm-water drainage system</t>
        </is>
      </c>
      <c r="C201" s="5" t="inlineStr">
        <is>
          <t>Storm-water drainage.</t>
        </is>
      </c>
      <c r="D201" s="4" t="inlineStr">
        <is>
          <t>lot</t>
        </is>
      </c>
      <c r="E201" s="6" t="n">
        <v>1</v>
      </c>
      <c r="F201" s="4" t="inlineStr">
        <is>
          <t>Per documents</t>
        </is>
      </c>
      <c r="G201" s="7" t="n">
        <v>11500</v>
      </c>
      <c r="H201" s="7">
        <f>ROUND(E201*G201,2)</f>
        <v/>
      </c>
      <c r="I201" s="5" t="n"/>
    </row>
    <row r="202">
      <c r="A202" s="4" t="inlineStr">
        <is>
          <t>17.04</t>
        </is>
      </c>
      <c r="B202" s="5" t="inlineStr">
        <is>
          <t>Landscaping, automatic irrigation and garden taps</t>
        </is>
      </c>
      <c r="C202" s="5" t="inlineStr">
        <is>
          <t>Planting areas, irrigation system and 11 garden taps; plant types to be defined.</t>
        </is>
      </c>
      <c r="D202" s="4" t="inlineStr">
        <is>
          <t>lot</t>
        </is>
      </c>
      <c r="E202" s="6" t="n">
        <v>1</v>
      </c>
      <c r="F202" s="4" t="inlineStr">
        <is>
          <t>Per documents</t>
        </is>
      </c>
      <c r="G202" s="7" t="n">
        <v>32200</v>
      </c>
      <c r="H202" s="7">
        <f>ROUND(E202*G202,2)</f>
        <v/>
      </c>
      <c r="I202" s="5" t="n"/>
    </row>
    <row r="203">
      <c r="A203" s="4" t="inlineStr">
        <is>
          <t>17.05</t>
        </is>
      </c>
      <c r="B203" s="5" t="inlineStr">
        <is>
          <t>Garden lighting incl. electrical connection</t>
        </is>
      </c>
      <c r="C203" s="5" t="inlineStr">
        <is>
          <t>Garden lighting and electrical connection.</t>
        </is>
      </c>
      <c r="D203" s="4" t="inlineStr">
        <is>
          <t>lot</t>
        </is>
      </c>
      <c r="E203" s="6" t="n">
        <v>1</v>
      </c>
      <c r="F203" s="4" t="inlineStr">
        <is>
          <t>Per documents</t>
        </is>
      </c>
      <c r="G203" s="7" t="n">
        <v>10350</v>
      </c>
      <c r="H203" s="7">
        <f>ROUND(E203*G203,2)</f>
        <v/>
      </c>
      <c r="I203" s="5" t="n"/>
    </row>
    <row r="204">
      <c r="A204" s="8" t="inlineStr">
        <is>
          <t>Total – Chapter 17</t>
        </is>
      </c>
      <c r="B204" s="8" t="n"/>
      <c r="C204" s="8" t="n"/>
      <c r="D204" s="8" t="n"/>
      <c r="E204" s="8" t="n"/>
      <c r="F204" s="8" t="n"/>
      <c r="G204" s="8" t="n"/>
      <c r="H204" s="9">
        <f>SUM(H200:H203)</f>
        <v/>
      </c>
      <c r="I204" s="8" t="n"/>
    </row>
    <row r="206">
      <c r="A206" s="3" t="inlineStr">
        <is>
          <t>Chapter 18 — Communications, Security, Intercom and Audio Infrastructure</t>
        </is>
      </c>
      <c r="B206" s="3" t="n"/>
      <c r="C206" s="3" t="n"/>
      <c r="D206" s="3" t="n"/>
      <c r="E206" s="3" t="n"/>
      <c r="F206" s="3" t="n"/>
      <c r="G206" s="3" t="n"/>
      <c r="H206" s="3" t="n"/>
      <c r="I206" s="3" t="n"/>
    </row>
    <row r="207">
      <c r="A207" s="4" t="inlineStr">
        <is>
          <t>18.01</t>
        </is>
      </c>
      <c r="B207" s="5" t="inlineStr">
        <is>
          <t>Conduits and sleeves – communications, security and audio</t>
        </is>
      </c>
      <c r="C207" s="5" t="inlineStr">
        <is>
          <t>Conduit and sleeve infrastructure on all floors.</t>
        </is>
      </c>
      <c r="D207" s="4" t="inlineStr">
        <is>
          <t>lot</t>
        </is>
      </c>
      <c r="E207" s="6" t="n">
        <v>1</v>
      </c>
      <c r="F207" s="4" t="inlineStr">
        <is>
          <t>Per documents</t>
        </is>
      </c>
      <c r="G207" s="7" t="n">
        <v>11500</v>
      </c>
      <c r="H207" s="7">
        <f>ROUND(E207*G207,2)</f>
        <v/>
      </c>
      <c r="I207" s="5" t="n"/>
    </row>
    <row r="208">
      <c r="A208" s="4" t="inlineStr">
        <is>
          <t>18.02</t>
        </is>
      </c>
      <c r="B208" s="5" t="inlineStr">
        <is>
          <t>Central communications cabinet location and enclosure</t>
        </is>
      </c>
      <c r="C208" s="5" t="inlineStr">
        <is>
          <t>Location and enclosure for the central cabinet.</t>
        </is>
      </c>
      <c r="D208" s="4" t="inlineStr">
        <is>
          <t>lot</t>
        </is>
      </c>
      <c r="E208" s="6" t="n">
        <v>1</v>
      </c>
      <c r="F208" s="4" t="inlineStr">
        <is>
          <t>Per documents</t>
        </is>
      </c>
      <c r="G208" s="7" t="n">
        <v>4025</v>
      </c>
      <c r="H208" s="7">
        <f>ROUND(E208*G208,2)</f>
        <v/>
      </c>
      <c r="I208" s="5" t="n"/>
    </row>
    <row r="209">
      <c r="A209" s="4" t="inlineStr">
        <is>
          <t>18.03</t>
        </is>
      </c>
      <c r="B209" s="5" t="inlineStr">
        <is>
          <t>Gate intercom connection</t>
        </is>
      </c>
      <c r="C209" s="5" t="inlineStr">
        <is>
          <t>Connection of the gate intercom to the internal panel.</t>
        </is>
      </c>
      <c r="D209" s="4" t="inlineStr">
        <is>
          <t>lot</t>
        </is>
      </c>
      <c r="E209" s="6" t="n">
        <v>1</v>
      </c>
      <c r="F209" s="4" t="inlineStr">
        <is>
          <t>Per documents</t>
        </is>
      </c>
      <c r="G209" s="7" t="n">
        <v>2300</v>
      </c>
      <c r="H209" s="7">
        <f>ROUND(E209*G209,2)</f>
        <v/>
      </c>
      <c r="I209" s="5" t="n"/>
    </row>
    <row r="210">
      <c r="A210" s="4" t="inlineStr">
        <is>
          <t>18.04</t>
        </is>
      </c>
      <c r="B210" s="5" t="inlineStr">
        <is>
          <t>Continuity tests</t>
        </is>
      </c>
      <c r="C210" s="5" t="inlineStr">
        <is>
          <t>Continuity tests for infrastructure.</t>
        </is>
      </c>
      <c r="D210" s="4" t="inlineStr">
        <is>
          <t>lot</t>
        </is>
      </c>
      <c r="E210" s="6" t="n">
        <v>1</v>
      </c>
      <c r="F210" s="4" t="inlineStr">
        <is>
          <t>Per documents</t>
        </is>
      </c>
      <c r="G210" s="7" t="n">
        <v>1725</v>
      </c>
      <c r="H210" s="7">
        <f>ROUND(E210*G210,2)</f>
        <v/>
      </c>
      <c r="I210" s="5" t="n"/>
    </row>
    <row r="211">
      <c r="A211" s="4" t="inlineStr">
        <is>
          <t>18.05</t>
        </is>
      </c>
      <c r="B211" s="5" t="inlineStr">
        <is>
          <t>Communication points (TV, telephone/intercom, internet)</t>
        </is>
      </c>
      <c r="C211" s="5" t="inlineStr">
        <is>
          <t>Infrastructure points; final quantities per integrator specification.</t>
        </is>
      </c>
      <c r="D211" s="4" t="inlineStr">
        <is>
          <t>pt</t>
        </is>
      </c>
      <c r="E211" s="6" t="n">
        <v>24</v>
      </c>
      <c r="F211" s="4" t="inlineStr">
        <is>
          <t>Provisional – remeasure</t>
        </is>
      </c>
      <c r="G211" s="7" t="n">
        <v>288</v>
      </c>
      <c r="H211" s="7">
        <f>ROUND(E211*G211,2)</f>
        <v/>
      </c>
      <c r="I211" s="5" t="n"/>
    </row>
    <row r="212">
      <c r="A212" s="8" t="inlineStr">
        <is>
          <t>Total – Chapter 18</t>
        </is>
      </c>
      <c r="B212" s="8" t="n"/>
      <c r="C212" s="8" t="n"/>
      <c r="D212" s="8" t="n"/>
      <c r="E212" s="8" t="n"/>
      <c r="F212" s="8" t="n"/>
      <c r="G212" s="8" t="n"/>
      <c r="H212" s="9">
        <f>SUM(H207:H211)</f>
        <v/>
      </c>
      <c r="I212" s="8" t="n"/>
    </row>
  </sheetData>
  <mergeCells count="18">
    <mergeCell ref="A204:G204"/>
    <mergeCell ref="A88:G88"/>
    <mergeCell ref="A150:G150"/>
    <mergeCell ref="A197:G197"/>
    <mergeCell ref="A143:G143"/>
    <mergeCell ref="A106:G106"/>
    <mergeCell ref="A136:G136"/>
    <mergeCell ref="A158:G158"/>
    <mergeCell ref="A39:G39"/>
    <mergeCell ref="A212:G212"/>
    <mergeCell ref="A186:G186"/>
    <mergeCell ref="A16:G16"/>
    <mergeCell ref="A52:G52"/>
    <mergeCell ref="A165:G165"/>
    <mergeCell ref="A180:G180"/>
    <mergeCell ref="A174:G174"/>
    <mergeCell ref="A129:G129"/>
    <mergeCell ref="A46:G46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</cols>
  <sheetData>
    <row r="1">
      <c r="A1" s="1" t="inlineStr">
        <is>
          <t>Summary of Quotation</t>
        </is>
      </c>
    </row>
    <row r="3">
      <c r="A3" s="10" t="inlineStr">
        <is>
          <t>Chapter</t>
        </is>
      </c>
      <c r="B3" s="10" t="inlineStr">
        <is>
          <t>Amount (₪)</t>
        </is>
      </c>
    </row>
    <row r="4">
      <c r="A4" t="inlineStr">
        <is>
          <t>1. Preparation and Site Establishment</t>
        </is>
      </c>
      <c r="B4" s="11">
        <f>Quotation!H16</f>
        <v/>
      </c>
    </row>
    <row r="5">
      <c r="A5" t="inlineStr">
        <is>
          <t>2. Demolition, Removals and Disposal</t>
        </is>
      </c>
      <c r="B5" s="11">
        <f>Quotation!H39</f>
        <v/>
      </c>
    </row>
    <row r="6">
      <c r="A6" t="inlineStr">
        <is>
          <t>3. Structural Works and Extensions</t>
        </is>
      </c>
      <c r="B6" s="11">
        <f>Quotation!H46</f>
        <v/>
      </c>
    </row>
    <row r="7">
      <c r="A7" t="inlineStr">
        <is>
          <t>4. New Block Wall Partitions</t>
        </is>
      </c>
      <c r="B7" s="11">
        <f>Quotation!H52</f>
        <v/>
      </c>
    </row>
    <row r="8">
      <c r="A8" t="inlineStr">
        <is>
          <t>5. Plumbing, Sanitary Fixtures and Taps</t>
        </is>
      </c>
      <c r="B8" s="11">
        <f>Quotation!H88</f>
        <v/>
      </c>
    </row>
    <row r="9">
      <c r="A9" t="inlineStr">
        <is>
          <t>6. Electrical Works</t>
        </is>
      </c>
      <c r="B9" s="11">
        <f>Quotation!H106</f>
        <v/>
      </c>
    </row>
    <row r="10">
      <c r="A10" t="inlineStr">
        <is>
          <t>7. Lighting and Light Switches</t>
        </is>
      </c>
      <c r="B10" s="11">
        <f>Quotation!H129</f>
        <v/>
      </c>
    </row>
    <row r="11">
      <c r="A11" t="inlineStr">
        <is>
          <t>8. Air Conditioning</t>
        </is>
      </c>
      <c r="B11" s="11">
        <f>Quotation!H136</f>
        <v/>
      </c>
    </row>
    <row r="12">
      <c r="A12" t="inlineStr">
        <is>
          <t>9. Gypsum Partitions and Ceilings</t>
        </is>
      </c>
      <c r="B12" s="11">
        <f>Quotation!H143</f>
        <v/>
      </c>
    </row>
    <row r="13">
      <c r="A13" t="inlineStr">
        <is>
          <t>10. Internal Waterproofing</t>
        </is>
      </c>
      <c r="B13" s="11">
        <f>Quotation!H150</f>
        <v/>
      </c>
    </row>
    <row r="14">
      <c r="A14" t="inlineStr">
        <is>
          <t>11. Roof and Parapet Waterproofing</t>
        </is>
      </c>
      <c r="B14" s="11">
        <f>Quotation!H158</f>
        <v/>
      </c>
    </row>
    <row r="15">
      <c r="A15" t="inlineStr">
        <is>
          <t>12. Window Sills and Door Thresholds</t>
        </is>
      </c>
      <c r="B15" s="11">
        <f>Quotation!H165</f>
        <v/>
      </c>
    </row>
    <row r="16">
      <c r="A16" t="inlineStr">
        <is>
          <t>13. Flooring, Wall Tiling and Skirting</t>
        </is>
      </c>
      <c r="B16" s="11">
        <f>Quotation!H174</f>
        <v/>
      </c>
    </row>
    <row r="17">
      <c r="A17" t="inlineStr">
        <is>
          <t>14. External Coloured Plaster</t>
        </is>
      </c>
      <c r="B17" s="11">
        <f>Quotation!H180</f>
        <v/>
      </c>
    </row>
    <row r="18">
      <c r="A18" t="inlineStr">
        <is>
          <t>15. Plaster Repairs, Skim Coat and Internal Painting</t>
        </is>
      </c>
      <c r="B18" s="11">
        <f>Quotation!H186</f>
        <v/>
      </c>
    </row>
    <row r="19">
      <c r="A19" t="inlineStr">
        <is>
          <t>16. Aluminium, Doors and Gates</t>
        </is>
      </c>
      <c r="B19" s="11">
        <f>Quotation!H197</f>
        <v/>
      </c>
    </row>
    <row r="20">
      <c r="A20" t="inlineStr">
        <is>
          <t>17. External Development</t>
        </is>
      </c>
      <c r="B20" s="11">
        <f>Quotation!H204</f>
        <v/>
      </c>
    </row>
    <row r="21">
      <c r="A21" t="inlineStr">
        <is>
          <t>18. Communications, Security, Intercom and Audio Infrastructure</t>
        </is>
      </c>
      <c r="B21" s="11">
        <f>Quotation!H212</f>
        <v/>
      </c>
    </row>
    <row r="22">
      <c r="A22" s="12" t="inlineStr">
        <is>
          <t>Total before discount</t>
        </is>
      </c>
      <c r="B22" s="13">
        <f>SUM(B4:B21)</f>
        <v/>
      </c>
    </row>
    <row r="23">
      <c r="A23" s="12" t="inlineStr">
        <is>
          <t>Discount</t>
        </is>
      </c>
      <c r="B23" s="13">
        <f>-ROUND(B22*C23,2)</f>
        <v/>
      </c>
      <c r="C23" s="14" t="n">
        <v>0.25</v>
      </c>
    </row>
    <row r="24">
      <c r="A24" s="12" t="inlineStr">
        <is>
          <t>Total after discount, excl. VAT</t>
        </is>
      </c>
      <c r="B24" s="13">
        <f>B22+B23</f>
        <v/>
      </c>
    </row>
    <row r="25">
      <c r="A25" s="12" t="inlineStr">
        <is>
          <t>VAT</t>
        </is>
      </c>
      <c r="B25" s="13">
        <f>ROUND(B24*C25,2)</f>
        <v/>
      </c>
      <c r="C25" s="14" t="n">
        <v>0.18</v>
      </c>
    </row>
    <row r="26">
      <c r="A26" s="12" t="inlineStr">
        <is>
          <t>TOTAL INCLUDING VAT</t>
        </is>
      </c>
      <c r="B26" s="13">
        <f>B24+B25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20" customWidth="1" min="3" max="3"/>
  </cols>
  <sheetData>
    <row r="1">
      <c r="A1" s="15" t="inlineStr">
        <is>
          <t>#</t>
        </is>
      </c>
      <c r="B1" s="15" t="inlineStr">
        <is>
          <t>Type</t>
        </is>
      </c>
      <c r="C1" s="15" t="inlineStr">
        <is>
          <t>Note</t>
        </is>
      </c>
    </row>
    <row r="2">
      <c r="A2" s="16" t="n">
        <v>1</v>
      </c>
      <c r="B2" s="16" t="inlineStr">
        <is>
          <t>Basis</t>
        </is>
      </c>
      <c r="C2" s="16" t="inlineStr">
        <is>
          <t>Quotation based on: Technical Specification Book rev. 20 (06/07/2026); architectural drawings "New Construction" – ground floor (sheet 13) and first floor (sheet 23), dated 17/09/2026; Contractor Quantity Schedule dated 24/09/2026; the Employer's bill of quantities. Where documents differ, the Quantity Schedule dated 24/09/2026 was used.</t>
        </is>
      </c>
    </row>
    <row r="3">
      <c r="A3" s="16" t="n">
        <v>2</v>
      </c>
      <c r="B3" s="16" t="inlineStr">
        <is>
          <t>Quantities</t>
        </is>
      </c>
      <c r="C3" s="16" t="inlineStr">
        <is>
          <t>Items marked "Provisional – remeasure" have no quantity in the documents provided (air conditioning, switches, emergency lighting, water heaters, direct connections, communication points, roof/parapet, scaffolding). They are priced on estimated quantities and will be remeasured on site.</t>
        </is>
      </c>
    </row>
    <row r="4">
      <c r="A4" s="16" t="n">
        <v>3</v>
      </c>
      <c r="B4" s="16" t="inlineStr">
        <is>
          <t>Structural</t>
        </is>
      </c>
      <c r="C4" s="16" t="inlineStr">
        <is>
          <t>Chapter 3 (balcony and pergola, gallery room, entrance and stairs, strengthening of internal stairs) is a provisional sum. The structural engineer's complete drawings were not provided; the price will be adjusted on receipt.</t>
        </is>
      </c>
    </row>
    <row r="5">
      <c r="A5" s="16" t="n">
        <v>4</v>
      </c>
      <c r="B5" s="16" t="inlineStr">
        <is>
          <t>Supply</t>
        </is>
      </c>
      <c r="C5" s="16" t="inlineStr">
        <is>
          <t>Sanitary ware and taps, light fittings, air-conditioning units, water heaters, and floor / wall tiles are supplied by the Employer; the Contractor installs. Aluminium, doors, gates, shutters and stone sills are supplied and installed.</t>
        </is>
      </c>
    </row>
    <row r="6">
      <c r="A6" s="16" t="n">
        <v>5</v>
      </c>
      <c r="B6" s="16" t="inlineStr">
        <is>
          <t>Exclusion</t>
        </is>
      </c>
      <c r="C6" s="16" t="inlineStr">
        <is>
          <t>Swimming pool (all works), carpentry (kitchen, bathroom and wardrobe cabinets), furniture, permits and fees, consultants' fees, and electricity company charges for the supply upgrade.</t>
        </is>
      </c>
    </row>
    <row r="7">
      <c r="A7" s="16" t="n">
        <v>6</v>
      </c>
      <c r="B7" s="16" t="inlineStr">
        <is>
          <t>Exclusion</t>
        </is>
      </c>
      <c r="C7" s="16" t="inlineStr">
        <is>
          <t>Items that depend on the Employer's decisions: electric shutters (optional), garden plant types, final fixture models.</t>
        </is>
      </c>
    </row>
    <row r="8">
      <c r="A8" s="16" t="n">
        <v>7</v>
      </c>
      <c r="B8" s="16" t="inlineStr">
        <is>
          <t>Tests</t>
        </is>
      </c>
      <c r="C8" s="16" t="inlineStr">
        <is>
          <t>Required tests and approvals (structural engineer, waterproofing consultant, certified electrical inspector, flood tests) are included as per the specification.</t>
        </is>
      </c>
    </row>
    <row r="9">
      <c r="A9" s="16" t="n">
        <v>8</v>
      </c>
      <c r="B9" s="16" t="inlineStr">
        <is>
          <t>Commercial</t>
        </is>
      </c>
      <c r="C9" s="16" t="inlineStr">
        <is>
          <t>Validity: [__ days]  |  Payment terms: [__]  |  Price adjustment: [__]</t>
        </is>
      </c>
    </row>
    <row r="10">
      <c r="A10" s="16" t="n">
        <v>9</v>
      </c>
      <c r="B10" s="16" t="inlineStr">
        <is>
          <t>Discount</t>
        </is>
      </c>
      <c r="C10" s="16" t="inlineStr">
        <is>
          <t>A discount of 25% on the total of the quotation is shown in the Summary sheet.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56" customWidth="1" min="1" max="1"/>
    <col width="14" customWidth="1" min="2" max="2"/>
    <col width="14" customWidth="1" min="3" max="3"/>
  </cols>
  <sheetData>
    <row r="1">
      <c r="A1" s="15" t="inlineStr">
        <is>
          <t>Phase</t>
        </is>
      </c>
      <c r="B1" s="15" t="inlineStr">
        <is>
          <t>Start</t>
        </is>
      </c>
      <c r="C1" s="15" t="inlineStr">
        <is>
          <t>Finish</t>
        </is>
      </c>
    </row>
    <row r="2">
      <c r="A2" s="16" t="inlineStr">
        <is>
          <t>Contract award and orders placed</t>
        </is>
      </c>
      <c r="B2" s="17" t="n">
        <v>46327</v>
      </c>
      <c r="C2" s="17" t="n">
        <v>46327</v>
      </c>
    </row>
    <row r="3">
      <c r="A3" s="16" t="inlineStr">
        <is>
          <t>Site establishment and approvals to demolish</t>
        </is>
      </c>
      <c r="B3" s="17" t="n">
        <v>46328</v>
      </c>
      <c r="C3" s="17" t="n">
        <v>46341</v>
      </c>
    </row>
    <row r="4">
      <c r="A4" s="16" t="inlineStr">
        <is>
          <t>Demolition and removals</t>
        </is>
      </c>
      <c r="B4" s="17" t="n">
        <v>46342</v>
      </c>
      <c r="C4" s="17" t="n">
        <v>46369</v>
      </c>
    </row>
    <row r="5">
      <c r="A5" s="16" t="inlineStr">
        <is>
          <t>Scaffolding erected / removed</t>
        </is>
      </c>
      <c r="B5" s="17" t="n">
        <v>46342</v>
      </c>
      <c r="C5" s="17" t="n">
        <v>46475</v>
      </c>
    </row>
    <row r="6">
      <c r="A6" s="16" t="inlineStr">
        <is>
          <t>Structural works and extensions</t>
        </is>
      </c>
      <c r="B6" s="17" t="n">
        <v>46370</v>
      </c>
      <c r="C6" s="17" t="n">
        <v>46420</v>
      </c>
    </row>
    <row r="7">
      <c r="A7" s="16" t="inlineStr">
        <is>
          <t>Roof and parapet</t>
        </is>
      </c>
      <c r="B7" s="17" t="n">
        <v>46370</v>
      </c>
      <c r="C7" s="17" t="n">
        <v>46405</v>
      </c>
    </row>
    <row r="8">
      <c r="A8" s="16" t="inlineStr">
        <is>
          <t>MEP rough-in and tests</t>
        </is>
      </c>
      <c r="B8" s="17" t="n">
        <v>46376</v>
      </c>
      <c r="C8" s="17" t="n">
        <v>46406</v>
      </c>
    </row>
    <row r="9">
      <c r="A9" s="16" t="inlineStr">
        <is>
          <t>Gypsum and waterproofing</t>
        </is>
      </c>
      <c r="B9" s="17" t="n">
        <v>46407</v>
      </c>
      <c r="C9" s="17" t="n">
        <v>46448</v>
      </c>
    </row>
    <row r="10">
      <c r="A10" s="16" t="inlineStr">
        <is>
          <t>Facade and external works</t>
        </is>
      </c>
      <c r="B10" s="17" t="n">
        <v>46421</v>
      </c>
      <c r="C10" s="17" t="n">
        <v>46484</v>
      </c>
    </row>
    <row r="11">
      <c r="A11" s="16" t="inlineStr">
        <is>
          <t>Interior finishes (tiling, plaster, paint, fittings)</t>
        </is>
      </c>
      <c r="B11" s="17" t="n">
        <v>46422</v>
      </c>
      <c r="C11" s="17" t="n">
        <v>46525</v>
      </c>
    </row>
    <row r="12">
      <c r="A12" s="16" t="inlineStr">
        <is>
          <t>Inspections, handover preparation</t>
        </is>
      </c>
      <c r="B12" s="17" t="n">
        <v>46526</v>
      </c>
      <c r="C12" s="17" t="n">
        <v>46546</v>
      </c>
    </row>
    <row r="13">
      <c r="A13" s="16" t="inlineStr">
        <is>
          <t>Handover</t>
        </is>
      </c>
      <c r="B13" s="17" t="n">
        <v>46546</v>
      </c>
      <c r="C13" s="17" t="n">
        <v>46546</v>
      </c>
    </row>
    <row r="15">
      <c r="A15" s="16" t="inlineStr">
        <is>
          <t>Indicative programme, working week Sunday–Thursday, start 01/11/2026. Excludes holidays and weather delays. Total duration approx. 31 weeks.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2026-10-08T23:56:22Z</dcterms:created>
  <dcterms:modified xmlns:dcterms="http://purl.org/dc/terms/" xmlns:xsi="http://www.w3.org/2001/XMLSchema-instance" xsi:type="dcterms:W3CDTF">2026-10-08T23:56:22Z</dcterms:modified>
</cp:coreProperties>
</file>