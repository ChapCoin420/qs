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vis" sheetId="1" r:id="rId1"/>
    <sheet name="Récapitulatif" sheetId="2" r:id="rId2"/>
    <sheet name="Conditions et exclusions" sheetId="3" r:id="rId3"/>
    <sheet name="Étude de marché (interne)" sheetId="4" r:id="rId4"/>
  </sheets>
  <definedNames>
    <definedName name="_xlnm.Print_Titles" localSheetId="0">Devis!$5:$5</definedName>
  </definedNames>
  <calcPr calcId="124519" fullCalcOnLoad="1"/>
</workbook>
</file>

<file path=xl/sharedStrings.xml><?xml version="1.0" encoding="utf-8"?>
<sst xmlns="http://schemas.openxmlformats.org/spreadsheetml/2006/main" count="665" uniqueCount="474">
  <si>
    <t>DEVIS — Rénovation et extension, 53 rue Shlonsky, Haïfa</t>
  </si>
  <si>
    <t>Maître d'ouvrage : Zohar Mor Yosef et Rami Dana   |   Entreprise : [Nom de l'entreprise]   |   Date : 14/10/2026   |   Devis n° : [__]</t>
  </si>
  <si>
    <t>Tous les montants en EUR (€), hors TVA, base de prix octobre 2026. Les prix unitaires incluent les frais généraux et la marge de l'entreprise (15 %).</t>
  </si>
  <si>
    <t xml:space="preserve"> </t>
  </si>
  <si>
    <t>Poste</t>
  </si>
  <si>
    <t>Désignation</t>
  </si>
  <si>
    <t>Description</t>
  </si>
  <si>
    <t>Unité</t>
  </si>
  <si>
    <t>Qté</t>
  </si>
  <si>
    <t>Prix unitaire</t>
  </si>
  <si>
    <t>Montant</t>
  </si>
  <si>
    <t>Remarques</t>
  </si>
  <si>
    <t>Chapitre 1 — Préparation et installation de chantier</t>
  </si>
  <si>
    <t>01.01</t>
  </si>
  <si>
    <t>Installation de chantier</t>
  </si>
  <si>
    <t>Mise en place des zones de travail et de stockage, des installations du personnel et coordination des accès.</t>
  </si>
  <si>
    <t>forfait</t>
  </si>
  <si>
    <t>01.02</t>
  </si>
  <si>
    <t>Clôture, signalisation et sécurité du chantier</t>
  </si>
  <si>
    <t>Clôture provisoire, panneaux de chantier et de danger, et mesures de sécurité requises pendant les travaux.</t>
  </si>
  <si>
    <t>01.03</t>
  </si>
  <si>
    <t>Branchement d'eau provisoire</t>
  </si>
  <si>
    <t>Branchement d'eau provisoire depuis la source agréée, avec essai.</t>
  </si>
  <si>
    <t>01.04</t>
  </si>
  <si>
    <t>Branchement électrique provisoire</t>
  </si>
  <si>
    <t>Branchement électrique provisoire réalisé par un électricien qualifié, avec protections et essais.</t>
  </si>
  <si>
    <t>01.05</t>
  </si>
  <si>
    <t>Protection des éléments existants</t>
  </si>
  <si>
    <t>Protections des sols, ouvertures, fenêtres, escaliers, garde-corps, murs et végétaux à conserver.</t>
  </si>
  <si>
    <t>01.06</t>
  </si>
  <si>
    <t>Relevés, vérification et traçage laser</t>
  </si>
  <si>
    <t>Relevé du bâti existant, vérification par rapport aux plans d'architecture et des lots techniques, traçage des positions et des niveaux.</t>
  </si>
  <si>
    <t>01.07</t>
  </si>
  <si>
    <t>Benne à déchets et zone de collecte</t>
  </si>
  <si>
    <t>Mise en place d'une benne et d'une zone de collecte ; évacuation des déchets vers un site agréé.</t>
  </si>
  <si>
    <t>01.08</t>
  </si>
  <si>
    <t>Nettoyage courant du chantier</t>
  </si>
  <si>
    <t>Nettoyage périodique des zones de travail et des circulations pendant toute la durée des travaux.</t>
  </si>
  <si>
    <t>01.09</t>
  </si>
  <si>
    <t>Échafaudage extérieur</t>
  </si>
  <si>
    <t>Montage, location pour la durée des travaux (environ 4,5 mois), entretien et démontage d'un échafaudage extérieur conforme autour des façades, pour le sciage des cadres en béton décoratifs et les travaux d'enduit de façade.</t>
  </si>
  <si>
    <t>m²</t>
  </si>
  <si>
    <t>Quantité provisoire – métrée sur place</t>
  </si>
  <si>
    <t>Total – Chapitre 1</t>
  </si>
  <si>
    <t>Chapitre 2 — Démolition, dépose et évacuation</t>
  </si>
  <si>
    <t>02.01</t>
  </si>
  <si>
    <t>Démolition de murs et cloisons – sous-sol</t>
  </si>
  <si>
    <t>Démolition des murs et cloisons existants selon les plans de démolition.</t>
  </si>
  <si>
    <t>02.02</t>
  </si>
  <si>
    <t>Démolition de murs et cloisons – rez-de-chaussée</t>
  </si>
  <si>
    <t>02.03</t>
  </si>
  <si>
    <t>Démolition de murs et cloisons – 1er étage</t>
  </si>
  <si>
    <t>02.04</t>
  </si>
  <si>
    <t>Dépose des faux plafonds en plaques de plâtre</t>
  </si>
  <si>
    <t>Dépose des faux plafonds en plaques de plâtre existants.</t>
  </si>
  <si>
    <t>02.05</t>
  </si>
  <si>
    <t>Dépose des revêtements de sol existants</t>
  </si>
  <si>
    <t>Dépose des revêtements de sol existants.</t>
  </si>
  <si>
    <t>02.06</t>
  </si>
  <si>
    <t>Dépose des meubles de cuisine existants</t>
  </si>
  <si>
    <t>Dépose complète des meubles de cuisine existants.</t>
  </si>
  <si>
    <t>02.07</t>
  </si>
  <si>
    <t>Dépose des autres meubles et menuiseries</t>
  </si>
  <si>
    <t>Dépose des autres meubles et ouvrages de menuiserie existants.</t>
  </si>
  <si>
    <t>u</t>
  </si>
  <si>
    <t>02.08</t>
  </si>
  <si>
    <t>Dépose des fenêtres aluminium et volets roulants existants</t>
  </si>
  <si>
    <t>Dépose complète des fenêtres en aluminium et des volets roulants existants.</t>
  </si>
  <si>
    <t>02.09</t>
  </si>
  <si>
    <t>Dépose des portes intérieures et d'entrée et de leurs huisseries</t>
  </si>
  <si>
    <t>Dépose complète des portes intérieures et d'entrée et de leurs huisseries.</t>
  </si>
  <si>
    <t>02.10</t>
  </si>
  <si>
    <t>Dépose des salles de bains, WC et appareils sanitaires</t>
  </si>
  <si>
    <t>Dépose complète des salles de bains, WC et appareils sanitaires existants.</t>
  </si>
  <si>
    <t>02.11</t>
  </si>
  <si>
    <t>Dépose des points, appareillages et luminaires électriques</t>
  </si>
  <si>
    <t>Dépose des points électriques, appareillages et luminaires existants.</t>
  </si>
  <si>
    <t>02.12</t>
  </si>
  <si>
    <t>Dépose des canalisations apparentes existantes</t>
  </si>
  <si>
    <t>Dépose des canalisations de plomberie apparentes existantes.</t>
  </si>
  <si>
    <t>02.13</t>
  </si>
  <si>
    <t>Dépose des unités de climatisation existantes</t>
  </si>
  <si>
    <t>Dépose des unités de climatisation intérieures et extérieures existantes.</t>
  </si>
  <si>
    <t>02.14</t>
  </si>
  <si>
    <t>Dépose du garde-corps de l'escalier intérieur</t>
  </si>
  <si>
    <t>Dépose soignée du garde-corps existant, avant les travaux de renforcement.</t>
  </si>
  <si>
    <t>02.15</t>
  </si>
  <si>
    <t>Sciage et dépose des cadres en béton décoratifs</t>
  </si>
  <si>
    <t>Sciage et dépose des cadres en béton décoratifs autour des fenêtres pour obtenir une façade lisse et uniforme ; exécuté depuis l'échafaudage et sous réserve de l'accord écrit de l'ingénieur structure.</t>
  </si>
  <si>
    <t>ml</t>
  </si>
  <si>
    <t>02.16</t>
  </si>
  <si>
    <t>Tri et évacuation des déchets vers un site agréé</t>
  </si>
  <si>
    <t>Tri, chargement et évacuation des gravats de démolition vers un site agréé, avec bordereaux de dépôt.</t>
  </si>
  <si>
    <t>02.17</t>
  </si>
  <si>
    <t>Nettoyage approfondi après démolition</t>
  </si>
  <si>
    <t>Nettoyage approfondi de toutes les zones après démolition.</t>
  </si>
  <si>
    <t>02.18</t>
  </si>
  <si>
    <t>Dépose des panneaux muraux existants</t>
  </si>
  <si>
    <t>Dépose des panneaux muraux existants dans toute la maison.</t>
  </si>
  <si>
    <t>02.19</t>
  </si>
  <si>
    <t>Dépose du sol granolithique</t>
  </si>
  <si>
    <t>Dépose du sol granolithique dans le parking, l'entrée et les allées.</t>
  </si>
  <si>
    <t>02.20</t>
  </si>
  <si>
    <t>Dépose de l'escalier d'entrée existant</t>
  </si>
  <si>
    <t>Dépose de l'escalier d'entrée existant, y compris découpe, chargement et évacuation, avant la réalisation des nouvelles marches suspendues.</t>
  </si>
  <si>
    <t>02.21</t>
  </si>
  <si>
    <t>Dépose du gazon et des plantations</t>
  </si>
  <si>
    <t>Dépose du gazon, arbustes et plantations existants dans les zones aménagées, y compris racines, chargement et évacuation.</t>
  </si>
  <si>
    <t>Total – Chapitre 2</t>
  </si>
  <si>
    <t>Chapitre 3 — Travaux de structure et extensions</t>
  </si>
  <si>
    <t>03.01</t>
  </si>
  <si>
    <t>Agrandissement du balcon du salon et nouvelle pergola</t>
  </si>
  <si>
    <t>Travaux de structure complets selon les plans et le cahier des charges de l'ingénieur structure.</t>
  </si>
  <si>
    <t>Forfait – ajusté à réception des plans de structure</t>
  </si>
  <si>
    <t>03.02</t>
  </si>
  <si>
    <t>Nouvelle pièce au niveau de la galerie</t>
  </si>
  <si>
    <t>Travaux de structure complets de la pièce selon les plans de structure et d'architecture, y compris liaisons avec l'existant et réservations. Finitions et lots techniques dans leurs chapitres.</t>
  </si>
  <si>
    <t>03.03</t>
  </si>
  <si>
    <t>Nouvelle entrée et nouvel escalier</t>
  </si>
  <si>
    <t>Travaux complets de la nouvelle entrée et de l'escalier selon l'ingénieur structure.</t>
  </si>
  <si>
    <t>03.04</t>
  </si>
  <si>
    <t>Renforcement de l'escalier intérieur existant</t>
  </si>
  <si>
    <t>Renforcement selon l'ingénieur structure, après dépose du garde-corps.</t>
  </si>
  <si>
    <t>03.05</t>
  </si>
  <si>
    <t>Marches d'entrée suspendues</t>
  </si>
  <si>
    <t>12 nouvelles marches suspendues (en console) à l'entrée, en remplacement de l'escalier existant, largeur d'environ 1,15 m, y compris ferraillage, ancrages et préparation au revêtement, selon plans de structure et d'architecture. Revêtement au poste 13.08.</t>
  </si>
  <si>
    <t>Forfait – ajusté à réception des plans de structure; Dimension définitive selon l'existant sur place</t>
  </si>
  <si>
    <t>Total – Chapitre 3</t>
  </si>
  <si>
    <t>Chapitre 4 — Nouveaux murs en blocs</t>
  </si>
  <si>
    <t>04.01</t>
  </si>
  <si>
    <t>Nouveaux murs en blocs (20 cm) – sous-sol</t>
  </si>
  <si>
    <t>Murs en blocs selon plans.</t>
  </si>
  <si>
    <t>04.02</t>
  </si>
  <si>
    <t>Nouveaux murs en blocs (20 cm) – rez-de-chaussée</t>
  </si>
  <si>
    <t>04.03</t>
  </si>
  <si>
    <t>Nouveaux murs en blocs (20 cm) – 1er étage et galerie</t>
  </si>
  <si>
    <t>Total – Chapitre 4</t>
  </si>
  <si>
    <t>Chapitre 5 — Plomberie, appareils sanitaires et robinetterie</t>
  </si>
  <si>
    <t>05.01</t>
  </si>
  <si>
    <t>Cuvette de WC suspendue</t>
  </si>
  <si>
    <t>Pose, fixation au bâti-support, raccordement à la chasse et à l'évacuation, et essais.</t>
  </si>
  <si>
    <t>Pose uniquement ; fourniture par le maître d'ouvrage</t>
  </si>
  <si>
    <t>05.02</t>
  </si>
  <si>
    <t>Réservoir encastré et bâti-support</t>
  </si>
  <si>
    <t>Pose, ancrage, raccordement à l'eau et au WC, et essai d'étanchéité avant fermeture du doublage.</t>
  </si>
  <si>
    <t>05.03</t>
  </si>
  <si>
    <t>Plaque de commande de chasse</t>
  </si>
  <si>
    <t>Pose de la plaque compatible avec le réservoir encastré et essai.</t>
  </si>
  <si>
    <t>05.04</t>
  </si>
  <si>
    <t>Abattant de WC à fermeture amortie</t>
  </si>
  <si>
    <t>Pose et réglage.</t>
  </si>
  <si>
    <t>05.05</t>
  </si>
  <si>
    <t>Lavabo sur pied</t>
  </si>
  <si>
    <t>Pose, fixation, raccordement à l'évacuation et étanchéité.</t>
  </si>
  <si>
    <t>05.06</t>
  </si>
  <si>
    <t>Robinet mural</t>
  </si>
  <si>
    <t>Pose et raccordement.</t>
  </si>
  <si>
    <t>05.07</t>
  </si>
  <si>
    <t>Pomme de douche pluie</t>
  </si>
  <si>
    <t>05.08</t>
  </si>
  <si>
    <t>Inverseur 3 voies</t>
  </si>
  <si>
    <t>Pose de l'inverseur 3 voies (type Interpoz) et de sa finition.</t>
  </si>
  <si>
    <t>05.09</t>
  </si>
  <si>
    <t>Inverseur 4 voies</t>
  </si>
  <si>
    <t>Pose de l'inverseur 4 voies (type Interpoz) et de sa finition.</t>
  </si>
  <si>
    <t>05.10</t>
  </si>
  <si>
    <t>Support de douchette</t>
  </si>
  <si>
    <t>Pose du support de douchette.</t>
  </si>
  <si>
    <t>05.11</t>
  </si>
  <si>
    <t>Caniveau de douche linéaire 10/10</t>
  </si>
  <si>
    <t>Pose et raccordement du caniveau.</t>
  </si>
  <si>
    <t>05.12</t>
  </si>
  <si>
    <t>Trop-plein 110 pour baignoire</t>
  </si>
  <si>
    <t>Pose du trop-plein.</t>
  </si>
  <si>
    <t>05.13</t>
  </si>
  <si>
    <t>Baignoire îlot</t>
  </si>
  <si>
    <t>Pose et raccordement de la baignoire îlot.</t>
  </si>
  <si>
    <t>05.15</t>
  </si>
  <si>
    <t>Robinet de remplissage de baignoire</t>
  </si>
  <si>
    <t>Pose du robinet de remplissage.</t>
  </si>
  <si>
    <t>05.16</t>
  </si>
  <si>
    <t>Évier de cuisine</t>
  </si>
  <si>
    <t>Posé par le fournisseur du plan de travail.</t>
  </si>
  <si>
    <t>Par le fournisseur du plan de travail</t>
  </si>
  <si>
    <t>05.17</t>
  </si>
  <si>
    <t>Mitigeur de cuisine à douchette extractible</t>
  </si>
  <si>
    <t>Pose, raccordement et essai de fonctionnement.</t>
  </si>
  <si>
    <t>05.18</t>
  </si>
  <si>
    <t>Évier de cuisine extérieure</t>
  </si>
  <si>
    <t>05.19</t>
  </si>
  <si>
    <t>Mitigeur extérieur à douchette extractible</t>
  </si>
  <si>
    <t>05.20</t>
  </si>
  <si>
    <t>Vasque à poser / auge – WC invités</t>
  </si>
  <si>
    <t>05.21</t>
  </si>
  <si>
    <t>Robinet « Nil »</t>
  </si>
  <si>
    <t>Pose du robinet.</t>
  </si>
  <si>
    <t>05.22</t>
  </si>
  <si>
    <t>Robinet avec meuble vasque – ensemble</t>
  </si>
  <si>
    <t>Pose du robinet et du meuble vasque en ensemble.</t>
  </si>
  <si>
    <t>05.23</t>
  </si>
  <si>
    <t>Caniveau de débordement extérieur 60</t>
  </si>
  <si>
    <t>Pose du caniveau de débordement extérieur.</t>
  </si>
  <si>
    <t>05.24</t>
  </si>
  <si>
    <t>Évier de bar</t>
  </si>
  <si>
    <t>05.25</t>
  </si>
  <si>
    <t>Point d'eau chaude et froide</t>
  </si>
  <si>
    <t>Alimentation et point d'eau.</t>
  </si>
  <si>
    <t>pt</t>
  </si>
  <si>
    <t>05.26</t>
  </si>
  <si>
    <t>Point d'eau froide pour réservoir de chasse</t>
  </si>
  <si>
    <t>05.27</t>
  </si>
  <si>
    <t>Point d'évacuation pour WC</t>
  </si>
  <si>
    <t>Évacuation et point de raccordement.</t>
  </si>
  <si>
    <t>05.28</t>
  </si>
  <si>
    <t>Point d'évacuation lavabo et baignoire</t>
  </si>
  <si>
    <t>05.29</t>
  </si>
  <si>
    <t>Point d'eau et d'évacuation pour lave-linge</t>
  </si>
  <si>
    <t>Alimentation et évacuation.</t>
  </si>
  <si>
    <t>05.30</t>
  </si>
  <si>
    <t>Robinet de service</t>
  </si>
  <si>
    <t>Pose du robinet de service.</t>
  </si>
  <si>
    <t>05.32</t>
  </si>
  <si>
    <t>Colonnes d'alimentation et nourrices d'étage</t>
  </si>
  <si>
    <t>Alimentation principale en eau et nourrices par niveau.</t>
  </si>
  <si>
    <t>05.33</t>
  </si>
  <si>
    <t>Réseau principal d'assainissement</t>
  </si>
  <si>
    <t>Réseau principal d'assainissement et d'évacuation.</t>
  </si>
  <si>
    <t>05.34</t>
  </si>
  <si>
    <t>Chauffe-eau – pose et raccordement</t>
  </si>
  <si>
    <t>Pose et raccordement du chauffe-eau.</t>
  </si>
  <si>
    <t>05.35</t>
  </si>
  <si>
    <t>Essais de pression et d'étanchéité, plans de récolement</t>
  </si>
  <si>
    <t>Essais des installations de plomberie et dossier de récolement.</t>
  </si>
  <si>
    <t>Total – Chapitre 5</t>
  </si>
  <si>
    <t>Chapitre 6 — Électricité</t>
  </si>
  <si>
    <t>06.01</t>
  </si>
  <si>
    <t>Point de prise courante</t>
  </si>
  <si>
    <t>Câblage sur le circuit concerné, appareillage et essai.</t>
  </si>
  <si>
    <t>06.02</t>
  </si>
  <si>
    <t>Point de prise étanche</t>
  </si>
  <si>
    <t>Point de prise étanche (IP44 ou plus).</t>
  </si>
  <si>
    <t>06.03</t>
  </si>
  <si>
    <t>Alimentation pour volet roulant électrique</t>
  </si>
  <si>
    <t>Gaines et câblage pour la commande du volet électrique.</t>
  </si>
  <si>
    <t>06.05</t>
  </si>
  <si>
    <t>Point de prise triphasée</t>
  </si>
  <si>
    <t>Point de prise triphasée.</t>
  </si>
  <si>
    <t>06.06</t>
  </si>
  <si>
    <t>Extension du tableau électrique principal</t>
  </si>
  <si>
    <t>Extension du tableau principal pour la charge totale ajoutée.</t>
  </si>
  <si>
    <t>06.07</t>
  </si>
  <si>
    <t>Pilier du fournisseur d'électricité – fourniture et pose</t>
  </si>
  <si>
    <t>Fourniture et pose du nouveau pilier du fournisseur d'électricité à l'entrée du terrain.</t>
  </si>
  <si>
    <t>06.09</t>
  </si>
  <si>
    <t>Contrôle électrique final</t>
  </si>
  <si>
    <t>Contrôle final par un organisme agréé, attestation et rapport d'essais.</t>
  </si>
  <si>
    <t>06.10</t>
  </si>
  <si>
    <t>Point de prise de force</t>
  </si>
  <si>
    <t>Point de prise de force.</t>
  </si>
  <si>
    <t>06.11</t>
  </si>
  <si>
    <t>Alimentation dédiée pour unité de climatisation</t>
  </si>
  <si>
    <t>Alimentation dédiée pour une unité de climatisation.</t>
  </si>
  <si>
    <t>06.12</t>
  </si>
  <si>
    <t>Raccordement direct au tableau – plaque de cuisson, four et appareils dédiés</t>
  </si>
  <si>
    <t>Raccordement direct au tableau sur ligne dédiée avec protection séparée pour chaque appareil (plaque, four, lave-vaisselle, sèche-linge et autres), y compris câble, gaine, raccordement final et essais.</t>
  </si>
  <si>
    <t>06.13</t>
  </si>
  <si>
    <t>Interrupteur de chauffe-eau avec voyant</t>
  </si>
  <si>
    <t>Interrupteur de chauffe-eau avec voyant lumineux.</t>
  </si>
  <si>
    <t>Total – Chapitre 6</t>
  </si>
  <si>
    <t>Chapitre 7 — Éclairage et interrupteurs</t>
  </si>
  <si>
    <t>07.01</t>
  </si>
  <si>
    <t>Interrupteurs d'éclairage (simples)</t>
  </si>
  <si>
    <t>Pose des interrupteurs d'éclairage.</t>
  </si>
  <si>
    <t>07.02</t>
  </si>
  <si>
    <t>Interrupteurs va-et-vient</t>
  </si>
  <si>
    <t>Pose des interrupteurs va-et-vient.</t>
  </si>
  <si>
    <t>07.02a</t>
  </si>
  <si>
    <t>Permutateur (interrupteur de croisement)</t>
  </si>
  <si>
    <t>Pose d'un permutateur sur un circuit d'éclairage commandé de trois points ou plus, entre les va-et-vient, y compris appareillage, câblage intermédiaire et essais.</t>
  </si>
  <si>
    <t>07.03</t>
  </si>
  <si>
    <t>Luminaire de plafond en applique</t>
  </si>
  <si>
    <t>Pose, raccordement électrique et essai.</t>
  </si>
  <si>
    <t>07.04</t>
  </si>
  <si>
    <t>Luminaire suspendu</t>
  </si>
  <si>
    <t>Pose, système de suspension, réglage de la hauteur selon plan, raccordement et essai.</t>
  </si>
  <si>
    <t>07.05</t>
  </si>
  <si>
    <t>Applique murale protégée</t>
  </si>
  <si>
    <t>07.06</t>
  </si>
  <si>
    <t>Luminaire mural encastré protégé</t>
  </si>
  <si>
    <t>07.07</t>
  </si>
  <si>
    <t>Spot encastré en faux plafond</t>
  </si>
  <si>
    <t>07.08</t>
  </si>
  <si>
    <t>Ruban LED dissimulé</t>
  </si>
  <si>
    <t>Pose du ruban LED dissimulé.</t>
  </si>
  <si>
    <t>07.09</t>
  </si>
  <si>
    <t>Réglette linéaire encastrée dans le plâtre</t>
  </si>
  <si>
    <t>Pose de la réglette linéaire encastrée.</t>
  </si>
  <si>
    <t>07.10</t>
  </si>
  <si>
    <t>Réglette linéaire en applique</t>
  </si>
  <si>
    <t>Pose de la réglette linéaire en plafond.</t>
  </si>
  <si>
    <t>07.11</t>
  </si>
  <si>
    <t>Point d'alimentation de ruban LED</t>
  </si>
  <si>
    <t>Point d'alimentation pour ruban LED.</t>
  </si>
  <si>
    <t>07.12</t>
  </si>
  <si>
    <t>Luminaire étanche</t>
  </si>
  <si>
    <t>07.13</t>
  </si>
  <si>
    <t>Applique murale</t>
  </si>
  <si>
    <t>07.14</t>
  </si>
  <si>
    <t>Luminaire mural encastré</t>
  </si>
  <si>
    <t>07.15</t>
  </si>
  <si>
    <t>Ventilateur de plafond avec éclairage</t>
  </si>
  <si>
    <t>07.17</t>
  </si>
  <si>
    <t>Spot cylindrique en applique</t>
  </si>
  <si>
    <t>Pose, raccordement et essai.</t>
  </si>
  <si>
    <t>07.19</t>
  </si>
  <si>
    <t>Spots encastrés dans le plâtre (groupes)</t>
  </si>
  <si>
    <t>Pose de groupes de spots encastrés.</t>
  </si>
  <si>
    <t>07.20</t>
  </si>
  <si>
    <t>Point d'alimentation éclairage général</t>
  </si>
  <si>
    <t>Point d'alimentation de l'éclairage général.</t>
  </si>
  <si>
    <t>Total – Chapitre 7</t>
  </si>
  <si>
    <t>Chapitre 9 — Cloisons et plafonds en plaques de plâtre</t>
  </si>
  <si>
    <t>09.01</t>
  </si>
  <si>
    <t>Cloisons et murs en plaques de plâtre – sous-sol</t>
  </si>
  <si>
    <t>Rails et montants métalliques, plaques, isolation acoustique, plaques hydrofuges en pièces humides.</t>
  </si>
  <si>
    <t>09.02</t>
  </si>
  <si>
    <t>Cloisons et murs en plaques de plâtre – rez-de-chaussée</t>
  </si>
  <si>
    <t>09.03</t>
  </si>
  <si>
    <t>Cloisons et murs en plaques de plâtre – 1er étage et galerie</t>
  </si>
  <si>
    <t>09.04</t>
  </si>
  <si>
    <t>Faux plafonds suspendus en plaques de plâtre</t>
  </si>
  <si>
    <t>Suspentes, profilés porteurs et plaques, avec réservations coordonnées pour l'éclairage et la climatisation. Enduit et peinture au chapitre 14.</t>
  </si>
  <si>
    <t>Total – Chapitre 9</t>
  </si>
  <si>
    <t>Chapitre 10 — Étanchéité intérieure</t>
  </si>
  <si>
    <t>10.01</t>
  </si>
  <si>
    <t>Étanchéité des murs de pièces humides</t>
  </si>
  <si>
    <t>Étanchéité des murs des pièces humides, selon les directives du bureau d'étanchéité.</t>
  </si>
  <si>
    <t>10.03</t>
  </si>
  <si>
    <t>Essais de mise en eau – pièces humides</t>
  </si>
  <si>
    <t>Essai d'étanchéité par mise en eau de chaque pièce humide.</t>
  </si>
  <si>
    <t>10.04</t>
  </si>
  <si>
    <t>Étanchéité des balcons</t>
  </si>
  <si>
    <t>Étanchéité des balcons.</t>
  </si>
  <si>
    <t>Total – Chapitre 10</t>
  </si>
  <si>
    <t>Chapitre 12 — Appuis de fenêtre et calfeutrement</t>
  </si>
  <si>
    <t>12.01</t>
  </si>
  <si>
    <t>Appuis de fenêtre intérieurs</t>
  </si>
  <si>
    <t>Appuis en pierre / marbre, après relevé définitif.</t>
  </si>
  <si>
    <t>12.02</t>
  </si>
  <si>
    <t>Appuis de fenêtre extérieurs</t>
  </si>
  <si>
    <t>Appuis extérieurs.</t>
  </si>
  <si>
    <t>12.04</t>
  </si>
  <si>
    <t>Calfeutrement des fenêtres</t>
  </si>
  <si>
    <t>Calfeutrement des fenêtres en périphérie des cadres, y compris préparation de l'ouverture, remplissage et étanchéité avec un produit adapté et contrôle d'étanchéité.</t>
  </si>
  <si>
    <t>Total – Chapitre 12</t>
  </si>
  <si>
    <t>Chapitre 13 — Sols, faïence et revêtements</t>
  </si>
  <si>
    <t>13.01</t>
  </si>
  <si>
    <t>Carrelage de sol intérieur 120×120 cm, y compris sols de douche</t>
  </si>
  <si>
    <t>Pose après réception de l'étanchéité, y compris préparation du support, colle, découpes, pentes vers les siphons et joints. Carreaux fournis par le maître d'ouvrage.</t>
  </si>
  <si>
    <t>13.02</t>
  </si>
  <si>
    <t>Carrelage de sol du sous-sol 120×60 cm</t>
  </si>
  <si>
    <t>Pose, y compris préparation du support, colle et joints. Carreaux fournis par le maître d'ouvrage.</t>
  </si>
  <si>
    <t>13.03</t>
  </si>
  <si>
    <t>Revêtement mural de douche 120×60 cm</t>
  </si>
  <si>
    <t>Pose de faïence murale, y compris colle, découpes et joints. Carreaux fournis par le maître d'ouvrage.</t>
  </si>
  <si>
    <t>13.04</t>
  </si>
  <si>
    <t>Plinthes / panneaux en carreaux de finition</t>
  </si>
  <si>
    <t>Découpe et fixation de panneaux à partir des carreaux de finition choisis.</t>
  </si>
  <si>
    <t>13.05</t>
  </si>
  <si>
    <t>Carrelage extérieur et balcons 120×60 cm, R11</t>
  </si>
  <si>
    <t>Pose de carreaux extérieurs antidérapants R11. Carreaux fournis par le maître d'ouvrage.</t>
  </si>
  <si>
    <t>13.07</t>
  </si>
  <si>
    <t>Revêtement des marches intérieures (marche et contremarche)</t>
  </si>
  <si>
    <t>Revêtement des marches intérieures, marche et contremarche.</t>
  </si>
  <si>
    <t>13.08</t>
  </si>
  <si>
    <t>Revêtement des marches d'entrée</t>
  </si>
  <si>
    <t>Revêtement des nouvelles marches d'entrée en carreaux extérieurs R10, marche et contremarche. Dimension définitive selon l'existant sur place.</t>
  </si>
  <si>
    <t>Dimension définitive selon l'existant sur place</t>
  </si>
  <si>
    <t>Total – Chapitre 13</t>
  </si>
  <si>
    <t>Chapitre 14 — Enduits, lissage et peinture</t>
  </si>
  <si>
    <t>14.01</t>
  </si>
  <si>
    <t>Préparation de façade et enduit coloré</t>
  </si>
  <si>
    <t>Préparation et reprise du support de façade (y compris zones des cadres déposés) et application du système d'enduit coloré approuvé. Échafaudage au poste 01.09.</t>
  </si>
  <si>
    <t>14.02</t>
  </si>
  <si>
    <t>Reprises d'enduit, lissage et peinture intérieure</t>
  </si>
  <si>
    <t>Reprises d'enduit des murs et plafonds intérieurs, lissage et peinture acrylique de qualité, y compris préparation, protections et nettoyage, jusqu'à l'accord de l'architecte. Hors parties communes.</t>
  </si>
  <si>
    <t>14.03</t>
  </si>
  <si>
    <t>Enduit lissé « américain » et peinture – parties communes</t>
  </si>
  <si>
    <t>Enduit de finition lisse de type américain sur les murs des parties communes, y compris préparation du support, ponçage et peinture résistante. À déduire du poste 14.02 lors du métré.</t>
  </si>
  <si>
    <t>—</t>
  </si>
  <si>
    <t>Quantité selon métré sur place</t>
  </si>
  <si>
    <t>Total – Chapitre 14</t>
  </si>
  <si>
    <t>Chapitre 17 — Aménagements extérieurs</t>
  </si>
  <si>
    <t>17.01</t>
  </si>
  <si>
    <t>Terrassement et nivellement des espaces aménagés</t>
  </si>
  <si>
    <t>Mise à niveau et compactage du sol selon le plan approuvé.</t>
  </si>
  <si>
    <t>17.02</t>
  </si>
  <si>
    <t>Évacuation des eaux pluviales</t>
  </si>
  <si>
    <t>Réseau d'évacuation des eaux pluviales.</t>
  </si>
  <si>
    <t>17.04</t>
  </si>
  <si>
    <t>Aménagement paysager, arrosage automatique et robinets de jardin</t>
  </si>
  <si>
    <t>Zones plantées, système d'arrosage et 11 robinets de jardin ; essences à définir.</t>
  </si>
  <si>
    <t>17.05</t>
  </si>
  <si>
    <t>Éclairage de jardin avec raccordement électrique</t>
  </si>
  <si>
    <t>Éclairage de jardin et raccordement électrique.</t>
  </si>
  <si>
    <t>17.06</t>
  </si>
  <si>
    <t>Allées en béton</t>
  </si>
  <si>
    <t>Coulage d'allées en béton : terrassement et nivellement, couche de fondation compactée, coffrage, treillis soudé, béton de 10 cm, finition balayée ou lissée, joints de dilatation et cure, y compris toutes sujétions de réalisation.</t>
  </si>
  <si>
    <t>Total – Chapitre 17</t>
  </si>
  <si>
    <t>Total HT</t>
  </si>
  <si>
    <t>TVA</t>
  </si>
  <si>
    <t>Taux de TVA (à confirmer)</t>
  </si>
  <si>
    <t>TOTAL TTC</t>
  </si>
  <si>
    <t>Récapitulatif du devis</t>
  </si>
  <si>
    <t>Chapitre</t>
  </si>
  <si>
    <t>% du total</t>
  </si>
  <si>
    <t>1. Préparation et installation de chantier</t>
  </si>
  <si>
    <t>2. Démolition, dépose et évacuation</t>
  </si>
  <si>
    <t>3. Travaux de structure et extensions</t>
  </si>
  <si>
    <t>4. Nouveaux murs en blocs</t>
  </si>
  <si>
    <t>5. Plomberie, appareils sanitaires et robinetterie</t>
  </si>
  <si>
    <t>6. Électricité</t>
  </si>
  <si>
    <t>7. Éclairage et interrupteurs</t>
  </si>
  <si>
    <t>9. Cloisons et plafonds en plaques de plâtre</t>
  </si>
  <si>
    <t>10. Étanchéité intérieure</t>
  </si>
  <si>
    <t>12. Appuis de fenêtre et calfeutrement</t>
  </si>
  <si>
    <t>13. Sols, faïence et revêtements</t>
  </si>
  <si>
    <t>14. Enduits, lissage et peinture</t>
  </si>
  <si>
    <t>17. Aménagements extérieurs</t>
  </si>
  <si>
    <t>TVA (20%)</t>
  </si>
  <si>
    <t>#</t>
  </si>
  <si>
    <t>Conditions et exclusions</t>
  </si>
  <si>
    <t>Base du devis</t>
  </si>
  <si>
    <t>Le devis repose sur le cahier des charges techniques (révision 20, 06/07/2026), les plans d'architecture « Construction neuve » – rez-de-chaussée et 1er étage (17/09/2026) et le bordereau de quantités de l'entreprise du 24/09/2026. En cas de divergence, le bordereau du 24/09/2026 prévaut.</t>
  </si>
  <si>
    <t>Quantités</t>
  </si>
  <si>
    <t>Quantités selon les documents ci-dessus. Les postes « provisoires » ou « selon métré sur place » seront métrés ; le décompte final suit les quantités réellement exécutées.</t>
  </si>
  <si>
    <t>Structure</t>
  </si>
  <si>
    <t>Le chapitre 3 (balcon et pergola, pièce en galerie, entrée et escalier, renforcement de l'escalier intérieur) est un forfait selon les plans de l'ingénieur structure ; le prix sera ajusté à réception des plans de structure complets.</t>
  </si>
  <si>
    <t>Fournitures</t>
  </si>
  <si>
    <t>Appareils sanitaires et robinetterie, luminaires, unités de climatisation, chauffe-eau et carreaux de sol et muraux sont fournis par le maître d'ouvrage ; l'entreprise les pose. Les éviers de cuisine sont posés par le fournisseur du plan de travail.</t>
  </si>
  <si>
    <t>Exclusions</t>
  </si>
  <si>
    <t>Piscine ; menuiserie (meubles de cuisine, de salle de bains et dressings) ; fenêtres et portes en aluminium, portes intérieures et d'entrée, portails et volets ; travaux d'acrotère ; mobilier ; permis et taxes ; honoraires des consultants (structure, étanchéité, éclairage) ; frais du fournisseur d'électricité pour l'augmentation de puissance.</t>
  </si>
  <si>
    <t>Essais</t>
  </si>
  <si>
    <t>Les essais et approbations requis (ingénieur structure, bureau d'étanchéité, contrôleur électrique agréé, essais de mise en eau et de pression) sont inclus.</t>
  </si>
  <si>
    <t>Prix</t>
  </si>
  <si>
    <t>Prix en EUR, hors TVA, base octobre 2026, sans révision sauf accord contraire.</t>
  </si>
  <si>
    <t>Conditions commerciales</t>
  </si>
  <si>
    <t>Validité : [__ jours]   |   Conditions de paiement : [__]   |   Planning : [__]</t>
  </si>
  <si>
    <t>Catégorie</t>
  </si>
  <si>
    <t>Données de marché trouvées (2026)</t>
  </si>
  <si>
    <t>Sources</t>
  </si>
  <si>
    <t>Cloison en plaques de plâtre</t>
  </si>
  <si>
    <t>27–41 €/m² HT (standard) ; hydrofuge 30–45 ; isolant 38–60</t>
  </si>
  <si>
    <t>prix-travaux-m2.com/prix-cloison-placo.php (janv. 2026) ; habitatpresto.com/mag/renovation/cloison-placo/tarif-plaquiste</t>
  </si>
  <si>
    <t>Pose de carrelage grand format</t>
  </si>
  <si>
    <t>120×120 : 50–60 €/m² posé, fourniture comprise (page datée juil. 2025) ; main-d'œuvre seule : référence belge 25–55 €/m²</t>
  </si>
  <si>
    <t>prix-travaux-m2.com/prix-pose-carrelage.php ; blog.trustup.be/fr/?p=1107 (Belgique)</t>
  </si>
  <si>
    <t>Point électrique / prise</t>
  </si>
  <si>
    <t>Aucun tarif français trouvé ; référence belge 80–250 € pour une prise</t>
  </si>
  <si>
    <t>blog.trustup.be/fr/travaux/electricite/ (Belgique – indicatif)</t>
  </si>
  <si>
    <t>Peinture intérieure</t>
  </si>
  <si>
    <t>murs 20–48 €/m² HT, fournitures incluses ; plafonds 25–55 €/m²</t>
  </si>
  <si>
    <t>habitatpresto.com/mag/revetement/mur/dossier-peinture-interieure</t>
  </si>
  <si>
    <t>Allée en dalle béton</t>
  </si>
  <si>
    <t>60–100 €/m² HT (allée carrossable 12–20 cm) ; 55–115 €/m² pose comprise</t>
  </si>
  <si>
    <t>prix-travaux-m2.com/prix-dalle-de-beton.php ; habitatpresto.com/mag/maconnerie/prix-dalle-beton</t>
  </si>
  <si>
    <t>Échafaudage</t>
  </si>
  <si>
    <t>pose 20–50 €/m² (indicatif, sans date) ; exemple belge 1 200 € HTVA pour 80 m²</t>
  </si>
  <si>
    <t>conseils.hellopro.fr/guide-de-prix-des-echafaudages-1212.html ; blog.trustup.be/fr/prix-renovation-facade/</t>
  </si>
  <si>
    <t>Taux de change</t>
  </si>
  <si>
    <t>≈ 3,50 ILS pour 1 EUR (≈ 3,46 début août 2026 ; valeurs d'octobre = prévisions)</t>
  </si>
  <si>
    <t>ofx.com/en-au/exchange-rates/eur-to-ils/ ; b-sharpe.com</t>
  </si>
  <si>
    <t>Méthode : chaque prix unitaire = prix de base israélien de rénovation (ILS) × coefficient de catégorie ÷ taux de change, puis + 15 % de frais généraux et marge. Les coefficients ont été calés sur les repères ci-dessous (cloisons, carrelage, points électriques, peinture, dalle béton, échafaudage) ; les corps d'état sans repère utilisent la moyenne des coefficients calés. Coefficients : part=0.41, tile=0.5, elec=1.27, paint=1.4, conc=0.7, scaf=1.44, gen=0.84. FX 3.5 ILS/EUR.</t>
  </si>
  <si>
    <t>Réserves : sources majoritairement commerciales, fourchettes larges et parfois sans date ; aucun bordereau officiel utilisé. Aucun tarif français pour les points électriques (référence belge). Le chantier est à Haïfa (Israël) – prix de référence du marché français, non ajustés aux conditions locales. À vérifier avec des devis fournisseurs avant remise.</t>
  </si>
</sst>
</file>

<file path=xl/styles.xml><?xml version="1.0" encoding="utf-8"?>
<styleSheet xmlns="http://schemas.openxmlformats.org/spreadsheetml/2006/main">
  <numFmts count="4">
    <numFmt numFmtId="164" formatCode="#,##0.00"/>
    <numFmt numFmtId="165" formatCode="#,##0.00&quot; €&quot;"/>
    <numFmt numFmtId="166" formatCode="0%"/>
    <numFmt numFmtId="167" formatCode="0.0%"/>
  </numFmts>
  <fonts count="9">
    <font>
      <sz val="11"/>
      <color theme="1"/>
      <name val="Calibri"/>
      <family val="2"/>
      <scheme val="minor"/>
    </font>
    <font>
      <b/>
      <sz val="16"/>
      <color rgb="FF0055A4"/>
      <name val="Arial"/>
      <family val="2"/>
    </font>
    <font>
      <sz val="11"/>
      <color theme="1"/>
      <name val="Arial"/>
      <family val="2"/>
    </font>
    <font>
      <i/>
      <sz val="10"/>
      <color theme="1"/>
      <name val="Arial"/>
      <family val="2"/>
    </font>
    <font>
      <sz val="10"/>
      <color theme="1"/>
      <name val="Arial"/>
      <family val="2"/>
    </font>
    <font>
      <b/>
      <sz val="10"/>
      <color rgb="FFFFFFFF"/>
      <name val="Arial"/>
      <family val="2"/>
    </font>
    <font>
      <b/>
      <sz val="12"/>
      <color rgb="FFFFFFFF"/>
      <name val="Arial"/>
      <family val="2"/>
    </font>
    <font>
      <b/>
      <sz val="10"/>
      <color theme="1"/>
      <name val="Arial"/>
      <family val="2"/>
    </font>
    <font>
      <b/>
      <sz val="11"/>
      <color rgb="FFFFFFFF"/>
      <name val="Arial"/>
      <family val="2"/>
    </font>
  </fonts>
  <fills count="7">
    <fill>
      <patternFill patternType="none"/>
    </fill>
    <fill>
      <patternFill patternType="gray125"/>
    </fill>
    <fill>
      <patternFill patternType="solid">
        <fgColor rgb="FF0055A4"/>
        <bgColor indexed="64"/>
      </patternFill>
    </fill>
    <fill>
      <patternFill patternType="solid">
        <fgColor rgb="FFFFFFFF"/>
        <bgColor indexed="64"/>
      </patternFill>
    </fill>
    <fill>
      <patternFill patternType="solid">
        <fgColor rgb="FFEF4135"/>
        <bgColor indexed="64"/>
      </patternFill>
    </fill>
    <fill>
      <patternFill patternType="solid">
        <fgColor rgb="FFE6EFF9"/>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2" borderId="0" xfId="0" applyFont="1" applyFill="1" applyAlignment="1">
      <alignment vertical="top"/>
    </xf>
    <xf numFmtId="0" fontId="4" fillId="3" borderId="0" xfId="0" applyFont="1" applyFill="1" applyAlignment="1">
      <alignment vertical="top"/>
    </xf>
    <xf numFmtId="0" fontId="4" fillId="4" borderId="0" xfId="0" applyFont="1" applyFill="1" applyAlignment="1">
      <alignment vertical="top"/>
    </xf>
    <xf numFmtId="0" fontId="5" fillId="2" borderId="1" xfId="0" applyFont="1" applyFill="1" applyBorder="1" applyAlignment="1">
      <alignment horizontal="center" vertical="center" wrapText="1"/>
    </xf>
    <xf numFmtId="0" fontId="6" fillId="2" borderId="1" xfId="0" applyFont="1" applyFill="1" applyBorder="1" applyAlignment="1">
      <alignment vertical="center"/>
    </xf>
    <xf numFmtId="0" fontId="4" fillId="0" borderId="1" xfId="0" applyFont="1" applyBorder="1" applyAlignment="1">
      <alignment horizontal="center" vertical="top" wrapText="1"/>
    </xf>
    <xf numFmtId="0" fontId="4" fillId="0" borderId="1" xfId="0" applyFont="1" applyBorder="1" applyAlignment="1">
      <alignment vertical="top" wrapText="1"/>
    </xf>
    <xf numFmtId="164" fontId="4" fillId="0" borderId="1" xfId="0" applyNumberFormat="1" applyFont="1" applyBorder="1" applyAlignment="1">
      <alignment horizontal="center" vertical="top"/>
    </xf>
    <xf numFmtId="165" fontId="4" fillId="0" borderId="1" xfId="0" applyNumberFormat="1" applyFont="1" applyBorder="1" applyAlignment="1">
      <alignment horizontal="right" vertical="top"/>
    </xf>
    <xf numFmtId="0" fontId="7" fillId="5" borderId="1" xfId="0" applyFont="1" applyFill="1" applyBorder="1" applyAlignment="1">
      <alignment vertical="top"/>
    </xf>
    <xf numFmtId="165" fontId="7" fillId="5" borderId="1" xfId="0" applyNumberFormat="1" applyFont="1" applyFill="1" applyBorder="1" applyAlignment="1">
      <alignment horizontal="right" vertical="top"/>
    </xf>
    <xf numFmtId="0" fontId="4" fillId="0" borderId="1" xfId="0" applyFont="1" applyBorder="1" applyAlignment="1">
      <alignment horizontal="right" vertical="top"/>
    </xf>
    <xf numFmtId="166" fontId="4" fillId="6" borderId="1" xfId="0" applyNumberFormat="1" applyFont="1" applyFill="1" applyBorder="1" applyAlignment="1">
      <alignment horizontal="center" vertical="top"/>
    </xf>
    <xf numFmtId="0" fontId="3" fillId="0" borderId="1" xfId="0" applyFont="1" applyBorder="1" applyAlignment="1">
      <alignment vertical="top"/>
    </xf>
    <xf numFmtId="0" fontId="8" fillId="4" borderId="1" xfId="0" applyFont="1" applyFill="1" applyBorder="1" applyAlignment="1">
      <alignment vertical="top"/>
    </xf>
    <xf numFmtId="165" fontId="8" fillId="4" borderId="1" xfId="0" applyNumberFormat="1" applyFont="1" applyFill="1" applyBorder="1" applyAlignment="1">
      <alignment horizontal="right" vertical="top"/>
    </xf>
    <xf numFmtId="0" fontId="4" fillId="0" borderId="1" xfId="0" applyFont="1" applyBorder="1" applyAlignment="1">
      <alignment vertical="top"/>
    </xf>
    <xf numFmtId="167" fontId="4" fillId="0" borderId="1" xfId="0" applyNumberFormat="1" applyFont="1" applyBorder="1" applyAlignment="1">
      <alignment horizontal="center" vertical="top"/>
    </xf>
    <xf numFmtId="0" fontId="4" fillId="0" borderId="1" xfId="0" applyFont="1" applyBorder="1" applyAlignment="1">
      <alignment horizontal="center" vertical="top"/>
    </xf>
    <xf numFmtId="0" fontId="7" fillId="0" borderId="1" xfId="0" applyFont="1" applyBorder="1" applyAlignment="1">
      <alignment vertical="top" wrapText="1"/>
    </xf>
    <xf numFmtId="0" fontId="4"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0055A4"/>
    <pageSetUpPr fitToPage="1"/>
  </sheetPr>
  <dimension ref="A1:H173"/>
  <sheetViews>
    <sheetView tabSelected="1" workbookViewId="0">
      <pane ySplit="5" topLeftCell="A6" activePane="bottomLeft" state="frozen"/>
      <selection pane="bottomLeft"/>
    </sheetView>
  </sheetViews>
  <sheetFormatPr defaultRowHeight="15"/>
  <cols>
    <col min="1" max="1" width="9.7109375" customWidth="1"/>
    <col min="2" max="2" width="32.7109375" customWidth="1"/>
    <col min="3" max="3" width="62.7109375" customWidth="1"/>
    <col min="4" max="4" width="8.7109375" customWidth="1"/>
    <col min="5" max="5" width="10.7109375" customWidth="1"/>
    <col min="6" max="6" width="14.7109375" customWidth="1"/>
    <col min="7" max="7" width="16.7109375" customWidth="1"/>
    <col min="8" max="8" width="30.7109375" customWidth="1"/>
  </cols>
  <sheetData>
    <row r="1" spans="1:8">
      <c r="A1" s="1" t="s">
        <v>0</v>
      </c>
      <c r="B1" s="1"/>
      <c r="C1" s="1"/>
      <c r="D1" s="1"/>
      <c r="E1" s="1"/>
      <c r="F1" s="1"/>
      <c r="G1" s="1"/>
      <c r="H1" s="1"/>
    </row>
    <row r="2" spans="1:8">
      <c r="A2" s="2" t="s">
        <v>1</v>
      </c>
      <c r="B2" s="2"/>
      <c r="C2" s="2"/>
      <c r="D2" s="2"/>
      <c r="E2" s="2"/>
      <c r="F2" s="2"/>
      <c r="G2" s="2"/>
      <c r="H2" s="2"/>
    </row>
    <row r="3" spans="1:8">
      <c r="A3" s="3" t="s">
        <v>2</v>
      </c>
      <c r="B3" s="3"/>
      <c r="C3" s="3"/>
      <c r="D3" s="3"/>
      <c r="E3" s="3"/>
      <c r="F3" s="3"/>
      <c r="G3" s="3"/>
      <c r="H3" s="3"/>
    </row>
    <row r="4" spans="1:8" ht="16" customHeight="1">
      <c r="A4" s="4" t="s">
        <v>3</v>
      </c>
      <c r="B4" s="4"/>
      <c r="C4" s="5"/>
      <c r="D4" s="6" t="s">
        <v>3</v>
      </c>
      <c r="E4" s="6"/>
      <c r="F4" s="6"/>
      <c r="G4" s="6"/>
      <c r="H4" s="6"/>
    </row>
    <row r="5" spans="1:8" ht="24" customHeight="1">
      <c r="A5" s="7" t="s">
        <v>4</v>
      </c>
      <c r="B5" s="7" t="s">
        <v>5</v>
      </c>
      <c r="C5" s="7" t="s">
        <v>6</v>
      </c>
      <c r="D5" s="7" t="s">
        <v>7</v>
      </c>
      <c r="E5" s="7" t="s">
        <v>8</v>
      </c>
      <c r="F5" s="7" t="s">
        <v>9</v>
      </c>
      <c r="G5" s="7" t="s">
        <v>10</v>
      </c>
      <c r="H5" s="7" t="s">
        <v>11</v>
      </c>
    </row>
    <row r="6" spans="1:8" ht="22" customHeight="1">
      <c r="A6" s="8" t="s">
        <v>12</v>
      </c>
      <c r="B6" s="8"/>
      <c r="C6" s="8"/>
      <c r="D6" s="8"/>
      <c r="E6" s="8"/>
      <c r="F6" s="8"/>
      <c r="G6" s="8"/>
      <c r="H6" s="8"/>
    </row>
    <row r="7" spans="1:8" ht="30" customHeight="1">
      <c r="A7" s="9" t="s">
        <v>13</v>
      </c>
      <c r="B7" s="10" t="s">
        <v>14</v>
      </c>
      <c r="C7" s="10" t="s">
        <v>15</v>
      </c>
      <c r="D7" s="9" t="s">
        <v>16</v>
      </c>
      <c r="E7" s="11">
        <v>1</v>
      </c>
      <c r="F7" s="12">
        <v>2210</v>
      </c>
      <c r="G7" s="12">
        <f>IF(AND(ISNUMBER(E7),ISNUMBER(F7)),ROUND(E7*F7,2),"")</f>
        <v>2210</v>
      </c>
      <c r="H7" s="10"/>
    </row>
    <row r="8" spans="1:8" ht="30" customHeight="1">
      <c r="A8" s="9" t="s">
        <v>17</v>
      </c>
      <c r="B8" s="10" t="s">
        <v>18</v>
      </c>
      <c r="C8" s="10" t="s">
        <v>19</v>
      </c>
      <c r="D8" s="9" t="s">
        <v>16</v>
      </c>
      <c r="E8" s="11">
        <v>1</v>
      </c>
      <c r="F8" s="12">
        <v>1100</v>
      </c>
      <c r="G8" s="12">
        <f>IF(AND(ISNUMBER(E8),ISNUMBER(F8)),ROUND(E8*F8,2),"")</f>
        <v>1100</v>
      </c>
      <c r="H8" s="10"/>
    </row>
    <row r="9" spans="1:8" ht="30" customHeight="1">
      <c r="A9" s="9" t="s">
        <v>20</v>
      </c>
      <c r="B9" s="10" t="s">
        <v>21</v>
      </c>
      <c r="C9" s="10" t="s">
        <v>22</v>
      </c>
      <c r="D9" s="9" t="s">
        <v>16</v>
      </c>
      <c r="E9" s="11">
        <v>1</v>
      </c>
      <c r="F9" s="12">
        <v>414</v>
      </c>
      <c r="G9" s="12">
        <f>IF(AND(ISNUMBER(E9),ISNUMBER(F9)),ROUND(E9*F9,2),"")</f>
        <v>414</v>
      </c>
      <c r="H9" s="10"/>
    </row>
    <row r="10" spans="1:8" ht="30" customHeight="1">
      <c r="A10" s="9" t="s">
        <v>23</v>
      </c>
      <c r="B10" s="10" t="s">
        <v>24</v>
      </c>
      <c r="C10" s="10" t="s">
        <v>25</v>
      </c>
      <c r="D10" s="9" t="s">
        <v>16</v>
      </c>
      <c r="E10" s="11">
        <v>1</v>
      </c>
      <c r="F10" s="12">
        <v>830</v>
      </c>
      <c r="G10" s="12">
        <f>IF(AND(ISNUMBER(E10),ISNUMBER(F10)),ROUND(E10*F10,2),"")</f>
        <v>830</v>
      </c>
      <c r="H10" s="10"/>
    </row>
    <row r="11" spans="1:8" ht="30" customHeight="1">
      <c r="A11" s="9" t="s">
        <v>26</v>
      </c>
      <c r="B11" s="10" t="s">
        <v>27</v>
      </c>
      <c r="C11" s="10" t="s">
        <v>28</v>
      </c>
      <c r="D11" s="9" t="s">
        <v>16</v>
      </c>
      <c r="E11" s="11">
        <v>1</v>
      </c>
      <c r="F11" s="12">
        <v>1380</v>
      </c>
      <c r="G11" s="12">
        <f>IF(AND(ISNUMBER(E11),ISNUMBER(F11)),ROUND(E11*F11,2),"")</f>
        <v>1380</v>
      </c>
      <c r="H11" s="10"/>
    </row>
    <row r="12" spans="1:8" ht="43" customHeight="1">
      <c r="A12" s="9" t="s">
        <v>29</v>
      </c>
      <c r="B12" s="10" t="s">
        <v>30</v>
      </c>
      <c r="C12" s="10" t="s">
        <v>31</v>
      </c>
      <c r="D12" s="9" t="s">
        <v>16</v>
      </c>
      <c r="E12" s="11">
        <v>1</v>
      </c>
      <c r="F12" s="12">
        <v>830</v>
      </c>
      <c r="G12" s="12">
        <f>IF(AND(ISNUMBER(E12),ISNUMBER(F12)),ROUND(E12*F12,2),"")</f>
        <v>830</v>
      </c>
      <c r="H12" s="10"/>
    </row>
    <row r="13" spans="1:8" ht="30" customHeight="1">
      <c r="A13" s="9" t="s">
        <v>32</v>
      </c>
      <c r="B13" s="10" t="s">
        <v>33</v>
      </c>
      <c r="C13" s="10" t="s">
        <v>34</v>
      </c>
      <c r="D13" s="9" t="s">
        <v>16</v>
      </c>
      <c r="E13" s="11">
        <v>1</v>
      </c>
      <c r="F13" s="12">
        <v>2480</v>
      </c>
      <c r="G13" s="12">
        <f>IF(AND(ISNUMBER(E13),ISNUMBER(F13)),ROUND(E13*F13,2),"")</f>
        <v>2480</v>
      </c>
      <c r="H13" s="10"/>
    </row>
    <row r="14" spans="1:8" ht="30" customHeight="1">
      <c r="A14" s="9" t="s">
        <v>35</v>
      </c>
      <c r="B14" s="10" t="s">
        <v>36</v>
      </c>
      <c r="C14" s="10" t="s">
        <v>37</v>
      </c>
      <c r="D14" s="9" t="s">
        <v>16</v>
      </c>
      <c r="E14" s="11">
        <v>1</v>
      </c>
      <c r="F14" s="12">
        <v>2480</v>
      </c>
      <c r="G14" s="12">
        <f>IF(AND(ISNUMBER(E14),ISNUMBER(F14)),ROUND(E14*F14,2),"")</f>
        <v>2480</v>
      </c>
      <c r="H14" s="10"/>
    </row>
    <row r="15" spans="1:8" ht="56" customHeight="1">
      <c r="A15" s="9" t="s">
        <v>38</v>
      </c>
      <c r="B15" s="10" t="s">
        <v>39</v>
      </c>
      <c r="C15" s="10" t="s">
        <v>40</v>
      </c>
      <c r="D15" s="9" t="s">
        <v>41</v>
      </c>
      <c r="E15" s="11">
        <v>225</v>
      </c>
      <c r="F15" s="12">
        <v>40</v>
      </c>
      <c r="G15" s="12">
        <f>IF(AND(ISNUMBER(E15),ISNUMBER(F15)),ROUND(E15*F15,2),"")</f>
        <v>9000.0</v>
      </c>
      <c r="H15" s="10" t="s">
        <v>42</v>
      </c>
    </row>
    <row r="16" spans="1:8">
      <c r="A16" s="13" t="s">
        <v>43</v>
      </c>
      <c r="B16" s="13"/>
      <c r="C16" s="13"/>
      <c r="D16" s="13"/>
      <c r="E16" s="13"/>
      <c r="F16" s="13"/>
      <c r="G16" s="14">
        <f>IF(COUNT(G7:G15)=0,"",SUM(G7:G15))</f>
        <v>20724.0</v>
      </c>
      <c r="H16" s="13"/>
    </row>
    <row r="18" spans="1:8" ht="22" customHeight="1">
      <c r="A18" s="8" t="s">
        <v>44</v>
      </c>
      <c r="B18" s="8"/>
      <c r="C18" s="8"/>
      <c r="D18" s="8"/>
      <c r="E18" s="8"/>
      <c r="F18" s="8"/>
      <c r="G18" s="8"/>
      <c r="H18" s="8"/>
    </row>
    <row r="19" spans="1:8" ht="30" customHeight="1">
      <c r="A19" s="9" t="s">
        <v>45</v>
      </c>
      <c r="B19" s="10" t="s">
        <v>46</v>
      </c>
      <c r="C19" s="10" t="s">
        <v>47</v>
      </c>
      <c r="D19" s="9" t="s">
        <v>41</v>
      </c>
      <c r="E19" s="11">
        <v>62</v>
      </c>
      <c r="F19" s="12">
        <v>33</v>
      </c>
      <c r="G19" s="12">
        <f>IF(AND(ISNUMBER(E19),ISNUMBER(F19)),ROUND(E19*F19,2),"")</f>
        <v>2046.0</v>
      </c>
      <c r="H19" s="10"/>
    </row>
    <row r="20" spans="1:8" ht="30" customHeight="1">
      <c r="A20" s="9" t="s">
        <v>48</v>
      </c>
      <c r="B20" s="10" t="s">
        <v>49</v>
      </c>
      <c r="C20" s="10" t="s">
        <v>47</v>
      </c>
      <c r="D20" s="9" t="s">
        <v>41</v>
      </c>
      <c r="E20" s="11">
        <v>51</v>
      </c>
      <c r="F20" s="12">
        <v>33</v>
      </c>
      <c r="G20" s="12">
        <f>IF(AND(ISNUMBER(E20),ISNUMBER(F20)),ROUND(E20*F20,2),"")</f>
        <v>1683.0</v>
      </c>
      <c r="H20" s="10"/>
    </row>
    <row r="21" spans="1:8" ht="30" customHeight="1">
      <c r="A21" s="9" t="s">
        <v>50</v>
      </c>
      <c r="B21" s="10" t="s">
        <v>51</v>
      </c>
      <c r="C21" s="10" t="s">
        <v>47</v>
      </c>
      <c r="D21" s="9" t="s">
        <v>41</v>
      </c>
      <c r="E21" s="11">
        <v>85</v>
      </c>
      <c r="F21" s="12">
        <v>33</v>
      </c>
      <c r="G21" s="12">
        <f>IF(AND(ISNUMBER(E21),ISNUMBER(F21)),ROUND(E21*F21,2),"")</f>
        <v>2805.0</v>
      </c>
      <c r="H21" s="10"/>
    </row>
    <row r="22" spans="1:8" ht="26" customHeight="1">
      <c r="A22" s="9" t="s">
        <v>52</v>
      </c>
      <c r="B22" s="10" t="s">
        <v>53</v>
      </c>
      <c r="C22" s="10" t="s">
        <v>54</v>
      </c>
      <c r="D22" s="9" t="s">
        <v>41</v>
      </c>
      <c r="E22" s="11">
        <v>10</v>
      </c>
      <c r="F22" s="12">
        <v>14</v>
      </c>
      <c r="G22" s="12">
        <f>IF(AND(ISNUMBER(E22),ISNUMBER(F22)),ROUND(E22*F22,2),"")</f>
        <v>140.0</v>
      </c>
      <c r="H22" s="10"/>
    </row>
    <row r="23" spans="1:8" ht="26" customHeight="1">
      <c r="A23" s="9" t="s">
        <v>55</v>
      </c>
      <c r="B23" s="10" t="s">
        <v>56</v>
      </c>
      <c r="C23" s="10" t="s">
        <v>57</v>
      </c>
      <c r="D23" s="9" t="s">
        <v>41</v>
      </c>
      <c r="E23" s="11">
        <v>40</v>
      </c>
      <c r="F23" s="12">
        <v>25</v>
      </c>
      <c r="G23" s="12">
        <f>IF(AND(ISNUMBER(E23),ISNUMBER(F23)),ROUND(E23*F23,2),"")</f>
        <v>1000.0</v>
      </c>
      <c r="H23" s="10"/>
    </row>
    <row r="24" spans="1:8" ht="26" customHeight="1">
      <c r="A24" s="9" t="s">
        <v>58</v>
      </c>
      <c r="B24" s="10" t="s">
        <v>59</v>
      </c>
      <c r="C24" s="10" t="s">
        <v>60</v>
      </c>
      <c r="D24" s="9" t="s">
        <v>16</v>
      </c>
      <c r="E24" s="11">
        <v>1</v>
      </c>
      <c r="F24" s="12">
        <v>550</v>
      </c>
      <c r="G24" s="12">
        <f>IF(AND(ISNUMBER(E24),ISNUMBER(F24)),ROUND(E24*F24,2),"")</f>
        <v>550</v>
      </c>
      <c r="H24" s="10"/>
    </row>
    <row r="25" spans="1:8" ht="30" customHeight="1">
      <c r="A25" s="9" t="s">
        <v>61</v>
      </c>
      <c r="B25" s="10" t="s">
        <v>62</v>
      </c>
      <c r="C25" s="10" t="s">
        <v>63</v>
      </c>
      <c r="D25" s="9" t="s">
        <v>64</v>
      </c>
      <c r="E25" s="11">
        <v>1</v>
      </c>
      <c r="F25" s="12">
        <v>690</v>
      </c>
      <c r="G25" s="12">
        <f>IF(AND(ISNUMBER(E25),ISNUMBER(F25)),ROUND(E25*F25,2),"")</f>
        <v>690</v>
      </c>
      <c r="H25" s="10"/>
    </row>
    <row r="26" spans="1:8" ht="30" customHeight="1">
      <c r="A26" s="9" t="s">
        <v>65</v>
      </c>
      <c r="B26" s="10" t="s">
        <v>66</v>
      </c>
      <c r="C26" s="10" t="s">
        <v>67</v>
      </c>
      <c r="D26" s="9" t="s">
        <v>16</v>
      </c>
      <c r="E26" s="11">
        <v>1</v>
      </c>
      <c r="F26" s="12">
        <v>1660</v>
      </c>
      <c r="G26" s="12">
        <f>IF(AND(ISNUMBER(E26),ISNUMBER(F26)),ROUND(E26*F26,2),"")</f>
        <v>1660</v>
      </c>
      <c r="H26" s="10"/>
    </row>
    <row r="27" spans="1:8" ht="30" customHeight="1">
      <c r="A27" s="9" t="s">
        <v>68</v>
      </c>
      <c r="B27" s="10" t="s">
        <v>69</v>
      </c>
      <c r="C27" s="10" t="s">
        <v>70</v>
      </c>
      <c r="D27" s="9" t="s">
        <v>16</v>
      </c>
      <c r="E27" s="11">
        <v>1</v>
      </c>
      <c r="F27" s="12">
        <v>970</v>
      </c>
      <c r="G27" s="12">
        <f>IF(AND(ISNUMBER(E27),ISNUMBER(F27)),ROUND(E27*F27,2),"")</f>
        <v>970</v>
      </c>
      <c r="H27" s="10"/>
    </row>
    <row r="28" spans="1:8" ht="30" customHeight="1">
      <c r="A28" s="9" t="s">
        <v>71</v>
      </c>
      <c r="B28" s="10" t="s">
        <v>72</v>
      </c>
      <c r="C28" s="10" t="s">
        <v>73</v>
      </c>
      <c r="D28" s="9" t="s">
        <v>16</v>
      </c>
      <c r="E28" s="11">
        <v>1</v>
      </c>
      <c r="F28" s="12">
        <v>2210</v>
      </c>
      <c r="G28" s="12">
        <f>IF(AND(ISNUMBER(E28),ISNUMBER(F28)),ROUND(E28*F28,2),"")</f>
        <v>2210</v>
      </c>
      <c r="H28" s="10"/>
    </row>
    <row r="29" spans="1:8" ht="30" customHeight="1">
      <c r="A29" s="9" t="s">
        <v>74</v>
      </c>
      <c r="B29" s="10" t="s">
        <v>75</v>
      </c>
      <c r="C29" s="10" t="s">
        <v>76</v>
      </c>
      <c r="D29" s="9" t="s">
        <v>16</v>
      </c>
      <c r="E29" s="11">
        <v>1</v>
      </c>
      <c r="F29" s="12">
        <v>1100</v>
      </c>
      <c r="G29" s="12">
        <f>IF(AND(ISNUMBER(E29),ISNUMBER(F29)),ROUND(E29*F29,2),"")</f>
        <v>1100</v>
      </c>
      <c r="H29" s="10"/>
    </row>
    <row r="30" spans="1:8" ht="30" customHeight="1">
      <c r="A30" s="9" t="s">
        <v>77</v>
      </c>
      <c r="B30" s="10" t="s">
        <v>78</v>
      </c>
      <c r="C30" s="10" t="s">
        <v>79</v>
      </c>
      <c r="D30" s="9" t="s">
        <v>16</v>
      </c>
      <c r="E30" s="11">
        <v>1</v>
      </c>
      <c r="F30" s="12">
        <v>830</v>
      </c>
      <c r="G30" s="12">
        <f>IF(AND(ISNUMBER(E30),ISNUMBER(F30)),ROUND(E30*F30,2),"")</f>
        <v>830</v>
      </c>
      <c r="H30" s="10"/>
    </row>
    <row r="31" spans="1:8" ht="30" customHeight="1">
      <c r="A31" s="9" t="s">
        <v>80</v>
      </c>
      <c r="B31" s="10" t="s">
        <v>81</v>
      </c>
      <c r="C31" s="10" t="s">
        <v>82</v>
      </c>
      <c r="D31" s="9" t="s">
        <v>16</v>
      </c>
      <c r="E31" s="11">
        <v>1</v>
      </c>
      <c r="F31" s="12">
        <v>690</v>
      </c>
      <c r="G31" s="12">
        <f>IF(AND(ISNUMBER(E31),ISNUMBER(F31)),ROUND(E31*F31,2),"")</f>
        <v>690</v>
      </c>
      <c r="H31" s="10"/>
    </row>
    <row r="32" spans="1:8" ht="30" customHeight="1">
      <c r="A32" s="9" t="s">
        <v>83</v>
      </c>
      <c r="B32" s="10" t="s">
        <v>84</v>
      </c>
      <c r="C32" s="10" t="s">
        <v>85</v>
      </c>
      <c r="D32" s="9" t="s">
        <v>16</v>
      </c>
      <c r="E32" s="11">
        <v>1</v>
      </c>
      <c r="F32" s="12">
        <v>550</v>
      </c>
      <c r="G32" s="12">
        <f>IF(AND(ISNUMBER(E32),ISNUMBER(F32)),ROUND(E32*F32,2),"")</f>
        <v>550</v>
      </c>
      <c r="H32" s="10"/>
    </row>
    <row r="33" spans="1:8" ht="56" customHeight="1">
      <c r="A33" s="9" t="s">
        <v>86</v>
      </c>
      <c r="B33" s="10" t="s">
        <v>87</v>
      </c>
      <c r="C33" s="10" t="s">
        <v>88</v>
      </c>
      <c r="D33" s="9" t="s">
        <v>89</v>
      </c>
      <c r="E33" s="11">
        <v>47.3</v>
      </c>
      <c r="F33" s="12">
        <v>47</v>
      </c>
      <c r="G33" s="12">
        <f>IF(AND(ISNUMBER(E33),ISNUMBER(F33)),ROUND(E33*F33,2),"")</f>
        <v>2223.1</v>
      </c>
      <c r="H33" s="10"/>
    </row>
    <row r="34" spans="1:8" ht="30" customHeight="1">
      <c r="A34" s="9" t="s">
        <v>90</v>
      </c>
      <c r="B34" s="10" t="s">
        <v>91</v>
      </c>
      <c r="C34" s="10" t="s">
        <v>92</v>
      </c>
      <c r="D34" s="9" t="s">
        <v>16</v>
      </c>
      <c r="E34" s="11">
        <v>1</v>
      </c>
      <c r="F34" s="12">
        <v>7700</v>
      </c>
      <c r="G34" s="12">
        <f>IF(AND(ISNUMBER(E34),ISNUMBER(F34)),ROUND(E34*F34,2),"")</f>
        <v>7700</v>
      </c>
      <c r="H34" s="10"/>
    </row>
    <row r="35" spans="1:8" ht="30" customHeight="1">
      <c r="A35" s="9" t="s">
        <v>93</v>
      </c>
      <c r="B35" s="10" t="s">
        <v>94</v>
      </c>
      <c r="C35" s="10" t="s">
        <v>95</v>
      </c>
      <c r="D35" s="9" t="s">
        <v>16</v>
      </c>
      <c r="E35" s="11">
        <v>1</v>
      </c>
      <c r="F35" s="12">
        <v>830</v>
      </c>
      <c r="G35" s="12">
        <f>IF(AND(ISNUMBER(E35),ISNUMBER(F35)),ROUND(E35*F35,2),"")</f>
        <v>830</v>
      </c>
      <c r="H35" s="10"/>
    </row>
    <row r="36" spans="1:8" ht="30" customHeight="1">
      <c r="A36" s="9" t="s">
        <v>96</v>
      </c>
      <c r="B36" s="10" t="s">
        <v>97</v>
      </c>
      <c r="C36" s="10" t="s">
        <v>98</v>
      </c>
      <c r="D36" s="9" t="s">
        <v>16</v>
      </c>
      <c r="E36" s="11">
        <v>1</v>
      </c>
      <c r="F36" s="12">
        <v>1240</v>
      </c>
      <c r="G36" s="12">
        <f>IF(AND(ISNUMBER(E36),ISNUMBER(F36)),ROUND(E36*F36,2),"")</f>
        <v>1240</v>
      </c>
      <c r="H36" s="10"/>
    </row>
    <row r="37" spans="1:8" ht="30" customHeight="1">
      <c r="A37" s="9" t="s">
        <v>99</v>
      </c>
      <c r="B37" s="10" t="s">
        <v>100</v>
      </c>
      <c r="C37" s="10" t="s">
        <v>101</v>
      </c>
      <c r="D37" s="9" t="s">
        <v>41</v>
      </c>
      <c r="E37" s="11">
        <v>103.4</v>
      </c>
      <c r="F37" s="12">
        <v>27.5</v>
      </c>
      <c r="G37" s="12">
        <f>IF(AND(ISNUMBER(E37),ISNUMBER(F37)),ROUND(E37*F37,2),"")</f>
        <v>2843.5</v>
      </c>
      <c r="H37" s="10"/>
    </row>
    <row r="38" spans="1:8" ht="43" customHeight="1">
      <c r="A38" s="9" t="s">
        <v>102</v>
      </c>
      <c r="B38" s="10" t="s">
        <v>103</v>
      </c>
      <c r="C38" s="10" t="s">
        <v>104</v>
      </c>
      <c r="D38" s="9" t="s">
        <v>16</v>
      </c>
      <c r="E38" s="11">
        <v>1</v>
      </c>
      <c r="F38" s="12">
        <v>830</v>
      </c>
      <c r="G38" s="12">
        <f>IF(AND(ISNUMBER(E38),ISNUMBER(F38)),ROUND(E38*F38,2),"")</f>
        <v>830</v>
      </c>
      <c r="H38" s="10"/>
    </row>
    <row r="39" spans="1:8" ht="43" customHeight="1">
      <c r="A39" s="9" t="s">
        <v>105</v>
      </c>
      <c r="B39" s="10" t="s">
        <v>106</v>
      </c>
      <c r="C39" s="10" t="s">
        <v>107</v>
      </c>
      <c r="D39" s="9" t="s">
        <v>41</v>
      </c>
      <c r="E39" s="11">
        <v>65</v>
      </c>
      <c r="F39" s="12">
        <v>9.699999999999999</v>
      </c>
      <c r="G39" s="12">
        <f>IF(AND(ISNUMBER(E39),ISNUMBER(F39)),ROUND(E39*F39,2),"")</f>
        <v>630.5</v>
      </c>
      <c r="H39" s="10" t="s">
        <v>42</v>
      </c>
    </row>
    <row r="40" spans="1:8">
      <c r="A40" s="13" t="s">
        <v>108</v>
      </c>
      <c r="B40" s="13"/>
      <c r="C40" s="13"/>
      <c r="D40" s="13"/>
      <c r="E40" s="13"/>
      <c r="F40" s="13"/>
      <c r="G40" s="14">
        <f>IF(COUNT(G19:G39)=0,"",SUM(G19:G39))</f>
        <v>33221.1</v>
      </c>
      <c r="H40" s="13"/>
    </row>
    <row r="42" spans="1:8" ht="22" customHeight="1">
      <c r="A42" s="8" t="s">
        <v>109</v>
      </c>
      <c r="B42" s="8"/>
      <c r="C42" s="8"/>
      <c r="D42" s="8"/>
      <c r="E42" s="8"/>
      <c r="F42" s="8"/>
      <c r="G42" s="8"/>
      <c r="H42" s="8"/>
    </row>
    <row r="43" spans="1:8" ht="30" customHeight="1">
      <c r="A43" s="9" t="s">
        <v>110</v>
      </c>
      <c r="B43" s="10" t="s">
        <v>111</v>
      </c>
      <c r="C43" s="10" t="s">
        <v>112</v>
      </c>
      <c r="D43" s="9" t="s">
        <v>16</v>
      </c>
      <c r="E43" s="11">
        <v>1</v>
      </c>
      <c r="F43" s="12">
        <v>19300</v>
      </c>
      <c r="G43" s="12">
        <f>IF(AND(ISNUMBER(E43),ISNUMBER(F43)),ROUND(E43*F43,2),"")</f>
        <v>19300</v>
      </c>
      <c r="H43" s="10" t="s">
        <v>113</v>
      </c>
    </row>
    <row r="44" spans="1:8" ht="56" customHeight="1">
      <c r="A44" s="9" t="s">
        <v>114</v>
      </c>
      <c r="B44" s="10" t="s">
        <v>115</v>
      </c>
      <c r="C44" s="10" t="s">
        <v>116</v>
      </c>
      <c r="D44" s="9" t="s">
        <v>16</v>
      </c>
      <c r="E44" s="11">
        <v>1</v>
      </c>
      <c r="F44" s="12">
        <v>33100</v>
      </c>
      <c r="G44" s="12">
        <f>IF(AND(ISNUMBER(E44),ISNUMBER(F44)),ROUND(E44*F44,2),"")</f>
        <v>33100</v>
      </c>
      <c r="H44" s="10" t="s">
        <v>113</v>
      </c>
    </row>
    <row r="45" spans="1:8" ht="30" customHeight="1">
      <c r="A45" s="9" t="s">
        <v>117</v>
      </c>
      <c r="B45" s="10" t="s">
        <v>118</v>
      </c>
      <c r="C45" s="10" t="s">
        <v>119</v>
      </c>
      <c r="D45" s="9" t="s">
        <v>16</v>
      </c>
      <c r="E45" s="11">
        <v>1</v>
      </c>
      <c r="F45" s="12">
        <v>10500</v>
      </c>
      <c r="G45" s="12">
        <f>IF(AND(ISNUMBER(E45),ISNUMBER(F45)),ROUND(E45*F45,2),"")</f>
        <v>10500</v>
      </c>
      <c r="H45" s="10" t="s">
        <v>113</v>
      </c>
    </row>
    <row r="46" spans="1:8" ht="30" customHeight="1">
      <c r="A46" s="9" t="s">
        <v>120</v>
      </c>
      <c r="B46" s="10" t="s">
        <v>121</v>
      </c>
      <c r="C46" s="10" t="s">
        <v>122</v>
      </c>
      <c r="D46" s="9" t="s">
        <v>16</v>
      </c>
      <c r="E46" s="11">
        <v>1</v>
      </c>
      <c r="F46" s="12">
        <v>4970</v>
      </c>
      <c r="G46" s="12">
        <f>IF(AND(ISNUMBER(E46),ISNUMBER(F46)),ROUND(E46*F46,2),"")</f>
        <v>4970</v>
      </c>
      <c r="H46" s="10" t="s">
        <v>113</v>
      </c>
    </row>
    <row r="47" spans="1:8" ht="69" customHeight="1">
      <c r="A47" s="9" t="s">
        <v>123</v>
      </c>
      <c r="B47" s="10" t="s">
        <v>124</v>
      </c>
      <c r="C47" s="10" t="s">
        <v>125</v>
      </c>
      <c r="D47" s="9" t="s">
        <v>64</v>
      </c>
      <c r="E47" s="11">
        <v>12</v>
      </c>
      <c r="F47" s="12">
        <v>770</v>
      </c>
      <c r="G47" s="12">
        <f>IF(AND(ISNUMBER(E47),ISNUMBER(F47)),ROUND(E47*F47,2),"")</f>
        <v>9240</v>
      </c>
      <c r="H47" s="10" t="s">
        <v>126</v>
      </c>
    </row>
    <row r="48" spans="1:8">
      <c r="A48" s="13" t="s">
        <v>127</v>
      </c>
      <c r="B48" s="13"/>
      <c r="C48" s="13"/>
      <c r="D48" s="13"/>
      <c r="E48" s="13"/>
      <c r="F48" s="13"/>
      <c r="G48" s="14">
        <f>IF(COUNT(G43:G47)=0,"",SUM(G43:G47))</f>
        <v>77110.0</v>
      </c>
      <c r="H48" s="13"/>
    </row>
    <row r="50" spans="1:8" ht="22" customHeight="1">
      <c r="A50" s="8" t="s">
        <v>128</v>
      </c>
      <c r="B50" s="8"/>
      <c r="C50" s="8"/>
      <c r="D50" s="8"/>
      <c r="E50" s="8"/>
      <c r="F50" s="8"/>
      <c r="G50" s="8"/>
      <c r="H50" s="8"/>
    </row>
    <row r="51" spans="1:8" ht="26" customHeight="1">
      <c r="A51" s="9" t="s">
        <v>129</v>
      </c>
      <c r="B51" s="10" t="s">
        <v>130</v>
      </c>
      <c r="C51" s="10" t="s">
        <v>131</v>
      </c>
      <c r="D51" s="9" t="s">
        <v>41</v>
      </c>
      <c r="E51" s="11">
        <v>6.3</v>
      </c>
      <c r="F51" s="12">
        <v>83</v>
      </c>
      <c r="G51" s="12">
        <f>IF(AND(ISNUMBER(E51),ISNUMBER(F51)),ROUND(E51*F51,2),"")</f>
        <v>522.9</v>
      </c>
      <c r="H51" s="10"/>
    </row>
    <row r="52" spans="1:8" ht="26" customHeight="1">
      <c r="A52" s="9" t="s">
        <v>132</v>
      </c>
      <c r="B52" s="10" t="s">
        <v>133</v>
      </c>
      <c r="C52" s="10" t="s">
        <v>131</v>
      </c>
      <c r="D52" s="9" t="s">
        <v>41</v>
      </c>
      <c r="E52" s="11">
        <v>17.7</v>
      </c>
      <c r="F52" s="12">
        <v>83</v>
      </c>
      <c r="G52" s="12">
        <f>IF(AND(ISNUMBER(E52),ISNUMBER(F52)),ROUND(E52*F52,2),"")</f>
        <v>1469.1</v>
      </c>
      <c r="H52" s="10"/>
    </row>
    <row r="53" spans="1:8" ht="26" customHeight="1">
      <c r="A53" s="9" t="s">
        <v>134</v>
      </c>
      <c r="B53" s="10" t="s">
        <v>135</v>
      </c>
      <c r="C53" s="10" t="s">
        <v>131</v>
      </c>
      <c r="D53" s="9" t="s">
        <v>41</v>
      </c>
      <c r="E53" s="11">
        <v>2.08</v>
      </c>
      <c r="F53" s="12">
        <v>83</v>
      </c>
      <c r="G53" s="12">
        <f>IF(AND(ISNUMBER(E53),ISNUMBER(F53)),ROUND(E53*F53,2),"")</f>
        <v>172.64</v>
      </c>
      <c r="H53" s="10"/>
    </row>
    <row r="54" spans="1:8">
      <c r="A54" s="13" t="s">
        <v>136</v>
      </c>
      <c r="B54" s="13"/>
      <c r="C54" s="13"/>
      <c r="D54" s="13"/>
      <c r="E54" s="13"/>
      <c r="F54" s="13"/>
      <c r="G54" s="14">
        <f>IF(COUNT(G51:G53)=0,"",SUM(G51:G53))</f>
        <v>2164.64</v>
      </c>
      <c r="H54" s="13"/>
    </row>
    <row r="56" spans="1:8" ht="22" customHeight="1">
      <c r="A56" s="8" t="s">
        <v>137</v>
      </c>
      <c r="B56" s="8"/>
      <c r="C56" s="8"/>
      <c r="D56" s="8"/>
      <c r="E56" s="8"/>
      <c r="F56" s="8"/>
      <c r="G56" s="8"/>
      <c r="H56" s="8"/>
    </row>
    <row r="57" spans="1:8" ht="30" customHeight="1">
      <c r="A57" s="9" t="s">
        <v>138</v>
      </c>
      <c r="B57" s="10" t="s">
        <v>139</v>
      </c>
      <c r="C57" s="10" t="s">
        <v>140</v>
      </c>
      <c r="D57" s="9" t="s">
        <v>64</v>
      </c>
      <c r="E57" s="11">
        <v>7</v>
      </c>
      <c r="F57" s="12">
        <v>221</v>
      </c>
      <c r="G57" s="12">
        <f>IF(AND(ISNUMBER(E57),ISNUMBER(F57)),ROUND(E57*F57,2),"")</f>
        <v>1547</v>
      </c>
      <c r="H57" s="10" t="s">
        <v>141</v>
      </c>
    </row>
    <row r="58" spans="1:8" ht="30" customHeight="1">
      <c r="A58" s="9" t="s">
        <v>142</v>
      </c>
      <c r="B58" s="10" t="s">
        <v>143</v>
      </c>
      <c r="C58" s="10" t="s">
        <v>144</v>
      </c>
      <c r="D58" s="9" t="s">
        <v>64</v>
      </c>
      <c r="E58" s="11">
        <v>7</v>
      </c>
      <c r="F58" s="12">
        <v>304</v>
      </c>
      <c r="G58" s="12">
        <f>IF(AND(ISNUMBER(E58),ISNUMBER(F58)),ROUND(E58*F58,2),"")</f>
        <v>2128</v>
      </c>
      <c r="H58" s="10" t="s">
        <v>141</v>
      </c>
    </row>
    <row r="59" spans="1:8" ht="30" customHeight="1">
      <c r="A59" s="9" t="s">
        <v>145</v>
      </c>
      <c r="B59" s="10" t="s">
        <v>146</v>
      </c>
      <c r="C59" s="10" t="s">
        <v>147</v>
      </c>
      <c r="D59" s="9" t="s">
        <v>64</v>
      </c>
      <c r="E59" s="11">
        <v>7</v>
      </c>
      <c r="F59" s="12">
        <v>41.5</v>
      </c>
      <c r="G59" s="12">
        <f>IF(AND(ISNUMBER(E59),ISNUMBER(F59)),ROUND(E59*F59,2),"")</f>
        <v>290.5</v>
      </c>
      <c r="H59" s="10" t="s">
        <v>141</v>
      </c>
    </row>
    <row r="60" spans="1:8" ht="26" customHeight="1">
      <c r="A60" s="9" t="s">
        <v>148</v>
      </c>
      <c r="B60" s="10" t="s">
        <v>149</v>
      </c>
      <c r="C60" s="10" t="s">
        <v>150</v>
      </c>
      <c r="D60" s="9" t="s">
        <v>64</v>
      </c>
      <c r="E60" s="11">
        <v>7</v>
      </c>
      <c r="F60" s="12">
        <v>41.5</v>
      </c>
      <c r="G60" s="12">
        <f>IF(AND(ISNUMBER(E60),ISNUMBER(F60)),ROUND(E60*F60,2),"")</f>
        <v>290.5</v>
      </c>
      <c r="H60" s="10" t="s">
        <v>141</v>
      </c>
    </row>
    <row r="61" spans="1:8" ht="30" customHeight="1">
      <c r="A61" s="9" t="s">
        <v>151</v>
      </c>
      <c r="B61" s="10" t="s">
        <v>152</v>
      </c>
      <c r="C61" s="10" t="s">
        <v>153</v>
      </c>
      <c r="D61" s="9" t="s">
        <v>64</v>
      </c>
      <c r="E61" s="11">
        <v>1</v>
      </c>
      <c r="F61" s="12">
        <v>166</v>
      </c>
      <c r="G61" s="12">
        <f>IF(AND(ISNUMBER(E61),ISNUMBER(F61)),ROUND(E61*F61,2),"")</f>
        <v>166</v>
      </c>
      <c r="H61" s="10" t="s">
        <v>141</v>
      </c>
    </row>
    <row r="62" spans="1:8" ht="26" customHeight="1">
      <c r="A62" s="9" t="s">
        <v>154</v>
      </c>
      <c r="B62" s="10" t="s">
        <v>155</v>
      </c>
      <c r="C62" s="10" t="s">
        <v>156</v>
      </c>
      <c r="D62" s="9" t="s">
        <v>64</v>
      </c>
      <c r="E62" s="11">
        <v>6</v>
      </c>
      <c r="F62" s="12">
        <v>83</v>
      </c>
      <c r="G62" s="12">
        <f>IF(AND(ISNUMBER(E62),ISNUMBER(F62)),ROUND(E62*F62,2),"")</f>
        <v>498</v>
      </c>
      <c r="H62" s="10" t="s">
        <v>141</v>
      </c>
    </row>
    <row r="63" spans="1:8" ht="26" customHeight="1">
      <c r="A63" s="9" t="s">
        <v>157</v>
      </c>
      <c r="B63" s="10" t="s">
        <v>158</v>
      </c>
      <c r="C63" s="10" t="s">
        <v>156</v>
      </c>
      <c r="D63" s="9" t="s">
        <v>64</v>
      </c>
      <c r="E63" s="11">
        <v>6</v>
      </c>
      <c r="F63" s="12">
        <v>124</v>
      </c>
      <c r="G63" s="12">
        <f>IF(AND(ISNUMBER(E63),ISNUMBER(F63)),ROUND(E63*F63,2),"")</f>
        <v>744</v>
      </c>
      <c r="H63" s="10" t="s">
        <v>141</v>
      </c>
    </row>
    <row r="64" spans="1:8" ht="30" customHeight="1">
      <c r="A64" s="9" t="s">
        <v>159</v>
      </c>
      <c r="B64" s="10" t="s">
        <v>160</v>
      </c>
      <c r="C64" s="10" t="s">
        <v>161</v>
      </c>
      <c r="D64" s="9" t="s">
        <v>64</v>
      </c>
      <c r="E64" s="11">
        <v>10</v>
      </c>
      <c r="F64" s="12">
        <v>124</v>
      </c>
      <c r="G64" s="12">
        <f>IF(AND(ISNUMBER(E64),ISNUMBER(F64)),ROUND(E64*F64,2),"")</f>
        <v>1240</v>
      </c>
      <c r="H64" s="10" t="s">
        <v>141</v>
      </c>
    </row>
    <row r="65" spans="1:8" ht="30" customHeight="1">
      <c r="A65" s="9" t="s">
        <v>162</v>
      </c>
      <c r="B65" s="10" t="s">
        <v>163</v>
      </c>
      <c r="C65" s="10" t="s">
        <v>164</v>
      </c>
      <c r="D65" s="9" t="s">
        <v>64</v>
      </c>
      <c r="E65" s="11">
        <v>2</v>
      </c>
      <c r="F65" s="12">
        <v>166</v>
      </c>
      <c r="G65" s="12">
        <f>IF(AND(ISNUMBER(E65),ISNUMBER(F65)),ROUND(E65*F65,2),"")</f>
        <v>332</v>
      </c>
      <c r="H65" s="10" t="s">
        <v>141</v>
      </c>
    </row>
    <row r="66" spans="1:8" ht="26" customHeight="1">
      <c r="A66" s="9" t="s">
        <v>165</v>
      </c>
      <c r="B66" s="10" t="s">
        <v>166</v>
      </c>
      <c r="C66" s="10" t="s">
        <v>167</v>
      </c>
      <c r="D66" s="9" t="s">
        <v>64</v>
      </c>
      <c r="E66" s="11">
        <v>7</v>
      </c>
      <c r="F66" s="12">
        <v>69</v>
      </c>
      <c r="G66" s="12">
        <f>IF(AND(ISNUMBER(E66),ISNUMBER(F66)),ROUND(E66*F66,2),"")</f>
        <v>483</v>
      </c>
      <c r="H66" s="10" t="s">
        <v>141</v>
      </c>
    </row>
    <row r="67" spans="1:8" ht="26" customHeight="1">
      <c r="A67" s="9" t="s">
        <v>168</v>
      </c>
      <c r="B67" s="10" t="s">
        <v>169</v>
      </c>
      <c r="C67" s="10" t="s">
        <v>170</v>
      </c>
      <c r="D67" s="9" t="s">
        <v>64</v>
      </c>
      <c r="E67" s="11">
        <v>5</v>
      </c>
      <c r="F67" s="12">
        <v>179</v>
      </c>
      <c r="G67" s="12">
        <f>IF(AND(ISNUMBER(E67),ISNUMBER(F67)),ROUND(E67*F67,2),"")</f>
        <v>895</v>
      </c>
      <c r="H67" s="10" t="s">
        <v>141</v>
      </c>
    </row>
    <row r="68" spans="1:8" ht="26" customHeight="1">
      <c r="A68" s="9" t="s">
        <v>171</v>
      </c>
      <c r="B68" s="10" t="s">
        <v>172</v>
      </c>
      <c r="C68" s="10" t="s">
        <v>173</v>
      </c>
      <c r="D68" s="9" t="s">
        <v>64</v>
      </c>
      <c r="E68" s="11">
        <v>1</v>
      </c>
      <c r="F68" s="12">
        <v>414</v>
      </c>
      <c r="G68" s="12">
        <f>IF(AND(ISNUMBER(E68),ISNUMBER(F68)),ROUND(E68*F68,2),"")</f>
        <v>414</v>
      </c>
      <c r="H68" s="10" t="s">
        <v>141</v>
      </c>
    </row>
    <row r="69" spans="1:8" ht="26" customHeight="1">
      <c r="A69" s="9" t="s">
        <v>174</v>
      </c>
      <c r="B69" s="10" t="s">
        <v>175</v>
      </c>
      <c r="C69" s="10" t="s">
        <v>176</v>
      </c>
      <c r="D69" s="9" t="s">
        <v>64</v>
      </c>
      <c r="E69" s="11">
        <v>1</v>
      </c>
      <c r="F69" s="12">
        <v>610</v>
      </c>
      <c r="G69" s="12">
        <f>IF(AND(ISNUMBER(E69),ISNUMBER(F69)),ROUND(E69*F69,2),"")</f>
        <v>610</v>
      </c>
      <c r="H69" s="10" t="s">
        <v>141</v>
      </c>
    </row>
    <row r="70" spans="1:8" ht="26" customHeight="1">
      <c r="A70" s="9" t="s">
        <v>177</v>
      </c>
      <c r="B70" s="10" t="s">
        <v>178</v>
      </c>
      <c r="C70" s="10" t="s">
        <v>179</v>
      </c>
      <c r="D70" s="9" t="s">
        <v>64</v>
      </c>
      <c r="E70" s="11">
        <v>1</v>
      </c>
      <c r="F70" s="12">
        <v>276</v>
      </c>
      <c r="G70" s="12">
        <f>IF(AND(ISNUMBER(E70),ISNUMBER(F70)),ROUND(E70*F70,2),"")</f>
        <v>276</v>
      </c>
      <c r="H70" s="10" t="s">
        <v>141</v>
      </c>
    </row>
    <row r="71" spans="1:8" ht="26" customHeight="1">
      <c r="A71" s="9" t="s">
        <v>180</v>
      </c>
      <c r="B71" s="10" t="s">
        <v>181</v>
      </c>
      <c r="C71" s="10" t="s">
        <v>182</v>
      </c>
      <c r="D71" s="9" t="s">
        <v>64</v>
      </c>
      <c r="E71" s="11">
        <v>3</v>
      </c>
      <c r="F71" s="10" t="s">
        <v>183</v>
      </c>
      <c r="G71" s="12">
        <f>IF(AND(ISNUMBER(E71),ISNUMBER(F71)),ROUND(E71*F71,2),"")</f>
        <v/>
      </c>
      <c r="H71" s="10"/>
    </row>
    <row r="72" spans="1:8" ht="26" customHeight="1">
      <c r="A72" s="9" t="s">
        <v>184</v>
      </c>
      <c r="B72" s="10" t="s">
        <v>185</v>
      </c>
      <c r="C72" s="10" t="s">
        <v>186</v>
      </c>
      <c r="D72" s="9" t="s">
        <v>64</v>
      </c>
      <c r="E72" s="11">
        <v>5</v>
      </c>
      <c r="F72" s="12">
        <v>124</v>
      </c>
      <c r="G72" s="12">
        <f>IF(AND(ISNUMBER(E72),ISNUMBER(F72)),ROUND(E72*F72,2),"")</f>
        <v>620</v>
      </c>
      <c r="H72" s="10" t="s">
        <v>141</v>
      </c>
    </row>
    <row r="73" spans="1:8" ht="26" customHeight="1">
      <c r="A73" s="9" t="s">
        <v>187</v>
      </c>
      <c r="B73" s="10" t="s">
        <v>188</v>
      </c>
      <c r="C73" s="10" t="s">
        <v>182</v>
      </c>
      <c r="D73" s="9" t="s">
        <v>64</v>
      </c>
      <c r="E73" s="11">
        <v>2</v>
      </c>
      <c r="F73" s="10" t="s">
        <v>183</v>
      </c>
      <c r="G73" s="12">
        <f>IF(AND(ISNUMBER(E73),ISNUMBER(F73)),ROUND(E73*F73,2),"")</f>
        <v/>
      </c>
      <c r="H73" s="10"/>
    </row>
    <row r="74" spans="1:8" ht="26" customHeight="1">
      <c r="A74" s="9" t="s">
        <v>189</v>
      </c>
      <c r="B74" s="10" t="s">
        <v>190</v>
      </c>
      <c r="C74" s="10" t="s">
        <v>156</v>
      </c>
      <c r="D74" s="9" t="s">
        <v>64</v>
      </c>
      <c r="E74" s="11">
        <v>2</v>
      </c>
      <c r="F74" s="12">
        <v>124</v>
      </c>
      <c r="G74" s="12">
        <f>IF(AND(ISNUMBER(E74),ISNUMBER(F74)),ROUND(E74*F74,2),"")</f>
        <v>248</v>
      </c>
      <c r="H74" s="10" t="s">
        <v>141</v>
      </c>
    </row>
    <row r="75" spans="1:8" ht="26" customHeight="1">
      <c r="A75" s="9" t="s">
        <v>191</v>
      </c>
      <c r="B75" s="10" t="s">
        <v>192</v>
      </c>
      <c r="C75" s="10" t="s">
        <v>156</v>
      </c>
      <c r="D75" s="9" t="s">
        <v>64</v>
      </c>
      <c r="E75" s="11">
        <v>1</v>
      </c>
      <c r="F75" s="12">
        <v>179</v>
      </c>
      <c r="G75" s="12">
        <f>IF(AND(ISNUMBER(E75),ISNUMBER(F75)),ROUND(E75*F75,2),"")</f>
        <v>179</v>
      </c>
      <c r="H75" s="10" t="s">
        <v>141</v>
      </c>
    </row>
    <row r="76" spans="1:8" ht="26" customHeight="1">
      <c r="A76" s="9" t="s">
        <v>193</v>
      </c>
      <c r="B76" s="10" t="s">
        <v>194</v>
      </c>
      <c r="C76" s="10" t="s">
        <v>195</v>
      </c>
      <c r="D76" s="9" t="s">
        <v>64</v>
      </c>
      <c r="E76" s="11">
        <v>11</v>
      </c>
      <c r="F76" s="12">
        <v>49.5</v>
      </c>
      <c r="G76" s="12">
        <f>IF(AND(ISNUMBER(E76),ISNUMBER(F76)),ROUND(E76*F76,2),"")</f>
        <v>544.5</v>
      </c>
      <c r="H76" s="10" t="s">
        <v>141</v>
      </c>
    </row>
    <row r="77" spans="1:8" ht="26" customHeight="1">
      <c r="A77" s="9" t="s">
        <v>196</v>
      </c>
      <c r="B77" s="10" t="s">
        <v>197</v>
      </c>
      <c r="C77" s="10" t="s">
        <v>198</v>
      </c>
      <c r="D77" s="9" t="s">
        <v>64</v>
      </c>
      <c r="E77" s="11">
        <v>1</v>
      </c>
      <c r="F77" s="12">
        <v>497</v>
      </c>
      <c r="G77" s="12">
        <f>IF(AND(ISNUMBER(E77),ISNUMBER(F77)),ROUND(E77*F77,2),"")</f>
        <v>497</v>
      </c>
      <c r="H77" s="10" t="s">
        <v>141</v>
      </c>
    </row>
    <row r="78" spans="1:8" ht="26" customHeight="1">
      <c r="A78" s="9" t="s">
        <v>199</v>
      </c>
      <c r="B78" s="10" t="s">
        <v>200</v>
      </c>
      <c r="C78" s="10" t="s">
        <v>201</v>
      </c>
      <c r="D78" s="9" t="s">
        <v>64</v>
      </c>
      <c r="E78" s="11">
        <v>1</v>
      </c>
      <c r="F78" s="12">
        <v>331</v>
      </c>
      <c r="G78" s="12">
        <f>IF(AND(ISNUMBER(E78),ISNUMBER(F78)),ROUND(E78*F78,2),"")</f>
        <v>331</v>
      </c>
      <c r="H78" s="10" t="s">
        <v>141</v>
      </c>
    </row>
    <row r="79" spans="1:8" ht="26" customHeight="1">
      <c r="A79" s="9" t="s">
        <v>202</v>
      </c>
      <c r="B79" s="10" t="s">
        <v>203</v>
      </c>
      <c r="C79" s="10" t="s">
        <v>156</v>
      </c>
      <c r="D79" s="9" t="s">
        <v>64</v>
      </c>
      <c r="E79" s="11">
        <v>2</v>
      </c>
      <c r="F79" s="12">
        <v>152</v>
      </c>
      <c r="G79" s="12">
        <f>IF(AND(ISNUMBER(E79),ISNUMBER(F79)),ROUND(E79*F79,2),"")</f>
        <v>304</v>
      </c>
      <c r="H79" s="10" t="s">
        <v>141</v>
      </c>
    </row>
    <row r="80" spans="1:8" ht="26" customHeight="1">
      <c r="A80" s="9" t="s">
        <v>204</v>
      </c>
      <c r="B80" s="10" t="s">
        <v>205</v>
      </c>
      <c r="C80" s="10" t="s">
        <v>206</v>
      </c>
      <c r="D80" s="9" t="s">
        <v>207</v>
      </c>
      <c r="E80" s="11">
        <v>23</v>
      </c>
      <c r="F80" s="12">
        <v>331</v>
      </c>
      <c r="G80" s="12">
        <f>IF(AND(ISNUMBER(E80),ISNUMBER(F80)),ROUND(E80*F80,2),"")</f>
        <v>7613</v>
      </c>
      <c r="H80" s="10"/>
    </row>
    <row r="81" spans="1:8" ht="26" customHeight="1">
      <c r="A81" s="9" t="s">
        <v>208</v>
      </c>
      <c r="B81" s="10" t="s">
        <v>209</v>
      </c>
      <c r="C81" s="10" t="s">
        <v>206</v>
      </c>
      <c r="D81" s="9" t="s">
        <v>207</v>
      </c>
      <c r="E81" s="11">
        <v>7</v>
      </c>
      <c r="F81" s="12">
        <v>138</v>
      </c>
      <c r="G81" s="12">
        <f>IF(AND(ISNUMBER(E81),ISNUMBER(F81)),ROUND(E81*F81,2),"")</f>
        <v>966</v>
      </c>
      <c r="H81" s="10"/>
    </row>
    <row r="82" spans="1:8" ht="26" customHeight="1">
      <c r="A82" s="9" t="s">
        <v>210</v>
      </c>
      <c r="B82" s="10" t="s">
        <v>211</v>
      </c>
      <c r="C82" s="10" t="s">
        <v>212</v>
      </c>
      <c r="D82" s="9" t="s">
        <v>207</v>
      </c>
      <c r="E82" s="11">
        <v>7</v>
      </c>
      <c r="F82" s="12">
        <v>193</v>
      </c>
      <c r="G82" s="12">
        <f>IF(AND(ISNUMBER(E82),ISNUMBER(F82)),ROUND(E82*F82,2),"")</f>
        <v>1351</v>
      </c>
      <c r="H82" s="10"/>
    </row>
    <row r="83" spans="1:8" ht="26" customHeight="1">
      <c r="A83" s="9" t="s">
        <v>213</v>
      </c>
      <c r="B83" s="10" t="s">
        <v>214</v>
      </c>
      <c r="C83" s="10" t="s">
        <v>212</v>
      </c>
      <c r="D83" s="9" t="s">
        <v>207</v>
      </c>
      <c r="E83" s="11">
        <v>15</v>
      </c>
      <c r="F83" s="12">
        <v>124</v>
      </c>
      <c r="G83" s="12">
        <f>IF(AND(ISNUMBER(E83),ISNUMBER(F83)),ROUND(E83*F83,2),"")</f>
        <v>1860</v>
      </c>
      <c r="H83" s="10"/>
    </row>
    <row r="84" spans="1:8" ht="26" customHeight="1">
      <c r="A84" s="9" t="s">
        <v>215</v>
      </c>
      <c r="B84" s="10" t="s">
        <v>216</v>
      </c>
      <c r="C84" s="10" t="s">
        <v>217</v>
      </c>
      <c r="D84" s="9" t="s">
        <v>207</v>
      </c>
      <c r="E84" s="11">
        <v>2</v>
      </c>
      <c r="F84" s="12">
        <v>248</v>
      </c>
      <c r="G84" s="12">
        <f>IF(AND(ISNUMBER(E84),ISNUMBER(F84)),ROUND(E84*F84,2),"")</f>
        <v>496</v>
      </c>
      <c r="H84" s="10"/>
    </row>
    <row r="85" spans="1:8" ht="26" customHeight="1">
      <c r="A85" s="9" t="s">
        <v>218</v>
      </c>
      <c r="B85" s="10" t="s">
        <v>219</v>
      </c>
      <c r="C85" s="10" t="s">
        <v>220</v>
      </c>
      <c r="D85" s="9" t="s">
        <v>64</v>
      </c>
      <c r="E85" s="11">
        <v>2</v>
      </c>
      <c r="F85" s="12">
        <v>49.5</v>
      </c>
      <c r="G85" s="12">
        <f>IF(AND(ISNUMBER(E85),ISNUMBER(F85)),ROUND(E85*F85,2),"")</f>
        <v>99.0</v>
      </c>
      <c r="H85" s="10"/>
    </row>
    <row r="86" spans="1:8" ht="26" customHeight="1">
      <c r="A86" s="9" t="s">
        <v>221</v>
      </c>
      <c r="B86" s="10" t="s">
        <v>222</v>
      </c>
      <c r="C86" s="10" t="s">
        <v>223</v>
      </c>
      <c r="D86" s="9" t="s">
        <v>16</v>
      </c>
      <c r="E86" s="11">
        <v>1</v>
      </c>
      <c r="F86" s="12">
        <v>5500</v>
      </c>
      <c r="G86" s="12">
        <f>IF(AND(ISNUMBER(E86),ISNUMBER(F86)),ROUND(E86*F86,2),"")</f>
        <v>5500</v>
      </c>
      <c r="H86" s="10"/>
    </row>
    <row r="87" spans="1:8" ht="26" customHeight="1">
      <c r="A87" s="9" t="s">
        <v>224</v>
      </c>
      <c r="B87" s="10" t="s">
        <v>225</v>
      </c>
      <c r="C87" s="10" t="s">
        <v>226</v>
      </c>
      <c r="D87" s="9" t="s">
        <v>16</v>
      </c>
      <c r="E87" s="11">
        <v>1</v>
      </c>
      <c r="F87" s="12">
        <v>4970</v>
      </c>
      <c r="G87" s="12">
        <f>IF(AND(ISNUMBER(E87),ISNUMBER(F87)),ROUND(E87*F87,2),"")</f>
        <v>4970</v>
      </c>
      <c r="H87" s="10"/>
    </row>
    <row r="88" spans="1:8" ht="26" customHeight="1">
      <c r="A88" s="9" t="s">
        <v>227</v>
      </c>
      <c r="B88" s="10" t="s">
        <v>228</v>
      </c>
      <c r="C88" s="10" t="s">
        <v>229</v>
      </c>
      <c r="D88" s="9" t="s">
        <v>64</v>
      </c>
      <c r="E88" s="11">
        <v>1</v>
      </c>
      <c r="F88" s="12">
        <v>331</v>
      </c>
      <c r="G88" s="12">
        <f>IF(AND(ISNUMBER(E88),ISNUMBER(F88)),ROUND(E88*F88,2),"")</f>
        <v>331</v>
      </c>
      <c r="H88" s="10" t="s">
        <v>141</v>
      </c>
    </row>
    <row r="89" spans="1:8" ht="30" customHeight="1">
      <c r="A89" s="9" t="s">
        <v>230</v>
      </c>
      <c r="B89" s="10" t="s">
        <v>231</v>
      </c>
      <c r="C89" s="10" t="s">
        <v>232</v>
      </c>
      <c r="D89" s="9" t="s">
        <v>16</v>
      </c>
      <c r="E89" s="11">
        <v>1</v>
      </c>
      <c r="F89" s="12">
        <v>690</v>
      </c>
      <c r="G89" s="12">
        <f>IF(AND(ISNUMBER(E89),ISNUMBER(F89)),ROUND(E89*F89,2),"")</f>
        <v>690</v>
      </c>
      <c r="H89" s="10"/>
    </row>
    <row r="90" spans="1:8">
      <c r="A90" s="13" t="s">
        <v>233</v>
      </c>
      <c r="B90" s="13"/>
      <c r="C90" s="13"/>
      <c r="D90" s="13"/>
      <c r="E90" s="13"/>
      <c r="F90" s="13"/>
      <c r="G90" s="14">
        <f>IF(COUNT(G57:G89)=0,"",SUM(G57:G89))</f>
        <v>36513.5</v>
      </c>
      <c r="H90" s="13"/>
    </row>
    <row r="92" spans="1:8" ht="22" customHeight="1">
      <c r="A92" s="8" t="s">
        <v>234</v>
      </c>
      <c r="B92" s="8"/>
      <c r="C92" s="8"/>
      <c r="D92" s="8"/>
      <c r="E92" s="8"/>
      <c r="F92" s="8"/>
      <c r="G92" s="8"/>
      <c r="H92" s="8"/>
    </row>
    <row r="93" spans="1:8" ht="26" customHeight="1">
      <c r="A93" s="9" t="s">
        <v>235</v>
      </c>
      <c r="B93" s="10" t="s">
        <v>236</v>
      </c>
      <c r="C93" s="10" t="s">
        <v>237</v>
      </c>
      <c r="D93" s="9" t="s">
        <v>64</v>
      </c>
      <c r="E93" s="11">
        <v>119</v>
      </c>
      <c r="F93" s="12">
        <v>113</v>
      </c>
      <c r="G93" s="12">
        <f>IF(AND(ISNUMBER(E93),ISNUMBER(F93)),ROUND(E93*F93,2),"")</f>
        <v>13447</v>
      </c>
      <c r="H93" s="10"/>
    </row>
    <row r="94" spans="1:8" ht="26" customHeight="1">
      <c r="A94" s="9" t="s">
        <v>238</v>
      </c>
      <c r="B94" s="10" t="s">
        <v>239</v>
      </c>
      <c r="C94" s="10" t="s">
        <v>240</v>
      </c>
      <c r="D94" s="9" t="s">
        <v>64</v>
      </c>
      <c r="E94" s="11">
        <v>51</v>
      </c>
      <c r="F94" s="12">
        <v>134</v>
      </c>
      <c r="G94" s="12">
        <f>IF(AND(ISNUMBER(E94),ISNUMBER(F94)),ROUND(E94*F94,2),"")</f>
        <v>6834</v>
      </c>
      <c r="H94" s="10"/>
    </row>
    <row r="95" spans="1:8" ht="26" customHeight="1">
      <c r="A95" s="9" t="s">
        <v>241</v>
      </c>
      <c r="B95" s="10" t="s">
        <v>242</v>
      </c>
      <c r="C95" s="10" t="s">
        <v>243</v>
      </c>
      <c r="D95" s="9" t="s">
        <v>64</v>
      </c>
      <c r="E95" s="11">
        <v>18</v>
      </c>
      <c r="F95" s="12">
        <v>159</v>
      </c>
      <c r="G95" s="12">
        <f>IF(AND(ISNUMBER(E95),ISNUMBER(F95)),ROUND(E95*F95,2),"")</f>
        <v>2862</v>
      </c>
      <c r="H95" s="10"/>
    </row>
    <row r="96" spans="1:8" ht="26" customHeight="1">
      <c r="A96" s="9" t="s">
        <v>244</v>
      </c>
      <c r="B96" s="10" t="s">
        <v>245</v>
      </c>
      <c r="C96" s="10" t="s">
        <v>246</v>
      </c>
      <c r="D96" s="9" t="s">
        <v>64</v>
      </c>
      <c r="E96" s="11">
        <v>1</v>
      </c>
      <c r="F96" s="12">
        <v>376</v>
      </c>
      <c r="G96" s="12">
        <f>IF(AND(ISNUMBER(E96),ISNUMBER(F96)),ROUND(E96*F96,2),"")</f>
        <v>376</v>
      </c>
      <c r="H96" s="10"/>
    </row>
    <row r="97" spans="1:8" ht="30" customHeight="1">
      <c r="A97" s="9" t="s">
        <v>247</v>
      </c>
      <c r="B97" s="10" t="s">
        <v>248</v>
      </c>
      <c r="C97" s="10" t="s">
        <v>249</v>
      </c>
      <c r="D97" s="9" t="s">
        <v>16</v>
      </c>
      <c r="E97" s="11">
        <v>1</v>
      </c>
      <c r="F97" s="12">
        <v>2350</v>
      </c>
      <c r="G97" s="12">
        <f>IF(AND(ISNUMBER(E97),ISNUMBER(F97)),ROUND(E97*F97,2),"")</f>
        <v>2350</v>
      </c>
      <c r="H97" s="10"/>
    </row>
    <row r="98" spans="1:8" ht="30" customHeight="1">
      <c r="A98" s="9" t="s">
        <v>250</v>
      </c>
      <c r="B98" s="10" t="s">
        <v>251</v>
      </c>
      <c r="C98" s="10" t="s">
        <v>252</v>
      </c>
      <c r="D98" s="9" t="s">
        <v>16</v>
      </c>
      <c r="E98" s="11">
        <v>1</v>
      </c>
      <c r="F98" s="12">
        <v>1930</v>
      </c>
      <c r="G98" s="12">
        <f>IF(AND(ISNUMBER(E98),ISNUMBER(F98)),ROUND(E98*F98,2),"")</f>
        <v>1930</v>
      </c>
      <c r="H98" s="10"/>
    </row>
    <row r="99" spans="1:8" ht="30" customHeight="1">
      <c r="A99" s="9" t="s">
        <v>253</v>
      </c>
      <c r="B99" s="10" t="s">
        <v>254</v>
      </c>
      <c r="C99" s="10" t="s">
        <v>255</v>
      </c>
      <c r="D99" s="9" t="s">
        <v>16</v>
      </c>
      <c r="E99" s="11">
        <v>1</v>
      </c>
      <c r="F99" s="12">
        <v>690</v>
      </c>
      <c r="G99" s="12">
        <f>IF(AND(ISNUMBER(E99),ISNUMBER(F99)),ROUND(E99*F99,2),"")</f>
        <v>690</v>
      </c>
      <c r="H99" s="10"/>
    </row>
    <row r="100" spans="1:8" ht="26" customHeight="1">
      <c r="A100" s="9" t="s">
        <v>256</v>
      </c>
      <c r="B100" s="10" t="s">
        <v>257</v>
      </c>
      <c r="C100" s="10" t="s">
        <v>258</v>
      </c>
      <c r="D100" s="9" t="s">
        <v>64</v>
      </c>
      <c r="E100" s="11">
        <v>9</v>
      </c>
      <c r="F100" s="12">
        <v>159</v>
      </c>
      <c r="G100" s="12">
        <f>IF(AND(ISNUMBER(E100),ISNUMBER(F100)),ROUND(E100*F100,2),"")</f>
        <v>1431</v>
      </c>
      <c r="H100" s="10"/>
    </row>
    <row r="101" spans="1:8" ht="26" customHeight="1">
      <c r="A101" s="9" t="s">
        <v>259</v>
      </c>
      <c r="B101" s="10" t="s">
        <v>260</v>
      </c>
      <c r="C101" s="10" t="s">
        <v>261</v>
      </c>
      <c r="D101" s="9" t="s">
        <v>207</v>
      </c>
      <c r="E101" s="11">
        <v>8</v>
      </c>
      <c r="F101" s="12">
        <v>313</v>
      </c>
      <c r="G101" s="12">
        <f>IF(AND(ISNUMBER(E101),ISNUMBER(F101)),ROUND(E101*F101,2),"")</f>
        <v>2504</v>
      </c>
      <c r="H101" s="10"/>
    </row>
    <row r="102" spans="1:8" ht="56" customHeight="1">
      <c r="A102" s="9" t="s">
        <v>262</v>
      </c>
      <c r="B102" s="10" t="s">
        <v>263</v>
      </c>
      <c r="C102" s="10" t="s">
        <v>264</v>
      </c>
      <c r="D102" s="9" t="s">
        <v>16</v>
      </c>
      <c r="E102" s="11">
        <v>1</v>
      </c>
      <c r="F102" s="12">
        <v>1460</v>
      </c>
      <c r="G102" s="12">
        <f>IF(AND(ISNUMBER(E102),ISNUMBER(F102)),ROUND(E102*F102,2),"")</f>
        <v>1460</v>
      </c>
      <c r="H102" s="10"/>
    </row>
    <row r="103" spans="1:8" ht="26" customHeight="1">
      <c r="A103" s="9" t="s">
        <v>265</v>
      </c>
      <c r="B103" s="10" t="s">
        <v>266</v>
      </c>
      <c r="C103" s="10" t="s">
        <v>267</v>
      </c>
      <c r="D103" s="9" t="s">
        <v>64</v>
      </c>
      <c r="E103" s="11">
        <v>1</v>
      </c>
      <c r="F103" s="12">
        <v>146</v>
      </c>
      <c r="G103" s="12">
        <f>IF(AND(ISNUMBER(E103),ISNUMBER(F103)),ROUND(E103*F103,2),"")</f>
        <v>146</v>
      </c>
      <c r="H103" s="10"/>
    </row>
    <row r="104" spans="1:8">
      <c r="A104" s="13" t="s">
        <v>268</v>
      </c>
      <c r="B104" s="13"/>
      <c r="C104" s="13"/>
      <c r="D104" s="13"/>
      <c r="E104" s="13"/>
      <c r="F104" s="13"/>
      <c r="G104" s="14">
        <f>IF(COUNT(G93:G103)=0,"",SUM(G93:G103))</f>
        <v>34030.0</v>
      </c>
      <c r="H104" s="13"/>
    </row>
    <row r="106" spans="1:8" ht="22" customHeight="1">
      <c r="A106" s="8" t="s">
        <v>269</v>
      </c>
      <c r="B106" s="8"/>
      <c r="C106" s="8"/>
      <c r="D106" s="8"/>
      <c r="E106" s="8"/>
      <c r="F106" s="8"/>
      <c r="G106" s="8"/>
      <c r="H106" s="8"/>
    </row>
    <row r="107" spans="1:8" ht="26" customHeight="1">
      <c r="A107" s="9" t="s">
        <v>270</v>
      </c>
      <c r="B107" s="10" t="s">
        <v>271</v>
      </c>
      <c r="C107" s="10" t="s">
        <v>272</v>
      </c>
      <c r="D107" s="9" t="s">
        <v>64</v>
      </c>
      <c r="E107" s="11">
        <v>62</v>
      </c>
      <c r="F107" s="12">
        <v>63</v>
      </c>
      <c r="G107" s="12">
        <f>IF(AND(ISNUMBER(E107),ISNUMBER(F107)),ROUND(E107*F107,2),"")</f>
        <v>3906</v>
      </c>
      <c r="H107" s="10"/>
    </row>
    <row r="108" spans="1:8" ht="26" customHeight="1">
      <c r="A108" s="9" t="s">
        <v>273</v>
      </c>
      <c r="B108" s="10" t="s">
        <v>274</v>
      </c>
      <c r="C108" s="10" t="s">
        <v>275</v>
      </c>
      <c r="D108" s="9" t="s">
        <v>64</v>
      </c>
      <c r="E108" s="11">
        <v>16</v>
      </c>
      <c r="F108" s="12">
        <v>83</v>
      </c>
      <c r="G108" s="12">
        <f>IF(AND(ISNUMBER(E108),ISNUMBER(F108)),ROUND(E108*F108,2),"")</f>
        <v>1328</v>
      </c>
      <c r="H108" s="10"/>
    </row>
    <row r="109" spans="1:8" ht="43" customHeight="1">
      <c r="A109" s="9" t="s">
        <v>276</v>
      </c>
      <c r="B109" s="10" t="s">
        <v>277</v>
      </c>
      <c r="C109" s="10" t="s">
        <v>278</v>
      </c>
      <c r="D109" s="9" t="s">
        <v>64</v>
      </c>
      <c r="E109" s="11">
        <v>3</v>
      </c>
      <c r="F109" s="12">
        <v>100</v>
      </c>
      <c r="G109" s="12">
        <f>IF(AND(ISNUMBER(E109),ISNUMBER(F109)),ROUND(E109*F109,2),"")</f>
        <v>300</v>
      </c>
      <c r="H109" s="10"/>
    </row>
    <row r="110" spans="1:8" ht="26" customHeight="1">
      <c r="A110" s="9" t="s">
        <v>279</v>
      </c>
      <c r="B110" s="10" t="s">
        <v>280</v>
      </c>
      <c r="C110" s="10" t="s">
        <v>281</v>
      </c>
      <c r="D110" s="9" t="s">
        <v>64</v>
      </c>
      <c r="E110" s="11">
        <v>15</v>
      </c>
      <c r="F110" s="12">
        <v>92</v>
      </c>
      <c r="G110" s="12">
        <f>IF(AND(ISNUMBER(E110),ISNUMBER(F110)),ROUND(E110*F110,2),"")</f>
        <v>1380</v>
      </c>
      <c r="H110" s="10" t="s">
        <v>141</v>
      </c>
    </row>
    <row r="111" spans="1:8" ht="30" customHeight="1">
      <c r="A111" s="9" t="s">
        <v>282</v>
      </c>
      <c r="B111" s="10" t="s">
        <v>283</v>
      </c>
      <c r="C111" s="10" t="s">
        <v>284</v>
      </c>
      <c r="D111" s="9" t="s">
        <v>64</v>
      </c>
      <c r="E111" s="11">
        <v>22</v>
      </c>
      <c r="F111" s="12">
        <v>134</v>
      </c>
      <c r="G111" s="12">
        <f>IF(AND(ISNUMBER(E111),ISNUMBER(F111)),ROUND(E111*F111,2),"")</f>
        <v>2948</v>
      </c>
      <c r="H111" s="10" t="s">
        <v>141</v>
      </c>
    </row>
    <row r="112" spans="1:8" ht="26" customHeight="1">
      <c r="A112" s="9" t="s">
        <v>285</v>
      </c>
      <c r="B112" s="10" t="s">
        <v>286</v>
      </c>
      <c r="C112" s="10" t="s">
        <v>156</v>
      </c>
      <c r="D112" s="9" t="s">
        <v>64</v>
      </c>
      <c r="E112" s="11">
        <v>30</v>
      </c>
      <c r="F112" s="12">
        <v>92</v>
      </c>
      <c r="G112" s="12">
        <f>IF(AND(ISNUMBER(E112),ISNUMBER(F112)),ROUND(E112*F112,2),"")</f>
        <v>2760</v>
      </c>
      <c r="H112" s="10" t="s">
        <v>141</v>
      </c>
    </row>
    <row r="113" spans="1:8" ht="26" customHeight="1">
      <c r="A113" s="9" t="s">
        <v>287</v>
      </c>
      <c r="B113" s="10" t="s">
        <v>288</v>
      </c>
      <c r="C113" s="10" t="s">
        <v>156</v>
      </c>
      <c r="D113" s="9" t="s">
        <v>64</v>
      </c>
      <c r="E113" s="11">
        <v>35</v>
      </c>
      <c r="F113" s="12">
        <v>125</v>
      </c>
      <c r="G113" s="12">
        <f>IF(AND(ISNUMBER(E113),ISNUMBER(F113)),ROUND(E113*F113,2),"")</f>
        <v>4375</v>
      </c>
      <c r="H113" s="10" t="s">
        <v>141</v>
      </c>
    </row>
    <row r="114" spans="1:8" ht="26" customHeight="1">
      <c r="A114" s="9" t="s">
        <v>289</v>
      </c>
      <c r="B114" s="10" t="s">
        <v>290</v>
      </c>
      <c r="C114" s="10" t="s">
        <v>156</v>
      </c>
      <c r="D114" s="9" t="s">
        <v>64</v>
      </c>
      <c r="E114" s="11">
        <v>25</v>
      </c>
      <c r="F114" s="12">
        <v>35.5</v>
      </c>
      <c r="G114" s="12">
        <f>IF(AND(ISNUMBER(E114),ISNUMBER(F114)),ROUND(E114*F114,2),"")</f>
        <v>887.5</v>
      </c>
      <c r="H114" s="10" t="s">
        <v>141</v>
      </c>
    </row>
    <row r="115" spans="1:8" ht="26" customHeight="1">
      <c r="A115" s="9" t="s">
        <v>291</v>
      </c>
      <c r="B115" s="10" t="s">
        <v>292</v>
      </c>
      <c r="C115" s="10" t="s">
        <v>293</v>
      </c>
      <c r="D115" s="9" t="s">
        <v>64</v>
      </c>
      <c r="E115" s="11">
        <v>11</v>
      </c>
      <c r="F115" s="12">
        <v>146</v>
      </c>
      <c r="G115" s="12">
        <f>IF(AND(ISNUMBER(E115),ISNUMBER(F115)),ROUND(E115*F115,2),"")</f>
        <v>1606</v>
      </c>
      <c r="H115" s="10" t="s">
        <v>141</v>
      </c>
    </row>
    <row r="116" spans="1:8" ht="26" customHeight="1">
      <c r="A116" s="9" t="s">
        <v>294</v>
      </c>
      <c r="B116" s="10" t="s">
        <v>295</v>
      </c>
      <c r="C116" s="10" t="s">
        <v>296</v>
      </c>
      <c r="D116" s="9" t="s">
        <v>64</v>
      </c>
      <c r="E116" s="11">
        <v>2</v>
      </c>
      <c r="F116" s="12">
        <v>188</v>
      </c>
      <c r="G116" s="12">
        <f>IF(AND(ISNUMBER(E116),ISNUMBER(F116)),ROUND(E116*F116,2),"")</f>
        <v>376</v>
      </c>
      <c r="H116" s="10" t="s">
        <v>141</v>
      </c>
    </row>
    <row r="117" spans="1:8" ht="26" customHeight="1">
      <c r="A117" s="9" t="s">
        <v>297</v>
      </c>
      <c r="B117" s="10" t="s">
        <v>298</v>
      </c>
      <c r="C117" s="10" t="s">
        <v>299</v>
      </c>
      <c r="D117" s="9" t="s">
        <v>64</v>
      </c>
      <c r="E117" s="11">
        <v>9</v>
      </c>
      <c r="F117" s="12">
        <v>125</v>
      </c>
      <c r="G117" s="12">
        <f>IF(AND(ISNUMBER(E117),ISNUMBER(F117)),ROUND(E117*F117,2),"")</f>
        <v>1125</v>
      </c>
      <c r="H117" s="10" t="s">
        <v>141</v>
      </c>
    </row>
    <row r="118" spans="1:8" ht="26" customHeight="1">
      <c r="A118" s="9" t="s">
        <v>300</v>
      </c>
      <c r="B118" s="10" t="s">
        <v>301</v>
      </c>
      <c r="C118" s="10" t="s">
        <v>302</v>
      </c>
      <c r="D118" s="9" t="s">
        <v>64</v>
      </c>
      <c r="E118" s="11">
        <v>25</v>
      </c>
      <c r="F118" s="12">
        <v>117</v>
      </c>
      <c r="G118" s="12">
        <f>IF(AND(ISNUMBER(E118),ISNUMBER(F118)),ROUND(E118*F118,2),"")</f>
        <v>2925</v>
      </c>
      <c r="H118" s="10" t="s">
        <v>141</v>
      </c>
    </row>
    <row r="119" spans="1:8" ht="26" customHeight="1">
      <c r="A119" s="9" t="s">
        <v>303</v>
      </c>
      <c r="B119" s="10" t="s">
        <v>304</v>
      </c>
      <c r="C119" s="10" t="s">
        <v>156</v>
      </c>
      <c r="D119" s="9" t="s">
        <v>64</v>
      </c>
      <c r="E119" s="11">
        <v>8</v>
      </c>
      <c r="F119" s="12">
        <v>100</v>
      </c>
      <c r="G119" s="12">
        <f>IF(AND(ISNUMBER(E119),ISNUMBER(F119)),ROUND(E119*F119,2),"")</f>
        <v>800</v>
      </c>
      <c r="H119" s="10" t="s">
        <v>141</v>
      </c>
    </row>
    <row r="120" spans="1:8" ht="26" customHeight="1">
      <c r="A120" s="9" t="s">
        <v>305</v>
      </c>
      <c r="B120" s="10" t="s">
        <v>306</v>
      </c>
      <c r="C120" s="10" t="s">
        <v>156</v>
      </c>
      <c r="D120" s="9" t="s">
        <v>64</v>
      </c>
      <c r="E120" s="11">
        <v>5</v>
      </c>
      <c r="F120" s="12">
        <v>83</v>
      </c>
      <c r="G120" s="12">
        <f>IF(AND(ISNUMBER(E120),ISNUMBER(F120)),ROUND(E120*F120,2),"")</f>
        <v>415</v>
      </c>
      <c r="H120" s="10" t="s">
        <v>141</v>
      </c>
    </row>
    <row r="121" spans="1:8" ht="26" customHeight="1">
      <c r="A121" s="9" t="s">
        <v>307</v>
      </c>
      <c r="B121" s="10" t="s">
        <v>308</v>
      </c>
      <c r="C121" s="10" t="s">
        <v>156</v>
      </c>
      <c r="D121" s="9" t="s">
        <v>64</v>
      </c>
      <c r="E121" s="11">
        <v>10</v>
      </c>
      <c r="F121" s="12">
        <v>125</v>
      </c>
      <c r="G121" s="12">
        <f>IF(AND(ISNUMBER(E121),ISNUMBER(F121)),ROUND(E121*F121,2),"")</f>
        <v>1250</v>
      </c>
      <c r="H121" s="10" t="s">
        <v>141</v>
      </c>
    </row>
    <row r="122" spans="1:8" ht="26" customHeight="1">
      <c r="A122" s="9" t="s">
        <v>309</v>
      </c>
      <c r="B122" s="10" t="s">
        <v>310</v>
      </c>
      <c r="C122" s="10" t="s">
        <v>156</v>
      </c>
      <c r="D122" s="9" t="s">
        <v>64</v>
      </c>
      <c r="E122" s="11">
        <v>6</v>
      </c>
      <c r="F122" s="12">
        <v>217</v>
      </c>
      <c r="G122" s="12">
        <f>IF(AND(ISNUMBER(E122),ISNUMBER(F122)),ROUND(E122*F122,2),"")</f>
        <v>1302</v>
      </c>
      <c r="H122" s="10" t="s">
        <v>141</v>
      </c>
    </row>
    <row r="123" spans="1:8" ht="26" customHeight="1">
      <c r="A123" s="9" t="s">
        <v>311</v>
      </c>
      <c r="B123" s="10" t="s">
        <v>312</v>
      </c>
      <c r="C123" s="10" t="s">
        <v>313</v>
      </c>
      <c r="D123" s="9" t="s">
        <v>64</v>
      </c>
      <c r="E123" s="11">
        <v>111</v>
      </c>
      <c r="F123" s="12">
        <v>41.5</v>
      </c>
      <c r="G123" s="12">
        <f>IF(AND(ISNUMBER(E123),ISNUMBER(F123)),ROUND(E123*F123,2),"")</f>
        <v>4606.5</v>
      </c>
      <c r="H123" s="10" t="s">
        <v>141</v>
      </c>
    </row>
    <row r="124" spans="1:8" ht="26" customHeight="1">
      <c r="A124" s="9" t="s">
        <v>314</v>
      </c>
      <c r="B124" s="10" t="s">
        <v>315</v>
      </c>
      <c r="C124" s="10" t="s">
        <v>316</v>
      </c>
      <c r="D124" s="9" t="s">
        <v>64</v>
      </c>
      <c r="E124" s="11">
        <v>28</v>
      </c>
      <c r="F124" s="12">
        <v>71</v>
      </c>
      <c r="G124" s="12">
        <f>IF(AND(ISNUMBER(E124),ISNUMBER(F124)),ROUND(E124*F124,2),"")</f>
        <v>1988</v>
      </c>
      <c r="H124" s="10" t="s">
        <v>141</v>
      </c>
    </row>
    <row r="125" spans="1:8" ht="26" customHeight="1">
      <c r="A125" s="9" t="s">
        <v>317</v>
      </c>
      <c r="B125" s="10" t="s">
        <v>318</v>
      </c>
      <c r="C125" s="10" t="s">
        <v>319</v>
      </c>
      <c r="D125" s="9" t="s">
        <v>64</v>
      </c>
      <c r="E125" s="11">
        <v>14</v>
      </c>
      <c r="F125" s="12">
        <v>125</v>
      </c>
      <c r="G125" s="12">
        <f>IF(AND(ISNUMBER(E125),ISNUMBER(F125)),ROUND(E125*F125,2),"")</f>
        <v>1750</v>
      </c>
      <c r="H125" s="10"/>
    </row>
    <row r="126" spans="1:8">
      <c r="A126" s="13" t="s">
        <v>320</v>
      </c>
      <c r="B126" s="13"/>
      <c r="C126" s="13"/>
      <c r="D126" s="13"/>
      <c r="E126" s="13"/>
      <c r="F126" s="13"/>
      <c r="G126" s="14">
        <f>IF(COUNT(G107:G125)=0,"",SUM(G107:G125))</f>
        <v>36028.0</v>
      </c>
      <c r="H126" s="13"/>
    </row>
    <row r="128" spans="1:8" ht="22" customHeight="1">
      <c r="A128" s="8" t="s">
        <v>321</v>
      </c>
      <c r="B128" s="8"/>
      <c r="C128" s="8"/>
      <c r="D128" s="8"/>
      <c r="E128" s="8"/>
      <c r="F128" s="8"/>
      <c r="G128" s="8"/>
      <c r="H128" s="8"/>
    </row>
    <row r="129" spans="1:8" ht="30" customHeight="1">
      <c r="A129" s="9" t="s">
        <v>322</v>
      </c>
      <c r="B129" s="10" t="s">
        <v>323</v>
      </c>
      <c r="C129" s="10" t="s">
        <v>324</v>
      </c>
      <c r="D129" s="9" t="s">
        <v>41</v>
      </c>
      <c r="E129" s="11">
        <v>64</v>
      </c>
      <c r="F129" s="12">
        <v>51</v>
      </c>
      <c r="G129" s="12">
        <f>IF(AND(ISNUMBER(E129),ISNUMBER(F129)),ROUND(E129*F129,2),"")</f>
        <v>3264</v>
      </c>
      <c r="H129" s="10"/>
    </row>
    <row r="130" spans="1:8" ht="30" customHeight="1">
      <c r="A130" s="9" t="s">
        <v>325</v>
      </c>
      <c r="B130" s="10" t="s">
        <v>326</v>
      </c>
      <c r="C130" s="10" t="s">
        <v>324</v>
      </c>
      <c r="D130" s="9" t="s">
        <v>41</v>
      </c>
      <c r="E130" s="11">
        <v>17</v>
      </c>
      <c r="F130" s="12">
        <v>51</v>
      </c>
      <c r="G130" s="12">
        <f>IF(AND(ISNUMBER(E130),ISNUMBER(F130)),ROUND(E130*F130,2),"")</f>
        <v>867</v>
      </c>
      <c r="H130" s="10"/>
    </row>
    <row r="131" spans="1:8" ht="30" customHeight="1">
      <c r="A131" s="9" t="s">
        <v>327</v>
      </c>
      <c r="B131" s="10" t="s">
        <v>328</v>
      </c>
      <c r="C131" s="10" t="s">
        <v>324</v>
      </c>
      <c r="D131" s="9" t="s">
        <v>41</v>
      </c>
      <c r="E131" s="11">
        <v>52</v>
      </c>
      <c r="F131" s="12">
        <v>51</v>
      </c>
      <c r="G131" s="12">
        <f>IF(AND(ISNUMBER(E131),ISNUMBER(F131)),ROUND(E131*F131,2),"")</f>
        <v>2652</v>
      </c>
      <c r="H131" s="10"/>
    </row>
    <row r="132" spans="1:8" ht="43" customHeight="1">
      <c r="A132" s="9" t="s">
        <v>329</v>
      </c>
      <c r="B132" s="10" t="s">
        <v>330</v>
      </c>
      <c r="C132" s="10" t="s">
        <v>331</v>
      </c>
      <c r="D132" s="9" t="s">
        <v>41</v>
      </c>
      <c r="E132" s="11">
        <v>33.3</v>
      </c>
      <c r="F132" s="12">
        <v>44.5</v>
      </c>
      <c r="G132" s="12">
        <f>IF(AND(ISNUMBER(E132),ISNUMBER(F132)),ROUND(E132*F132,2),"")</f>
        <v>1481.85</v>
      </c>
      <c r="H132" s="10"/>
    </row>
    <row r="133" spans="1:8">
      <c r="A133" s="13" t="s">
        <v>332</v>
      </c>
      <c r="B133" s="13"/>
      <c r="C133" s="13"/>
      <c r="D133" s="13"/>
      <c r="E133" s="13"/>
      <c r="F133" s="13"/>
      <c r="G133" s="14">
        <f>IF(COUNT(G129:G132)=0,"",SUM(G129:G132))</f>
        <v>8264.85</v>
      </c>
      <c r="H133" s="13"/>
    </row>
    <row r="135" spans="1:8" ht="22" customHeight="1">
      <c r="A135" s="8" t="s">
        <v>333</v>
      </c>
      <c r="B135" s="8"/>
      <c r="C135" s="8"/>
      <c r="D135" s="8"/>
      <c r="E135" s="8"/>
      <c r="F135" s="8"/>
      <c r="G135" s="8"/>
      <c r="H135" s="8"/>
    </row>
    <row r="136" spans="1:8" ht="30" customHeight="1">
      <c r="A136" s="9" t="s">
        <v>334</v>
      </c>
      <c r="B136" s="10" t="s">
        <v>335</v>
      </c>
      <c r="C136" s="10" t="s">
        <v>336</v>
      </c>
      <c r="D136" s="9" t="s">
        <v>41</v>
      </c>
      <c r="E136" s="11">
        <v>186</v>
      </c>
      <c r="F136" s="12">
        <v>30.5</v>
      </c>
      <c r="G136" s="12">
        <f>IF(AND(ISNUMBER(E136),ISNUMBER(F136)),ROUND(E136*F136,2),"")</f>
        <v>5673.0</v>
      </c>
      <c r="H136" s="10"/>
    </row>
    <row r="137" spans="1:8" ht="30" customHeight="1">
      <c r="A137" s="9" t="s">
        <v>337</v>
      </c>
      <c r="B137" s="10" t="s">
        <v>338</v>
      </c>
      <c r="C137" s="10" t="s">
        <v>339</v>
      </c>
      <c r="D137" s="9" t="s">
        <v>16</v>
      </c>
      <c r="E137" s="11">
        <v>5</v>
      </c>
      <c r="F137" s="12">
        <v>138</v>
      </c>
      <c r="G137" s="12">
        <f>IF(AND(ISNUMBER(E137),ISNUMBER(F137)),ROUND(E137*F137,2),"")</f>
        <v>690</v>
      </c>
      <c r="H137" s="10"/>
    </row>
    <row r="138" spans="1:8" ht="26" customHeight="1">
      <c r="A138" s="9" t="s">
        <v>340</v>
      </c>
      <c r="B138" s="10" t="s">
        <v>341</v>
      </c>
      <c r="C138" s="10" t="s">
        <v>342</v>
      </c>
      <c r="D138" s="9" t="s">
        <v>41</v>
      </c>
      <c r="E138" s="11">
        <v>52.7</v>
      </c>
      <c r="F138" s="12">
        <v>47</v>
      </c>
      <c r="G138" s="12">
        <f>IF(AND(ISNUMBER(E138),ISNUMBER(F138)),ROUND(E138*F138,2),"")</f>
        <v>2476.9</v>
      </c>
      <c r="H138" s="10"/>
    </row>
    <row r="139" spans="1:8">
      <c r="A139" s="13" t="s">
        <v>343</v>
      </c>
      <c r="B139" s="13"/>
      <c r="C139" s="13"/>
      <c r="D139" s="13"/>
      <c r="E139" s="13"/>
      <c r="F139" s="13"/>
      <c r="G139" s="14">
        <f>IF(COUNT(G136:G138)=0,"",SUM(G136:G138))</f>
        <v>8839.9</v>
      </c>
      <c r="H139" s="13"/>
    </row>
    <row r="141" spans="1:8" ht="22" customHeight="1">
      <c r="A141" s="8" t="s">
        <v>344</v>
      </c>
      <c r="B141" s="8"/>
      <c r="C141" s="8"/>
      <c r="D141" s="8"/>
      <c r="E141" s="8"/>
      <c r="F141" s="8"/>
      <c r="G141" s="8"/>
      <c r="H141" s="8"/>
    </row>
    <row r="142" spans="1:8" ht="26" customHeight="1">
      <c r="A142" s="9" t="s">
        <v>345</v>
      </c>
      <c r="B142" s="10" t="s">
        <v>346</v>
      </c>
      <c r="C142" s="10" t="s">
        <v>347</v>
      </c>
      <c r="D142" s="9" t="s">
        <v>89</v>
      </c>
      <c r="E142" s="11">
        <v>33.23</v>
      </c>
      <c r="F142" s="12">
        <v>56</v>
      </c>
      <c r="G142" s="12">
        <f>IF(AND(ISNUMBER(E142),ISNUMBER(F142)),ROUND(E142*F142,2),"")</f>
        <v>1860.88</v>
      </c>
      <c r="H142" s="10"/>
    </row>
    <row r="143" spans="1:8" ht="26" customHeight="1">
      <c r="A143" s="9" t="s">
        <v>348</v>
      </c>
      <c r="B143" s="10" t="s">
        <v>349</v>
      </c>
      <c r="C143" s="10" t="s">
        <v>350</v>
      </c>
      <c r="D143" s="9" t="s">
        <v>89</v>
      </c>
      <c r="E143" s="11">
        <v>35</v>
      </c>
      <c r="F143" s="12">
        <v>49.5</v>
      </c>
      <c r="G143" s="12">
        <f>IF(AND(ISNUMBER(E143),ISNUMBER(F143)),ROUND(E143*F143,2),"")</f>
        <v>1732.5</v>
      </c>
      <c r="H143" s="10"/>
    </row>
    <row r="144" spans="1:8" ht="43" customHeight="1">
      <c r="A144" s="9" t="s">
        <v>351</v>
      </c>
      <c r="B144" s="10" t="s">
        <v>352</v>
      </c>
      <c r="C144" s="10" t="s">
        <v>353</v>
      </c>
      <c r="D144" s="9" t="s">
        <v>89</v>
      </c>
      <c r="E144" s="11">
        <v>68.23</v>
      </c>
      <c r="F144" s="12">
        <v>16.5</v>
      </c>
      <c r="G144" s="12">
        <f>IF(AND(ISNUMBER(E144),ISNUMBER(F144)),ROUND(E144*F144,2),"")</f>
        <v>1125.8</v>
      </c>
      <c r="H144" s="10"/>
    </row>
    <row r="145" spans="1:8">
      <c r="A145" s="13" t="s">
        <v>354</v>
      </c>
      <c r="B145" s="13"/>
      <c r="C145" s="13"/>
      <c r="D145" s="13"/>
      <c r="E145" s="13"/>
      <c r="F145" s="13"/>
      <c r="G145" s="14">
        <f>IF(COUNT(G142:G144)=0,"",SUM(G142:G144))</f>
        <v>4719.18</v>
      </c>
      <c r="H145" s="13"/>
    </row>
    <row r="147" spans="1:8" ht="22" customHeight="1">
      <c r="A147" s="8" t="s">
        <v>355</v>
      </c>
      <c r="B147" s="8"/>
      <c r="C147" s="8"/>
      <c r="D147" s="8"/>
      <c r="E147" s="8"/>
      <c r="F147" s="8"/>
      <c r="G147" s="8"/>
      <c r="H147" s="8"/>
    </row>
    <row r="148" spans="1:8" ht="43" customHeight="1">
      <c r="A148" s="9" t="s">
        <v>356</v>
      </c>
      <c r="B148" s="10" t="s">
        <v>357</v>
      </c>
      <c r="C148" s="10" t="s">
        <v>358</v>
      </c>
      <c r="D148" s="9" t="s">
        <v>41</v>
      </c>
      <c r="E148" s="11">
        <v>219.9</v>
      </c>
      <c r="F148" s="12">
        <v>46</v>
      </c>
      <c r="G148" s="12">
        <f>IF(AND(ISNUMBER(E148),ISNUMBER(F148)),ROUND(E148*F148,2),"")</f>
        <v>10115.4</v>
      </c>
      <c r="H148" s="10" t="s">
        <v>141</v>
      </c>
    </row>
    <row r="149" spans="1:8" ht="30" customHeight="1">
      <c r="A149" s="9" t="s">
        <v>359</v>
      </c>
      <c r="B149" s="10" t="s">
        <v>360</v>
      </c>
      <c r="C149" s="10" t="s">
        <v>361</v>
      </c>
      <c r="D149" s="9" t="s">
        <v>41</v>
      </c>
      <c r="E149" s="11">
        <v>105</v>
      </c>
      <c r="F149" s="12">
        <v>38</v>
      </c>
      <c r="G149" s="12">
        <f>IF(AND(ISNUMBER(E149),ISNUMBER(F149)),ROUND(E149*F149,2),"")</f>
        <v>3990.0</v>
      </c>
      <c r="H149" s="10" t="s">
        <v>141</v>
      </c>
    </row>
    <row r="150" spans="1:8" ht="30" customHeight="1">
      <c r="A150" s="9" t="s">
        <v>362</v>
      </c>
      <c r="B150" s="10" t="s">
        <v>363</v>
      </c>
      <c r="C150" s="10" t="s">
        <v>364</v>
      </c>
      <c r="D150" s="9" t="s">
        <v>41</v>
      </c>
      <c r="E150" s="11">
        <v>121.2</v>
      </c>
      <c r="F150" s="12">
        <v>69</v>
      </c>
      <c r="G150" s="12">
        <f>IF(AND(ISNUMBER(E150),ISNUMBER(F150)),ROUND(E150*F150,2),"")</f>
        <v>8362.8</v>
      </c>
      <c r="H150" s="10" t="s">
        <v>141</v>
      </c>
    </row>
    <row r="151" spans="1:8" ht="30" customHeight="1">
      <c r="A151" s="9" t="s">
        <v>365</v>
      </c>
      <c r="B151" s="10" t="s">
        <v>366</v>
      </c>
      <c r="C151" s="10" t="s">
        <v>367</v>
      </c>
      <c r="D151" s="9" t="s">
        <v>89</v>
      </c>
      <c r="E151" s="11">
        <v>285</v>
      </c>
      <c r="F151" s="12">
        <v>12.5</v>
      </c>
      <c r="G151" s="12">
        <f>IF(AND(ISNUMBER(E151),ISNUMBER(F151)),ROUND(E151*F151,2),"")</f>
        <v>3562.5</v>
      </c>
      <c r="H151" s="10"/>
    </row>
    <row r="152" spans="1:8" ht="30" customHeight="1">
      <c r="A152" s="9" t="s">
        <v>368</v>
      </c>
      <c r="B152" s="10" t="s">
        <v>369</v>
      </c>
      <c r="C152" s="10" t="s">
        <v>370</v>
      </c>
      <c r="D152" s="9" t="s">
        <v>41</v>
      </c>
      <c r="E152" s="11">
        <v>263.7</v>
      </c>
      <c r="F152" s="12">
        <v>42.5</v>
      </c>
      <c r="G152" s="12">
        <f>IF(AND(ISNUMBER(E152),ISNUMBER(F152)),ROUND(E152*F152,2),"")</f>
        <v>11207.25</v>
      </c>
      <c r="H152" s="10" t="s">
        <v>141</v>
      </c>
    </row>
    <row r="153" spans="1:8" ht="30" customHeight="1">
      <c r="A153" s="9" t="s">
        <v>371</v>
      </c>
      <c r="B153" s="10" t="s">
        <v>372</v>
      </c>
      <c r="C153" s="10" t="s">
        <v>373</v>
      </c>
      <c r="D153" s="9" t="s">
        <v>89</v>
      </c>
      <c r="E153" s="11">
        <v>51.7</v>
      </c>
      <c r="F153" s="12">
        <v>53</v>
      </c>
      <c r="G153" s="12">
        <f>IF(AND(ISNUMBER(E153),ISNUMBER(F153)),ROUND(E153*F153,2),"")</f>
        <v>2740.1</v>
      </c>
      <c r="H153" s="10"/>
    </row>
    <row r="154" spans="1:8" ht="43" customHeight="1">
      <c r="A154" s="9" t="s">
        <v>374</v>
      </c>
      <c r="B154" s="10" t="s">
        <v>375</v>
      </c>
      <c r="C154" s="10" t="s">
        <v>376</v>
      </c>
      <c r="D154" s="9" t="s">
        <v>89</v>
      </c>
      <c r="E154" s="11">
        <v>13.8</v>
      </c>
      <c r="F154" s="12">
        <v>56</v>
      </c>
      <c r="G154" s="12">
        <f>IF(AND(ISNUMBER(E154),ISNUMBER(F154)),ROUND(E154*F154,2),"")</f>
        <v>772.8</v>
      </c>
      <c r="H154" s="10" t="s">
        <v>377</v>
      </c>
    </row>
    <row r="155" spans="1:8">
      <c r="A155" s="13" t="s">
        <v>378</v>
      </c>
      <c r="B155" s="13"/>
      <c r="C155" s="13"/>
      <c r="D155" s="13"/>
      <c r="E155" s="13"/>
      <c r="F155" s="13"/>
      <c r="G155" s="14">
        <f>IF(COUNT(G148:G154)=0,"",SUM(G148:G154))</f>
        <v>40750.85</v>
      </c>
      <c r="H155" s="13"/>
    </row>
    <row r="157" spans="1:8" ht="22" customHeight="1">
      <c r="A157" s="8" t="s">
        <v>379</v>
      </c>
      <c r="B157" s="8"/>
      <c r="C157" s="8"/>
      <c r="D157" s="8"/>
      <c r="E157" s="8"/>
      <c r="F157" s="8"/>
      <c r="G157" s="8"/>
      <c r="H157" s="8"/>
    </row>
    <row r="158" spans="1:8" ht="43" customHeight="1">
      <c r="A158" s="9" t="s">
        <v>380</v>
      </c>
      <c r="B158" s="10" t="s">
        <v>381</v>
      </c>
      <c r="C158" s="10" t="s">
        <v>382</v>
      </c>
      <c r="D158" s="9" t="s">
        <v>41</v>
      </c>
      <c r="E158" s="11">
        <v>225</v>
      </c>
      <c r="F158" s="12">
        <v>58</v>
      </c>
      <c r="G158" s="12">
        <f>IF(AND(ISNUMBER(E158),ISNUMBER(F158)),ROUND(E158*F158,2),"")</f>
        <v>13050</v>
      </c>
      <c r="H158" s="10"/>
    </row>
    <row r="159" spans="1:8" ht="56" customHeight="1">
      <c r="A159" s="9" t="s">
        <v>383</v>
      </c>
      <c r="B159" s="10" t="s">
        <v>384</v>
      </c>
      <c r="C159" s="10" t="s">
        <v>385</v>
      </c>
      <c r="D159" s="9" t="s">
        <v>41</v>
      </c>
      <c r="E159" s="11">
        <v>576</v>
      </c>
      <c r="F159" s="12">
        <v>46</v>
      </c>
      <c r="G159" s="12">
        <f>IF(AND(ISNUMBER(E159),ISNUMBER(F159)),ROUND(E159*F159,2),"")</f>
        <v>26496.0</v>
      </c>
      <c r="H159" s="10"/>
    </row>
    <row r="160" spans="1:8" ht="56" customHeight="1">
      <c r="A160" s="9" t="s">
        <v>386</v>
      </c>
      <c r="B160" s="10" t="s">
        <v>387</v>
      </c>
      <c r="C160" s="10" t="s">
        <v>388</v>
      </c>
      <c r="D160" s="9" t="s">
        <v>41</v>
      </c>
      <c r="E160" s="9" t="s">
        <v>389</v>
      </c>
      <c r="F160" s="12">
        <v>60</v>
      </c>
      <c r="G160" s="12">
        <f>IF(AND(ISNUMBER(E160),ISNUMBER(F160)),ROUND(E160*F160,2),"")</f>
        <v/>
      </c>
      <c r="H160" s="10" t="s">
        <v>390</v>
      </c>
    </row>
    <row r="161" spans="1:8">
      <c r="A161" s="13" t="s">
        <v>391</v>
      </c>
      <c r="B161" s="13"/>
      <c r="C161" s="13"/>
      <c r="D161" s="13"/>
      <c r="E161" s="13"/>
      <c r="F161" s="13"/>
      <c r="G161" s="14">
        <f>IF(COUNT(G158:G160)=0,"",SUM(G158:G160))</f>
        <v>39546.0</v>
      </c>
      <c r="H161" s="13"/>
    </row>
    <row r="163" spans="1:8" ht="22" customHeight="1">
      <c r="A163" s="8" t="s">
        <v>392</v>
      </c>
      <c r="B163" s="8"/>
      <c r="C163" s="8"/>
      <c r="D163" s="8"/>
      <c r="E163" s="8"/>
      <c r="F163" s="8"/>
      <c r="G163" s="8"/>
      <c r="H163" s="8"/>
    </row>
    <row r="164" spans="1:8" ht="30" customHeight="1">
      <c r="A164" s="9" t="s">
        <v>393</v>
      </c>
      <c r="B164" s="10" t="s">
        <v>394</v>
      </c>
      <c r="C164" s="10" t="s">
        <v>395</v>
      </c>
      <c r="D164" s="9" t="s">
        <v>41</v>
      </c>
      <c r="E164" s="11">
        <v>60</v>
      </c>
      <c r="F164" s="12">
        <v>20.5</v>
      </c>
      <c r="G164" s="12">
        <f>IF(AND(ISNUMBER(E164),ISNUMBER(F164)),ROUND(E164*F164,2),"")</f>
        <v>1230.0</v>
      </c>
      <c r="H164" s="10"/>
    </row>
    <row r="165" spans="1:8" ht="26" customHeight="1">
      <c r="A165" s="9" t="s">
        <v>396</v>
      </c>
      <c r="B165" s="10" t="s">
        <v>397</v>
      </c>
      <c r="C165" s="10" t="s">
        <v>398</v>
      </c>
      <c r="D165" s="9" t="s">
        <v>16</v>
      </c>
      <c r="E165" s="11">
        <v>1</v>
      </c>
      <c r="F165" s="12">
        <v>2760</v>
      </c>
      <c r="G165" s="12">
        <f>IF(AND(ISNUMBER(E165),ISNUMBER(F165)),ROUND(E165*F165,2),"")</f>
        <v>2760</v>
      </c>
      <c r="H165" s="10"/>
    </row>
    <row r="166" spans="1:8" ht="30" customHeight="1">
      <c r="A166" s="9" t="s">
        <v>399</v>
      </c>
      <c r="B166" s="10" t="s">
        <v>400</v>
      </c>
      <c r="C166" s="10" t="s">
        <v>401</v>
      </c>
      <c r="D166" s="9" t="s">
        <v>16</v>
      </c>
      <c r="E166" s="11">
        <v>1</v>
      </c>
      <c r="F166" s="12">
        <v>7700</v>
      </c>
      <c r="G166" s="12">
        <f>IF(AND(ISNUMBER(E166),ISNUMBER(F166)),ROUND(E166*F166,2),"")</f>
        <v>7700</v>
      </c>
      <c r="H166" s="10"/>
    </row>
    <row r="167" spans="1:8" ht="26" customHeight="1">
      <c r="A167" s="9" t="s">
        <v>402</v>
      </c>
      <c r="B167" s="10" t="s">
        <v>403</v>
      </c>
      <c r="C167" s="10" t="s">
        <v>404</v>
      </c>
      <c r="D167" s="9" t="s">
        <v>16</v>
      </c>
      <c r="E167" s="11">
        <v>1</v>
      </c>
      <c r="F167" s="12">
        <v>2480</v>
      </c>
      <c r="G167" s="12">
        <f>IF(AND(ISNUMBER(E167),ISNUMBER(F167)),ROUND(E167*F167,2),"")</f>
        <v>2480</v>
      </c>
      <c r="H167" s="10"/>
    </row>
    <row r="168" spans="1:8" ht="56" customHeight="1">
      <c r="A168" s="9" t="s">
        <v>405</v>
      </c>
      <c r="B168" s="10" t="s">
        <v>406</v>
      </c>
      <c r="C168" s="10" t="s">
        <v>407</v>
      </c>
      <c r="D168" s="9" t="s">
        <v>41</v>
      </c>
      <c r="E168" s="11">
        <v>60</v>
      </c>
      <c r="F168" s="12">
        <v>92</v>
      </c>
      <c r="G168" s="12">
        <f>IF(AND(ISNUMBER(E168),ISNUMBER(F168)),ROUND(E168*F168,2),"")</f>
        <v>5520</v>
      </c>
      <c r="H168" s="10" t="s">
        <v>42</v>
      </c>
    </row>
    <row r="169" spans="1:8">
      <c r="A169" s="13" t="s">
        <v>408</v>
      </c>
      <c r="B169" s="13"/>
      <c r="C169" s="13"/>
      <c r="D169" s="13"/>
      <c r="E169" s="13"/>
      <c r="F169" s="13"/>
      <c r="G169" s="14">
        <f>IF(COUNT(G164:G168)=0,"",SUM(G164:G168))</f>
        <v>19690.0</v>
      </c>
      <c r="H169" s="13"/>
    </row>
    <row r="171" spans="1:8">
      <c r="A171" s="13" t="s">
        <v>409</v>
      </c>
      <c r="B171" s="13"/>
      <c r="C171" s="13"/>
      <c r="D171" s="13"/>
      <c r="E171" s="13"/>
      <c r="F171" s="13"/>
      <c r="G171" s="14">
        <f>SUM(G16,G40,G48,G54,G90,G104,G126,G133,G139,G145,G155,G161,G169)</f>
        <v>361602.02</v>
      </c>
      <c r="H171" s="13"/>
    </row>
    <row r="172" spans="1:8">
      <c r="A172" s="15" t="s">
        <v>410</v>
      </c>
      <c r="B172" s="15"/>
      <c r="C172" s="15"/>
      <c r="D172" s="15"/>
      <c r="E172" s="15"/>
      <c r="F172" s="16">
        <v>0.2</v>
      </c>
      <c r="G172" s="12">
        <f>ROUND(G171*F172,2)</f>
        <v>72320.4</v>
      </c>
      <c r="H172" s="17" t="s">
        <v>411</v>
      </c>
    </row>
    <row r="173" spans="1:8">
      <c r="A173" s="18" t="s">
        <v>412</v>
      </c>
      <c r="B173" s="18"/>
      <c r="C173" s="18"/>
      <c r="D173" s="18"/>
      <c r="E173" s="18"/>
      <c r="F173" s="18"/>
      <c r="G173" s="19">
        <f>G171+G172</f>
        <v>433922.42</v>
      </c>
      <c r="H173" s="18"/>
    </row>
  </sheetData>
  <mergeCells count="34">
    <mergeCell ref="A1:H1"/>
    <mergeCell ref="A2:H2"/>
    <mergeCell ref="A3:H3"/>
    <mergeCell ref="A4:B4"/>
    <mergeCell ref="D4:H4"/>
    <mergeCell ref="A6:H6"/>
    <mergeCell ref="A16:F16"/>
    <mergeCell ref="A18:H18"/>
    <mergeCell ref="A40:F40"/>
    <mergeCell ref="A42:H42"/>
    <mergeCell ref="A48:F48"/>
    <mergeCell ref="A50:H50"/>
    <mergeCell ref="A54:F54"/>
    <mergeCell ref="A56:H56"/>
    <mergeCell ref="A90:F90"/>
    <mergeCell ref="A92:H92"/>
    <mergeCell ref="A104:F104"/>
    <mergeCell ref="A106:H106"/>
    <mergeCell ref="A126:F126"/>
    <mergeCell ref="A128:H128"/>
    <mergeCell ref="A133:F133"/>
    <mergeCell ref="A135:H135"/>
    <mergeCell ref="A139:F139"/>
    <mergeCell ref="A141:H141"/>
    <mergeCell ref="A145:F145"/>
    <mergeCell ref="A147:H147"/>
    <mergeCell ref="A155:F155"/>
    <mergeCell ref="A157:H157"/>
    <mergeCell ref="A161:F161"/>
    <mergeCell ref="A163:H163"/>
    <mergeCell ref="A169:F169"/>
    <mergeCell ref="A171:F171"/>
    <mergeCell ref="A172:E172"/>
    <mergeCell ref="A173:F173"/>
  </mergeCells>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sheetPr>
    <tabColor rgb="FFEF4135"/>
    <pageSetUpPr fitToPage="1"/>
  </sheetPr>
  <dimension ref="A1:C19"/>
  <sheetViews>
    <sheetView workbookViewId="0"/>
  </sheetViews>
  <sheetFormatPr defaultRowHeight="15"/>
  <cols>
    <col min="1" max="1" width="52.7109375" customWidth="1"/>
    <col min="2" max="3" width="18.7109375" customWidth="1"/>
  </cols>
  <sheetData>
    <row r="1" spans="1:3">
      <c r="A1" s="1" t="s">
        <v>413</v>
      </c>
      <c r="B1" s="1"/>
      <c r="C1" s="1"/>
    </row>
    <row r="3" spans="1:3">
      <c r="A3" s="7" t="s">
        <v>414</v>
      </c>
      <c r="B3" s="7" t="s">
        <v>10</v>
      </c>
      <c r="C3" s="7" t="s">
        <v>415</v>
      </c>
    </row>
    <row r="4" spans="1:3">
      <c r="A4" s="20" t="s">
        <v>416</v>
      </c>
      <c r="B4" s="12">
        <f>'Devis'!G16</f>
        <v>20724.0</v>
      </c>
      <c r="C4" s="21">
        <f>IF($B$17=0,0,B4/$B$17)</f>
        <v>0.05731162674367803</v>
      </c>
    </row>
    <row r="5" spans="1:3">
      <c r="A5" s="20" t="s">
        <v>417</v>
      </c>
      <c r="B5" s="12">
        <f>'Devis'!G40</f>
        <v>33221.1</v>
      </c>
      <c r="C5" s="21">
        <f>IF($B$17=0,0,B5/$B$17)</f>
        <v>0.09187199783895011</v>
      </c>
    </row>
    <row r="6" spans="1:3">
      <c r="A6" s="20" t="s">
        <v>418</v>
      </c>
      <c r="B6" s="12">
        <f>'Devis'!G48</f>
        <v>77110.0</v>
      </c>
      <c r="C6" s="21">
        <f>IF($B$17=0,0,B6/$B$17)</f>
        <v>0.213245490166233</v>
      </c>
    </row>
    <row r="7" spans="1:3">
      <c r="A7" s="20" t="s">
        <v>419</v>
      </c>
      <c r="B7" s="12">
        <f>'Devis'!G54</f>
        <v>2164.64</v>
      </c>
      <c r="C7" s="21">
        <f>IF($B$17=0,0,B7/$B$17)</f>
        <v>0.005986249744954411</v>
      </c>
    </row>
    <row r="8" spans="1:3">
      <c r="A8" s="20" t="s">
        <v>420</v>
      </c>
      <c r="B8" s="12">
        <f>'Devis'!G90</f>
        <v>36513.5</v>
      </c>
      <c r="C8" s="21">
        <f>IF($B$17=0,0,B8/$B$17)</f>
        <v>0.1009770354712067</v>
      </c>
    </row>
    <row r="9" spans="1:3">
      <c r="A9" s="20" t="s">
        <v>421</v>
      </c>
      <c r="B9" s="12">
        <f>'Devis'!G104</f>
        <v>34030.0</v>
      </c>
      <c r="C9" s="21">
        <f>IF($B$17=0,0,B9/$B$17)</f>
        <v>0.09410898755488147</v>
      </c>
    </row>
    <row r="10" spans="1:3">
      <c r="A10" s="20" t="s">
        <v>422</v>
      </c>
      <c r="B10" s="12">
        <f>'Devis'!G126</f>
        <v>36028.0</v>
      </c>
      <c r="C10" s="21">
        <f>IF($B$17=0,0,B10/$B$17)</f>
        <v>0.09963439916624359</v>
      </c>
    </row>
    <row r="11" spans="1:3">
      <c r="A11" s="20" t="s">
        <v>423</v>
      </c>
      <c r="B11" s="12">
        <f>'Devis'!G133</f>
        <v>8264.85</v>
      </c>
      <c r="C11" s="21">
        <f>IF($B$17=0,0,B11/$B$17)</f>
        <v>0.022856205283366505</v>
      </c>
    </row>
    <row r="12" spans="1:3">
      <c r="A12" s="20" t="s">
        <v>424</v>
      </c>
      <c r="B12" s="12">
        <f>'Devis'!G139</f>
        <v>8839.9</v>
      </c>
      <c r="C12" s="21">
        <f>IF($B$17=0,0,B12/$B$17)</f>
        <v>0.024446489541181213</v>
      </c>
    </row>
    <row r="13" spans="1:3">
      <c r="A13" s="20" t="s">
        <v>425</v>
      </c>
      <c r="B13" s="12">
        <f>'Devis'!G145</f>
        <v>4719.18</v>
      </c>
      <c r="C13" s="21">
        <f>IF($B$17=0,0,B13/$B$17)</f>
        <v>0.013050756740794756</v>
      </c>
    </row>
    <row r="14" spans="1:3">
      <c r="A14" s="20" t="s">
        <v>426</v>
      </c>
      <c r="B14" s="12">
        <f>'Devis'!G155</f>
        <v>40750.85</v>
      </c>
      <c r="C14" s="21">
        <f>IF($B$17=0,0,B14/$B$17)</f>
        <v>0.11269530518662478</v>
      </c>
    </row>
    <row r="15" spans="1:3">
      <c r="A15" s="20" t="s">
        <v>427</v>
      </c>
      <c r="B15" s="12">
        <f>'Devis'!G161</f>
        <v>39546.0</v>
      </c>
      <c r="C15" s="21">
        <f>IF($B$17=0,0,B15/$B$17)</f>
        <v>0.1093633271185819</v>
      </c>
    </row>
    <row r="16" spans="1:3">
      <c r="A16" s="20" t="s">
        <v>428</v>
      </c>
      <c r="B16" s="12">
        <f>'Devis'!G169</f>
        <v>19690.0</v>
      </c>
      <c r="C16" s="21">
        <f>IF($B$17=0,0,B16/$B$17)</f>
        <v>0.05445212944330344</v>
      </c>
    </row>
    <row r="17" spans="1:3">
      <c r="A17" s="13" t="s">
        <v>409</v>
      </c>
      <c r="B17" s="14">
        <f>SUM(B4:B16)</f>
        <v>361602.02</v>
      </c>
      <c r="C17" s="13"/>
    </row>
    <row r="18" spans="1:3">
      <c r="A18" s="20" t="s">
        <v>429</v>
      </c>
      <c r="B18" s="12">
        <f>'Devis'!G172</f>
        <v>72320.4</v>
      </c>
      <c r="C18" s="20"/>
    </row>
    <row r="19" spans="1:3">
      <c r="A19" s="18" t="s">
        <v>412</v>
      </c>
      <c r="B19" s="19">
        <f>B17+B18</f>
        <v>433922.42</v>
      </c>
      <c r="C19" s="18"/>
    </row>
  </sheetData>
  <mergeCells count="1">
    <mergeCell ref="A1:C1"/>
  </mergeCells>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sheetPr>
    <tabColor rgb="FF0055A4"/>
  </sheetPr>
  <dimension ref="A1:C9"/>
  <sheetViews>
    <sheetView workbookViewId="0"/>
  </sheetViews>
  <sheetFormatPr defaultRowHeight="15"/>
  <cols>
    <col min="1" max="1" width="5.7109375" customWidth="1"/>
    <col min="2" max="2" width="22.7109375" customWidth="1"/>
    <col min="3" max="3" width="125.7109375" customWidth="1"/>
  </cols>
  <sheetData>
    <row r="1" spans="1:3">
      <c r="A1" s="7" t="s">
        <v>430</v>
      </c>
      <c r="B1" s="7" t="s">
        <v>431</v>
      </c>
      <c r="C1" s="7"/>
    </row>
    <row r="2" spans="1:3" ht="30" customHeight="1">
      <c r="A2" s="22">
        <v>1</v>
      </c>
      <c r="B2" s="23" t="s">
        <v>432</v>
      </c>
      <c r="C2" s="10" t="s">
        <v>433</v>
      </c>
    </row>
    <row r="3" spans="1:3" ht="30" customHeight="1">
      <c r="A3" s="22">
        <v>2</v>
      </c>
      <c r="B3" s="23" t="s">
        <v>434</v>
      </c>
      <c r="C3" s="10" t="s">
        <v>435</v>
      </c>
    </row>
    <row r="4" spans="1:3" ht="30" customHeight="1">
      <c r="A4" s="22">
        <v>3</v>
      </c>
      <c r="B4" s="23" t="s">
        <v>436</v>
      </c>
      <c r="C4" s="10" t="s">
        <v>437</v>
      </c>
    </row>
    <row r="5" spans="1:3" ht="30" customHeight="1">
      <c r="A5" s="22">
        <v>4</v>
      </c>
      <c r="B5" s="23" t="s">
        <v>438</v>
      </c>
      <c r="C5" s="10" t="s">
        <v>439</v>
      </c>
    </row>
    <row r="6" spans="1:3" ht="30" customHeight="1">
      <c r="A6" s="22">
        <v>5</v>
      </c>
      <c r="B6" s="23" t="s">
        <v>440</v>
      </c>
      <c r="C6" s="10" t="s">
        <v>441</v>
      </c>
    </row>
    <row r="7" spans="1:3" ht="30" customHeight="1">
      <c r="A7" s="22">
        <v>6</v>
      </c>
      <c r="B7" s="23" t="s">
        <v>442</v>
      </c>
      <c r="C7" s="10" t="s">
        <v>443</v>
      </c>
    </row>
    <row r="8" spans="1:3" ht="18" customHeight="1">
      <c r="A8" s="22">
        <v>7</v>
      </c>
      <c r="B8" s="23" t="s">
        <v>444</v>
      </c>
      <c r="C8" s="10" t="s">
        <v>445</v>
      </c>
    </row>
    <row r="9" spans="1:3" ht="18" customHeight="1">
      <c r="A9" s="22">
        <v>8</v>
      </c>
      <c r="B9" s="23" t="s">
        <v>446</v>
      </c>
      <c r="C9" s="10" t="s">
        <v>447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EF4135"/>
  </sheetPr>
  <dimension ref="A1:C11"/>
  <sheetViews>
    <sheetView workbookViewId="0"/>
  </sheetViews>
  <sheetFormatPr defaultRowHeight="15"/>
  <cols>
    <col min="1" max="1" width="32.7109375" customWidth="1"/>
    <col min="2" max="2" width="60.7109375" customWidth="1"/>
    <col min="3" max="3" width="80.7109375" customWidth="1"/>
  </cols>
  <sheetData>
    <row r="1" spans="1:3">
      <c r="A1" s="7" t="s">
        <v>448</v>
      </c>
      <c r="B1" s="7" t="s">
        <v>449</v>
      </c>
      <c r="C1" s="7" t="s">
        <v>450</v>
      </c>
    </row>
    <row r="2" spans="1:3" ht="32" customHeight="1">
      <c r="A2" s="23" t="s">
        <v>451</v>
      </c>
      <c r="B2" s="10" t="s">
        <v>452</v>
      </c>
      <c r="C2" s="10" t="s">
        <v>453</v>
      </c>
    </row>
    <row r="3" spans="1:3" ht="32" customHeight="1">
      <c r="A3" s="23" t="s">
        <v>454</v>
      </c>
      <c r="B3" s="10" t="s">
        <v>455</v>
      </c>
      <c r="C3" s="10" t="s">
        <v>456</v>
      </c>
    </row>
    <row r="4" spans="1:3" ht="32" customHeight="1">
      <c r="A4" s="23" t="s">
        <v>457</v>
      </c>
      <c r="B4" s="10" t="s">
        <v>458</v>
      </c>
      <c r="C4" s="10" t="s">
        <v>459</v>
      </c>
    </row>
    <row r="5" spans="1:3" ht="32" customHeight="1">
      <c r="A5" s="23" t="s">
        <v>460</v>
      </c>
      <c r="B5" s="10" t="s">
        <v>461</v>
      </c>
      <c r="C5" s="10" t="s">
        <v>462</v>
      </c>
    </row>
    <row r="6" spans="1:3" ht="32" customHeight="1">
      <c r="A6" s="23" t="s">
        <v>463</v>
      </c>
      <c r="B6" s="10" t="s">
        <v>464</v>
      </c>
      <c r="C6" s="10" t="s">
        <v>465</v>
      </c>
    </row>
    <row r="7" spans="1:3" ht="32" customHeight="1">
      <c r="A7" s="23" t="s">
        <v>466</v>
      </c>
      <c r="B7" s="10" t="s">
        <v>467</v>
      </c>
      <c r="C7" s="10" t="s">
        <v>468</v>
      </c>
    </row>
    <row r="8" spans="1:3" ht="32" customHeight="1">
      <c r="A8" s="23" t="s">
        <v>469</v>
      </c>
      <c r="B8" s="10" t="s">
        <v>470</v>
      </c>
      <c r="C8" s="10" t="s">
        <v>471</v>
      </c>
    </row>
    <row r="10" spans="1:3" ht="62" customHeight="1">
      <c r="A10" s="24" t="s">
        <v>472</v>
      </c>
      <c r="B10" s="24"/>
      <c r="C10" s="24"/>
    </row>
    <row r="11" spans="1:3" ht="78" customHeight="1">
      <c r="A11" s="25" t="s">
        <v>473</v>
      </c>
      <c r="B11" s="25"/>
      <c r="C11" s="25"/>
    </row>
  </sheetData>
  <mergeCells count="2">
    <mergeCell ref="A10:C10"/>
    <mergeCell ref="A11:C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Devis</vt:lpstr>
      <vt:lpstr>Récapitulatif</vt:lpstr>
      <vt:lpstr>Conditions et exclusions</vt:lpstr>
      <vt:lpstr>Étude de marché (interne)</vt:lpstr>
      <vt:lpstr>Devis!Print_Titles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2026-10-14T17:45:30Z</dcterms:created>
  <dcterms:modified xsi:type="dcterms:W3CDTF">2026-10-14T17:45:30Z</dcterms:modified>
</cp:coreProperties>
</file>