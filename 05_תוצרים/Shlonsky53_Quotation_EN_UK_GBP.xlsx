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ation" sheetId="1" r:id="rId1"/>
    <sheet name="Summary" sheetId="2" r:id="rId2"/>
    <sheet name="Terms &amp; Exclusions" sheetId="3" r:id="rId3"/>
    <sheet name="Market survey (internal)" sheetId="4" r:id="rId4"/>
  </sheets>
  <definedNames>
    <definedName name="_xlnm.Print_Titles" localSheetId="0">Quotation!$5:$5</definedName>
  </definedNames>
  <calcPr calcId="124519" fullCalcOnLoad="1"/>
</workbook>
</file>

<file path=xl/sharedStrings.xml><?xml version="1.0" encoding="utf-8"?>
<sst xmlns="http://schemas.openxmlformats.org/spreadsheetml/2006/main" count="665" uniqueCount="474">
  <si>
    <t>QUOTATION — Renovation and Extension, 53 Shlonsky St., Haifa</t>
  </si>
  <si>
    <t>Employer: Zohar Mor Yosef and Rami Dana   |   Contractor: [Contractor name]   |   Date: 14/10/2026   |   Quotation no.: [__]</t>
  </si>
  <si>
    <t>All amounts in GBP (£), excluding VAT, price base October 2026. Unit rates include the contractor's overheads and profit (15%).</t>
  </si>
  <si>
    <t xml:space="preserve"> </t>
  </si>
  <si>
    <t>Item</t>
  </si>
  <si>
    <t>Description</t>
  </si>
  <si>
    <t>Scope</t>
  </si>
  <si>
    <t>Unit</t>
  </si>
  <si>
    <t>Qty</t>
  </si>
  <si>
    <t>Unit rate</t>
  </si>
  <si>
    <t>Amount</t>
  </si>
  <si>
    <t>Remarks</t>
  </si>
  <si>
    <t>Chapter 1 — Preparation and Site Establishment</t>
  </si>
  <si>
    <t>01.01</t>
  </si>
  <si>
    <t>Site establishment</t>
  </si>
  <si>
    <t>Setting up work and storage areas, workers' facilities and access coordination.</t>
  </si>
  <si>
    <t>lot</t>
  </si>
  <si>
    <t>01.02</t>
  </si>
  <si>
    <t>Site hoarding, signage and safety</t>
  </si>
  <si>
    <t>Temporary hoarding, site and hazard signage, and the safety measures required for the works.</t>
  </si>
  <si>
    <t>01.03</t>
  </si>
  <si>
    <t>Temporary water connection</t>
  </si>
  <si>
    <t>Temporary water connection from the approved source, tested.</t>
  </si>
  <si>
    <t>01.04</t>
  </si>
  <si>
    <t>Temporary electrical connection</t>
  </si>
  <si>
    <t>Temporary power connection by a licensed electrician, with protection and testing.</t>
  </si>
  <si>
    <t>01.05</t>
  </si>
  <si>
    <t>Protection of existing elements</t>
  </si>
  <si>
    <t>Protective covers for floors, openings, windows, stairs, railings, walls and plants to be retained.</t>
  </si>
  <si>
    <t>01.06</t>
  </si>
  <si>
    <t>Survey, verification and laser setting-out</t>
  </si>
  <si>
    <t>Survey of the existing building, verification against architectural and services drawings, setting-out of positions and levels.</t>
  </si>
  <si>
    <t>01.07</t>
  </si>
  <si>
    <t>Waste skip and waste collection area</t>
  </si>
  <si>
    <t>Skip placement and a waste collection area; removal of waste to a licensed site.</t>
  </si>
  <si>
    <t>01.08</t>
  </si>
  <si>
    <t>Ongoing site cleaning</t>
  </si>
  <si>
    <t>Periodic cleaning of work areas and passages throughout the works.</t>
  </si>
  <si>
    <t>01.09</t>
  </si>
  <si>
    <t>External scaffolding</t>
  </si>
  <si>
    <t>Erection, rental for the works period (about 4.5 months), maintenance and removal of compliant external scaffolding around the facades, for sawing the decorative concrete frames and the facade plaster works.</t>
  </si>
  <si>
    <t>m²</t>
  </si>
  <si>
    <t>Provisional quantity – remeasured</t>
  </si>
  <si>
    <t>Total – Chapter 1</t>
  </si>
  <si>
    <t>Chapter 2 — Demolition, Removals and Disposal</t>
  </si>
  <si>
    <t>02.01</t>
  </si>
  <si>
    <t>Demolition of walls and partitions – basement</t>
  </si>
  <si>
    <t>Demolition of existing walls and partitions per demolition drawings.</t>
  </si>
  <si>
    <t>02.02</t>
  </si>
  <si>
    <t>Demolition of walls and partitions – ground floor</t>
  </si>
  <si>
    <t>02.03</t>
  </si>
  <si>
    <t>Demolition of walls and partitions – first floor</t>
  </si>
  <si>
    <t>02.04</t>
  </si>
  <si>
    <t>Removal of existing gypsum ceilings</t>
  </si>
  <si>
    <t>Removal of existing suspended gypsum ceilings.</t>
  </si>
  <si>
    <t>02.05</t>
  </si>
  <si>
    <t>Removal of existing flooring</t>
  </si>
  <si>
    <t>Removal of existing floor finishes.</t>
  </si>
  <si>
    <t>02.06</t>
  </si>
  <si>
    <t>Removal of existing kitchen cabinets</t>
  </si>
  <si>
    <t>Removal of existing kitchen cabinets, complete.</t>
  </si>
  <si>
    <t>02.07</t>
  </si>
  <si>
    <t>Removal of other existing joinery</t>
  </si>
  <si>
    <t>Removal of other existing cabinets and joinery.</t>
  </si>
  <si>
    <t>pcs</t>
  </si>
  <si>
    <t>02.08</t>
  </si>
  <si>
    <t>Removal of existing aluminium windows and shutters</t>
  </si>
  <si>
    <t>Complete removal of existing aluminium windows and roller shutters.</t>
  </si>
  <si>
    <t>02.09</t>
  </si>
  <si>
    <t>Removal of interior and entrance doors and frames</t>
  </si>
  <si>
    <t>Complete removal of existing interior and entrance doors and frames.</t>
  </si>
  <si>
    <t>02.10</t>
  </si>
  <si>
    <t>Removal of bathrooms, WCs and sanitary ware</t>
  </si>
  <si>
    <t>Complete removal of existing bathrooms, WCs and sanitary fixtures.</t>
  </si>
  <si>
    <t>02.11</t>
  </si>
  <si>
    <t>Removal of electrical points, accessories and light fittings</t>
  </si>
  <si>
    <t>Removal of existing electrical points, accessories and light fittings.</t>
  </si>
  <si>
    <t>02.12</t>
  </si>
  <si>
    <t>Removal of existing exposed plumbing</t>
  </si>
  <si>
    <t>Removal of existing exposed plumbing pipework.</t>
  </si>
  <si>
    <t>02.13</t>
  </si>
  <si>
    <t>Removal of existing A/C units</t>
  </si>
  <si>
    <t>Removal of existing indoor and outdoor air-conditioning units.</t>
  </si>
  <si>
    <t>02.14</t>
  </si>
  <si>
    <t>Removal of internal staircase balustrade</t>
  </si>
  <si>
    <t>Careful removal of the existing balustrade, ahead of strengthening works.</t>
  </si>
  <si>
    <t>02.15</t>
  </si>
  <si>
    <t>Sawing and removal of decorative concrete frames</t>
  </si>
  <si>
    <t>Sawing and removal of decorative concrete frames around windows to obtain a smooth, uniform facade; executed from scaffolding and subject to the structural engineer's written approval.</t>
  </si>
  <si>
    <t>lm</t>
  </si>
  <si>
    <t>02.16</t>
  </si>
  <si>
    <t>Waste sorting and removal to licensed site</t>
  </si>
  <si>
    <t>Sorting, loading and transport of demolition waste to a licensed site, with disposal certificates.</t>
  </si>
  <si>
    <t>02.17</t>
  </si>
  <si>
    <t>Thorough cleaning after demolition</t>
  </si>
  <si>
    <t>Thorough cleaning of all areas after demolition.</t>
  </si>
  <si>
    <t>02.18</t>
  </si>
  <si>
    <t>Removal of existing wall panels</t>
  </si>
  <si>
    <t>Removal of existing wall panels throughout the house.</t>
  </si>
  <si>
    <t>02.19</t>
  </si>
  <si>
    <t>Removal of granolithic flooring</t>
  </si>
  <si>
    <t>Removal of granolithic flooring in the parking area, entrance and paths.</t>
  </si>
  <si>
    <t>02.20</t>
  </si>
  <si>
    <t>Removal of existing entrance stairs</t>
  </si>
  <si>
    <t>Removal of the existing entrance stairs, including cutting, loading and removal of waste, ahead of the new floating steps.</t>
  </si>
  <si>
    <t>02.21</t>
  </si>
  <si>
    <t>Removal of lawn and garden planting</t>
  </si>
  <si>
    <t>Removal of existing lawn, shrubs and garden planting in the development areas, including roots, loading and removal to a licensed site.</t>
  </si>
  <si>
    <t>Total – Chapter 2</t>
  </si>
  <si>
    <t>Chapter 3 — Structural Works and Extensions</t>
  </si>
  <si>
    <t>03.01</t>
  </si>
  <si>
    <t>Enlargement of living-room balcony and new pergola</t>
  </si>
  <si>
    <t>Complete structural works per the structural engineer's drawings and specification.</t>
  </si>
  <si>
    <t>Lump sum – adjusted on receipt of structural drawings</t>
  </si>
  <si>
    <t>03.02</t>
  </si>
  <si>
    <t>New room addition on the gallery level</t>
  </si>
  <si>
    <t>Complete structural works for the room per structural and architectural drawings, including connections to the existing structure and openings. Finishes and services under their own chapters.</t>
  </si>
  <si>
    <t>03.03</t>
  </si>
  <si>
    <t>New entrance and staircase</t>
  </si>
  <si>
    <t>Complete works for the new entrance and staircase per the structural engineer.</t>
  </si>
  <si>
    <t>03.04</t>
  </si>
  <si>
    <t>Strengthening of existing internal staircase</t>
  </si>
  <si>
    <t>Strengthening per the structural engineer, after removal of the balustrade.</t>
  </si>
  <si>
    <t>03.05</t>
  </si>
  <si>
    <t>Floating entrance stairs</t>
  </si>
  <si>
    <t>12 new floating (cantilevered) steps at the entrance replacing the existing stairs, approx. 1.15 m wide, including reinforcement, anchoring and preparation for cladding, per structural and architectural drawings. Cladding under item 13.08.</t>
  </si>
  <si>
    <t>Lump sum – adjusted on receipt of structural drawings; Final dimension per existing on site</t>
  </si>
  <si>
    <t>Total – Chapter 3</t>
  </si>
  <si>
    <t>Chapter 4 — New Block Wall Partitions</t>
  </si>
  <si>
    <t>04.01</t>
  </si>
  <si>
    <t>New block walls (20 cm) – basement</t>
  </si>
  <si>
    <t>Block walls per drawings.</t>
  </si>
  <si>
    <t>04.02</t>
  </si>
  <si>
    <t>New block walls (20 cm) – ground floor</t>
  </si>
  <si>
    <t>04.03</t>
  </si>
  <si>
    <t>New block walls (20 cm) – first floor and gallery</t>
  </si>
  <si>
    <t>Total – Chapter 4</t>
  </si>
  <si>
    <t>Chapter 5 — Plumbing, Sanitary Fixtures and Taps</t>
  </si>
  <si>
    <t>05.01</t>
  </si>
  <si>
    <t>Wall-hung WC pan</t>
  </si>
  <si>
    <t>Installation, fixing to the support frame, connection to flush system and drainage, and testing.</t>
  </si>
  <si>
    <t>Installation only; supply by the Employer</t>
  </si>
  <si>
    <t>05.02</t>
  </si>
  <si>
    <t>Concealed cistern and support frame</t>
  </si>
  <si>
    <t>Installation, anchoring, connection to water and WC, and leak test before closing the cladding.</t>
  </si>
  <si>
    <t>05.03</t>
  </si>
  <si>
    <t>Flush plate</t>
  </si>
  <si>
    <t>Installation matching the concealed cistern and testing.</t>
  </si>
  <si>
    <t>05.04</t>
  </si>
  <si>
    <t>Hydraulic soft-close WC seat</t>
  </si>
  <si>
    <t>Installation and adjustment.</t>
  </si>
  <si>
    <t>05.05</t>
  </si>
  <si>
    <t>Freestanding washbasin</t>
  </si>
  <si>
    <t>Installation, fixing, connection to drainage and sealing.</t>
  </si>
  <si>
    <t>05.06</t>
  </si>
  <si>
    <t>Wall-mounted tap</t>
  </si>
  <si>
    <t>Installation and connection.</t>
  </si>
  <si>
    <t>05.07</t>
  </si>
  <si>
    <t>Rain shower head</t>
  </si>
  <si>
    <t>05.08</t>
  </si>
  <si>
    <t>Three-way diverter valve</t>
  </si>
  <si>
    <t>Installation of three-way diverter (Interpoz-type) valve and trim.</t>
  </si>
  <si>
    <t>05.09</t>
  </si>
  <si>
    <t>Four-way diverter valve</t>
  </si>
  <si>
    <t>Installation of four-way diverter (Interpoz-type) valve and trim.</t>
  </si>
  <si>
    <t>05.10</t>
  </si>
  <si>
    <t>Shower hand-set holder</t>
  </si>
  <si>
    <t>Installation of hand-shower holder.</t>
  </si>
  <si>
    <t>05.11</t>
  </si>
  <si>
    <t>10/10 linear drain channel (showers)</t>
  </si>
  <si>
    <t>Installation and connection of drain channel.</t>
  </si>
  <si>
    <t>05.12</t>
  </si>
  <si>
    <t>110 overflow channel for bathtub</t>
  </si>
  <si>
    <t>Installation of overflow channel.</t>
  </si>
  <si>
    <t>05.13</t>
  </si>
  <si>
    <t>Freestanding bathtub</t>
  </si>
  <si>
    <t>Installation and connection of freestanding bathtub.</t>
  </si>
  <si>
    <t>05.15</t>
  </si>
  <si>
    <t>Bath filler tap</t>
  </si>
  <si>
    <t>Installation of bath filler tap.</t>
  </si>
  <si>
    <t>05.16</t>
  </si>
  <si>
    <t>Kitchen sink</t>
  </si>
  <si>
    <t>Installed by the countertop supplier.</t>
  </si>
  <si>
    <t>By countertop supplier</t>
  </si>
  <si>
    <t>05.17</t>
  </si>
  <si>
    <t>Kitchen pull-out tap</t>
  </si>
  <si>
    <t>Installation, connection and function test.</t>
  </si>
  <si>
    <t>05.18</t>
  </si>
  <si>
    <t>Outdoor kitchen sink</t>
  </si>
  <si>
    <t>05.19</t>
  </si>
  <si>
    <t>Outdoor pull-out tap</t>
  </si>
  <si>
    <t>05.20</t>
  </si>
  <si>
    <t>Countertop basin / trough – guest WC</t>
  </si>
  <si>
    <t>05.21</t>
  </si>
  <si>
    <t>Nile tap</t>
  </si>
  <si>
    <t>Installation of tap.</t>
  </si>
  <si>
    <t>05.22</t>
  </si>
  <si>
    <t>Tap with vanity unit – assembly</t>
  </si>
  <si>
    <t>Installation of tap and vanity unit as an assembly.</t>
  </si>
  <si>
    <t>05.23</t>
  </si>
  <si>
    <t>60 external overflow channel</t>
  </si>
  <si>
    <t>Installation of external overflow channel.</t>
  </si>
  <si>
    <t>05.24</t>
  </si>
  <si>
    <t>Bar sink</t>
  </si>
  <si>
    <t>05.25</t>
  </si>
  <si>
    <t>Hot and cold water point</t>
  </si>
  <si>
    <t>Supply pipework and point.</t>
  </si>
  <si>
    <t>pt</t>
  </si>
  <si>
    <t>05.26</t>
  </si>
  <si>
    <t>Cold water point for cistern</t>
  </si>
  <si>
    <t>05.27</t>
  </si>
  <si>
    <t>Sewage point for WC</t>
  </si>
  <si>
    <t>Drainage pipework and point.</t>
  </si>
  <si>
    <t>05.28</t>
  </si>
  <si>
    <t>Drain point for basin and bathtub</t>
  </si>
  <si>
    <t>05.29</t>
  </si>
  <si>
    <t>Water and drain point for washing machine</t>
  </si>
  <si>
    <t>Supply and drain points.</t>
  </si>
  <si>
    <t>05.30</t>
  </si>
  <si>
    <t>Utility (bucket) tap</t>
  </si>
  <si>
    <t>Installation of utility tap.</t>
  </si>
  <si>
    <t>05.32</t>
  </si>
  <si>
    <t>Main supply lines and floor manifolds</t>
  </si>
  <si>
    <t>Main water supply lines and floor-level manifolds.</t>
  </si>
  <si>
    <t>05.33</t>
  </si>
  <si>
    <t>Main sewage and drainage system</t>
  </si>
  <si>
    <t>Main sewage and drainage system.</t>
  </si>
  <si>
    <t>05.34</t>
  </si>
  <si>
    <t>Water heater – installation and connection</t>
  </si>
  <si>
    <t>Installation and connection of water heater.</t>
  </si>
  <si>
    <t>05.35</t>
  </si>
  <si>
    <t>Pressure and leak tests, as-built drawings</t>
  </si>
  <si>
    <t>Testing of the plumbing systems and as-built documentation.</t>
  </si>
  <si>
    <t>Total – Chapter 5</t>
  </si>
  <si>
    <t>Chapter 6 — Electrical Works</t>
  </si>
  <si>
    <t>06.01</t>
  </si>
  <si>
    <t>Standard socket point</t>
  </si>
  <si>
    <t>Wiring to the relevant circuit, accessory and test.</t>
  </si>
  <si>
    <t>06.02</t>
  </si>
  <si>
    <t>Waterproof socket point</t>
  </si>
  <si>
    <t>Waterproof socket point (IP44 or above).</t>
  </si>
  <si>
    <t>06.03</t>
  </si>
  <si>
    <t>Infrastructure for electric roller shutter</t>
  </si>
  <si>
    <t>Conduit and wiring for electric shutter operation.</t>
  </si>
  <si>
    <t>06.05</t>
  </si>
  <si>
    <t>Three-phase socket point</t>
  </si>
  <si>
    <t>Three-phase socket point.</t>
  </si>
  <si>
    <t>06.06</t>
  </si>
  <si>
    <t>Extension of main distribution board</t>
  </si>
  <si>
    <t>Extension of the main board for the total added load.</t>
  </si>
  <si>
    <t>06.07</t>
  </si>
  <si>
    <t>Electricity company pillar – supply and installation</t>
  </si>
  <si>
    <t>Supply and installation of the new electricity company pillar at the plot entrance.</t>
  </si>
  <si>
    <t>06.09</t>
  </si>
  <si>
    <t>Final electrical inspection</t>
  </si>
  <si>
    <t>Final inspection by a certified inspector, certificate and test report.</t>
  </si>
  <si>
    <t>06.10</t>
  </si>
  <si>
    <t>Power socket point</t>
  </si>
  <si>
    <t>Power socket point.</t>
  </si>
  <si>
    <t>06.11</t>
  </si>
  <si>
    <t>Supply point for A/C unit</t>
  </si>
  <si>
    <t>Dedicated supply point for an A/C unit.</t>
  </si>
  <si>
    <t>06.12</t>
  </si>
  <si>
    <t>Direct connection to the board – hob, oven and dedicated appliances</t>
  </si>
  <si>
    <t>Direct connection to the distribution board on a dedicated line with separate protection for each appliance (hob, oven, dishwasher, dryer and other dedicated loads), including cable, conduit, final connection and testing.</t>
  </si>
  <si>
    <t>06.13</t>
  </si>
  <si>
    <t>Boiler switch with indicator light</t>
  </si>
  <si>
    <t>Boiler switch with indicator light.</t>
  </si>
  <si>
    <t>Total – Chapter 6</t>
  </si>
  <si>
    <t>Chapter 7 — Lighting and Light Switches</t>
  </si>
  <si>
    <t>07.01</t>
  </si>
  <si>
    <t>Lighting switches (single)</t>
  </si>
  <si>
    <t>Installation of lighting switches.</t>
  </si>
  <si>
    <t>07.02</t>
  </si>
  <si>
    <t>Two-way switches</t>
  </si>
  <si>
    <t>Installation of two-way switches.</t>
  </si>
  <si>
    <t>07.02a</t>
  </si>
  <si>
    <t>Intermediate (cross) switch</t>
  </si>
  <si>
    <t>Installation of an intermediate (cross) switch on a lighting circuit controlled from three or more places, between the two-way switches, including finish accessory, intermediate wiring and testing.</t>
  </si>
  <si>
    <t>07.03</t>
  </si>
  <si>
    <t>Ceiling-mounted light fitting</t>
  </si>
  <si>
    <t>Installation, electrical connection and test.</t>
  </si>
  <si>
    <t>07.04</t>
  </si>
  <si>
    <t>Pendant light fitting</t>
  </si>
  <si>
    <t>Installation, suspension system, height adjustment per plan, connection and test.</t>
  </si>
  <si>
    <t>07.05</t>
  </si>
  <si>
    <t>Protected wall light fitting</t>
  </si>
  <si>
    <t>07.06</t>
  </si>
  <si>
    <t>Protected recessed wall light fitting</t>
  </si>
  <si>
    <t>07.07</t>
  </si>
  <si>
    <t>Recessed spot in gypsum ceiling</t>
  </si>
  <si>
    <t>07.08</t>
  </si>
  <si>
    <t>Concealed LED strip</t>
  </si>
  <si>
    <t>Installation of concealed LED strip.</t>
  </si>
  <si>
    <t>07.09</t>
  </si>
  <si>
    <t>Recessed linear fitting in gypsum</t>
  </si>
  <si>
    <t>Installation of recessed linear fitting.</t>
  </si>
  <si>
    <t>07.10</t>
  </si>
  <si>
    <t>Surface-mounted linear fitting</t>
  </si>
  <si>
    <t>Installation of ceiling-mounted linear fitting.</t>
  </si>
  <si>
    <t>07.11</t>
  </si>
  <si>
    <t>LED strip feed point</t>
  </si>
  <si>
    <t>Feed point for LED strip.</t>
  </si>
  <si>
    <t>07.12</t>
  </si>
  <si>
    <t>Waterproof light fitting</t>
  </si>
  <si>
    <t>07.13</t>
  </si>
  <si>
    <t>Wall light fitting</t>
  </si>
  <si>
    <t>07.14</t>
  </si>
  <si>
    <t>Recessed wall light fitting</t>
  </si>
  <si>
    <t>07.15</t>
  </si>
  <si>
    <t>Ceiling fan with light</t>
  </si>
  <si>
    <t>07.17</t>
  </si>
  <si>
    <t>Surface-mounted cylinder spot</t>
  </si>
  <si>
    <t>Installation, connection and test.</t>
  </si>
  <si>
    <t>07.19</t>
  </si>
  <si>
    <t>Recessed spots in gypsum (clusters)</t>
  </si>
  <si>
    <t>Installation of recessed spot clusters.</t>
  </si>
  <si>
    <t>07.20</t>
  </si>
  <si>
    <t>General lighting feed point</t>
  </si>
  <si>
    <t>General lighting feed point.</t>
  </si>
  <si>
    <t>Total – Chapter 7</t>
  </si>
  <si>
    <t>Chapter 9 — Gypsum Partitions and Ceilings</t>
  </si>
  <si>
    <t>09.01</t>
  </si>
  <si>
    <t>Gypsum partitions and walls – basement</t>
  </si>
  <si>
    <t>Metal track and studs, boards, acoustic insulation, moisture-resistant boards in wet areas.</t>
  </si>
  <si>
    <t>09.02</t>
  </si>
  <si>
    <t>Gypsum partitions and walls – ground floor</t>
  </si>
  <si>
    <t>09.03</t>
  </si>
  <si>
    <t>Gypsum partitions and walls – first floor and gallery</t>
  </si>
  <si>
    <t>09.04</t>
  </si>
  <si>
    <t>Suspended gypsum ceilings</t>
  </si>
  <si>
    <t>Hangers, carrying profiles and boards, with openings coordinated for lighting and A/C. Skim coat and paint under chapter 14.</t>
  </si>
  <si>
    <t>Total – Chapter 9</t>
  </si>
  <si>
    <t>Chapter 10 — Internal Waterproofing</t>
  </si>
  <si>
    <t>10.01</t>
  </si>
  <si>
    <t>Waterproofing – wet-area walls</t>
  </si>
  <si>
    <t>Wall waterproofing in wet areas, as directed by the waterproofing consultant.</t>
  </si>
  <si>
    <t>10.03</t>
  </si>
  <si>
    <t>Flood tests – wet areas</t>
  </si>
  <si>
    <t>Flood test for each wet area.</t>
  </si>
  <si>
    <t>10.04</t>
  </si>
  <si>
    <t>Balcony waterproofing</t>
  </si>
  <si>
    <t>Waterproofing of balconies.</t>
  </si>
  <si>
    <t>Total – Chapter 10</t>
  </si>
  <si>
    <t>Chapter 12 — Window Sills and Sealing</t>
  </si>
  <si>
    <t>12.01</t>
  </si>
  <si>
    <t>Internal window sills</t>
  </si>
  <si>
    <t>Stone / marble sills, after final measurement.</t>
  </si>
  <si>
    <t>12.02</t>
  </si>
  <si>
    <t>External window sills</t>
  </si>
  <si>
    <t>External sills.</t>
  </si>
  <si>
    <t>12.04</t>
  </si>
  <si>
    <t>Window sealing</t>
  </si>
  <si>
    <t>Sealing of windows around the frames, including preparation of the opening, filling and sealing with suitable material and tightness check.</t>
  </si>
  <si>
    <t>Total – Chapter 12</t>
  </si>
  <si>
    <t>Chapter 13 — Flooring, Wall Tiling and Cladding</t>
  </si>
  <si>
    <t>13.01</t>
  </si>
  <si>
    <t>Interior floor tiling 120×120 cm incl. shower floors</t>
  </si>
  <si>
    <t>Laying after waterproofing approval, including substrate preparation, adhesive, cutting, falls to drains and grouting. Tiles supplied by the Employer.</t>
  </si>
  <si>
    <t>13.02</t>
  </si>
  <si>
    <t>Basement floor tiling 120×60 cm</t>
  </si>
  <si>
    <t>Laying including substrate preparation, adhesive and grouting. Tiles supplied by the Employer.</t>
  </si>
  <si>
    <t>13.03</t>
  </si>
  <si>
    <t>Shower wall tiling 120×60 cm</t>
  </si>
  <si>
    <t>Wall tiling including adhesive, cutting and grouting. Tiles supplied by the Employer.</t>
  </si>
  <si>
    <t>13.04</t>
  </si>
  <si>
    <t>Skirting / panels from finish tiles</t>
  </si>
  <si>
    <t>Cutting and fixing of panels from the selected finish tiles.</t>
  </si>
  <si>
    <t>13.05</t>
  </si>
  <si>
    <t>External and balcony tiling 120×60 cm, R11</t>
  </si>
  <si>
    <t>Laying of external tiles with slip resistance R11. Tiles supplied by the Employer.</t>
  </si>
  <si>
    <t>13.07</t>
  </si>
  <si>
    <t>Interior stair cladding (tread and riser)</t>
  </si>
  <si>
    <t>Cladding of interior stairs, tread and riser.</t>
  </si>
  <si>
    <t>13.08</t>
  </si>
  <si>
    <t>Entrance stairs cladding</t>
  </si>
  <si>
    <t>Cladding of the new entrance stairs with R10 external tiles, tread and riser. Final dimension per the existing situation on site.</t>
  </si>
  <si>
    <t>Final dimension per existing on site</t>
  </si>
  <si>
    <t>Total – Chapter 13</t>
  </si>
  <si>
    <t>Chapter 14 — Plaster, Skim Coat and Paint</t>
  </si>
  <si>
    <t>14.01</t>
  </si>
  <si>
    <t>Facade preparation and coloured plaster</t>
  </si>
  <si>
    <t>Preparation and repair of the facade substrate (including areas of removed frames) and application of the approved coloured plaster system. Scaffolding under item 01.09.</t>
  </si>
  <si>
    <t>14.02</t>
  </si>
  <si>
    <t>Plaster repairs, skim coat and interior paint</t>
  </si>
  <si>
    <t>Plaster repairs to internal walls and ceilings, levelling with skim coat and painting with quality acrylic paint, including preparation, protection and cleaning, until the designer's approval. Excludes public areas.</t>
  </si>
  <si>
    <t>14.03</t>
  </si>
  <si>
    <t>American skim coat and paint – public areas</t>
  </si>
  <si>
    <t>American-style skim finish with smooth surface on public-area walls, including substrate preparation, sanding and durable paint. Deducted from item 14.02 on measurement.</t>
  </si>
  <si>
    <t>—</t>
  </si>
  <si>
    <t>Quantity per measurement on site</t>
  </si>
  <si>
    <t>Total – Chapter 14</t>
  </si>
  <si>
    <t>Chapter 17 — External Development</t>
  </si>
  <si>
    <t>17.01</t>
  </si>
  <si>
    <t>Earthworks and levelling of development areas</t>
  </si>
  <si>
    <t>Shaping of levels and soil compaction per the approved plan.</t>
  </si>
  <si>
    <t>17.02</t>
  </si>
  <si>
    <t>Storm-water drainage system</t>
  </si>
  <si>
    <t>Storm-water drainage.</t>
  </si>
  <si>
    <t>17.04</t>
  </si>
  <si>
    <t>Landscaping, automatic irrigation and garden taps</t>
  </si>
  <si>
    <t>Planting areas, irrigation system and 11 garden taps; plant types to be defined.</t>
  </si>
  <si>
    <t>17.05</t>
  </si>
  <si>
    <t>Garden lighting incl. electrical connection</t>
  </si>
  <si>
    <t>Garden lighting and electrical connection.</t>
  </si>
  <si>
    <t>17.06</t>
  </si>
  <si>
    <t>Concrete paths</t>
  </si>
  <si>
    <t>Casting of concrete paths: excavation and levelling, compacted base layer, formwork, reinforcement mesh, concrete 10 cm thick, brushed or trowelled finish, expansion joints and curing, including all required path construction.</t>
  </si>
  <si>
    <t>Total – Chapter 17</t>
  </si>
  <si>
    <t>Total before VAT</t>
  </si>
  <si>
    <t>VAT</t>
  </si>
  <si>
    <t>VAT rate (to be confirmed)</t>
  </si>
  <si>
    <t>TOTAL INCLUDING VAT</t>
  </si>
  <si>
    <t>Summary of Quotation</t>
  </si>
  <si>
    <t>Chapter</t>
  </si>
  <si>
    <t>% of total</t>
  </si>
  <si>
    <t>1. Preparation and Site Establishment</t>
  </si>
  <si>
    <t>2. Demolition, Removals and Disposal</t>
  </si>
  <si>
    <t>3. Structural Works and Extensions</t>
  </si>
  <si>
    <t>4. New Block Wall Partitions</t>
  </si>
  <si>
    <t>5. Plumbing, Sanitary Fixtures and Taps</t>
  </si>
  <si>
    <t>6. Electrical Works</t>
  </si>
  <si>
    <t>7. Lighting and Light Switches</t>
  </si>
  <si>
    <t>9. Gypsum Partitions and Ceilings</t>
  </si>
  <si>
    <t>10. Internal Waterproofing</t>
  </si>
  <si>
    <t>12. Window Sills and Sealing</t>
  </si>
  <si>
    <t>13. Flooring, Wall Tiling and Cladding</t>
  </si>
  <si>
    <t>14. Plaster, Skim Coat and Paint</t>
  </si>
  <si>
    <t>17. External Development</t>
  </si>
  <si>
    <t>VAT (20%)</t>
  </si>
  <si>
    <t>#</t>
  </si>
  <si>
    <t>Terms &amp; Exclusions</t>
  </si>
  <si>
    <t>Basis</t>
  </si>
  <si>
    <t>The quotation is based on the Technical Specification Book (rev. 20, 06/07/2026), the architectural drawings "New Construction" – ground and first floor (17/09/2026) and the Contractor Quantity Schedule dated 24/09/2026. Where documents differ, the schedule of 24/09/2026 was used.</t>
  </si>
  <si>
    <t>Quantities</t>
  </si>
  <si>
    <t>Quantities per the above documents. Items marked "provisional" or "per measurement on site" will be remeasured; the final account follows quantities actually executed.</t>
  </si>
  <si>
    <t>Structure</t>
  </si>
  <si>
    <t>Chapter 3 (balcony and pergola, gallery room, entrance and stairs, strengthening of internal stairs) is a lump sum per the structural engineer's drawings; the price will be adjusted on receipt of the complete structural drawings.</t>
  </si>
  <si>
    <t>Supply</t>
  </si>
  <si>
    <t>Sanitary ware and taps, light fittings, air-conditioning units, water heaters and floor and wall tiles are supplied by the Employer; the Contractor installs. Kitchen sinks are installed by the countertop supplier.</t>
  </si>
  <si>
    <t>Exclusions</t>
  </si>
  <si>
    <t>Swimming pool; carpentry (kitchen, bathroom and wardrobe cabinets); aluminium windows and doors, interior and entrance doors, gates and shutters; parapet works; furniture; permits and fees; consultants' fees (structural, waterproofing, lighting); electricity company charges for the supply upgrade.</t>
  </si>
  <si>
    <t>Tests</t>
  </si>
  <si>
    <t>Required tests and approvals (structural engineer, waterproofing consultant, certified electrical inspector, flood and pressure tests) are included.</t>
  </si>
  <si>
    <t>Prices</t>
  </si>
  <si>
    <t>Prices in GBP, excluding VAT, price base October 2026, no indexation unless agreed otherwise.</t>
  </si>
  <si>
    <t>Commercial terms</t>
  </si>
  <si>
    <t>Validity: [__ days]   |   Payment terms: [__]   |   Programme: [__]</t>
  </si>
  <si>
    <t>Category</t>
  </si>
  <si>
    <t>Market data found (2026)</t>
  </si>
  <si>
    <t>Sources</t>
  </si>
  <si>
    <t>Plasterboard stud partition</t>
  </si>
  <si>
    <t>£30–£65/m²; acoustic / insulated £55–£100/m²</t>
  </si>
  <si>
    <t>trade2base.com/blog/stud-wall-costs-uk ; trade2base.com/blog/dry-lining-costs-uk ; fantasticservices.com/cost-guides/handyman/plastering/</t>
  </si>
  <si>
    <t>Large-format porcelain floor tiling (labour)</t>
  </si>
  <si>
    <t>£50–£80/m² (labour only); London/South East +20–30%</t>
  </si>
  <si>
    <t>trade2base.com/blog/tiling-pricing-guide-uk ; myjobquote.co.uk/questions/large-format-tile-installation-cost</t>
  </si>
  <si>
    <t>New socket point (electrician)</t>
  </si>
  <si>
    <t>£100–£250 per socket (new location)</t>
  </si>
  <si>
    <t>fantasticservices.com/cost-guides/electrical/socket-replacement/ ; myjobquote.co.uk/costs/new-plug-sockets</t>
  </si>
  <si>
    <t>Interior painting</t>
  </si>
  <si>
    <t>£14–£26/m² (prep, 2 coats, materials); skim coat adds £12–£20/m²</t>
  </si>
  <si>
    <t>bestbuilders.co.uk/costs/painting-cost-calculator ; trade2base.com/blog/painting-decorating-costs-uk</t>
  </si>
  <si>
    <t>Concrete path</t>
  </si>
  <si>
    <t>£60–£90/m² supplied and laid (2026)</t>
  </si>
  <si>
    <t>trade2base.com/blog/garden-path-costs-uk ; less.co.uk/home-improvements/driveways/concrete-cost</t>
  </si>
  <si>
    <t>Scaffolding</t>
  </si>
  <si>
    <t>≈ £22.5/m² (one listing); typical house £1,500–£3,500 erected, hired, dismantled</t>
  </si>
  <si>
    <t>checkatrade.com (GU6 listing) ; lakeside-hire.co.uk ; less.co.uk/home-improvements/scaffolding/cost</t>
  </si>
  <si>
    <t>Exchange rate</t>
  </si>
  <si>
    <t>≈ 4.10 ILS per GBP (9 Sep 2026 snapshot 4.0953; October values are forecasts only)</t>
  </si>
  <si>
    <t>longforecast.com/gbp-ils ; ofx.com</t>
  </si>
  <si>
    <t>Method: each unit rate = Israeli renovation-level base rate (ILS) × category multiplier ÷ exchange rate, then + 15% overheads and profit. Multipliers were calibrated on the anchors below (partition, tiling, electrical points, painting, concrete path, scaffolding); trades without an anchor use the average multiplier of the anchored ones. Calibration multipliers: part=0.62, tile=0.95, elec=1.86, paint=1.6, conc=0.77, scaf=1.69, gen=1.15. FX 4.1 ILS/GBP.</t>
  </si>
  <si>
    <t>Caveats: sources are mostly trade/lead-generation websites with wide, partly undated ranges; no official price book was used. The site is in Haifa, Israel – rates are UK market reference rates and were not adjusted for Israeli site conditions or logistics. English version assumes the UK market (GBP); confirm if another English-speaking market (e.g. USA/USD) is intended. All prices should be verified against supplier quotations before submission.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</si>
</sst>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&quot;£&quot;#,##0.00"/>
    <numFmt numFmtId="166" formatCode="0%"/>
    <numFmt numFmtId="167" formatCode="0.0%"/>
  </numFmts>
  <fonts count="9">
    <font>
      <sz val="11"/>
      <color theme="1"/>
      <name val="Calibri"/>
      <family val="2"/>
      <scheme val="minor"/>
    </font>
    <font>
      <b/>
      <sz val="16"/>
      <color rgb="FF012169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theme="1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1216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right" vertical="top"/>
    </xf>
    <xf numFmtId="0" fontId="7" fillId="5" borderId="1" xfId="0" applyFont="1" applyFill="1" applyBorder="1" applyAlignment="1">
      <alignment vertical="top"/>
    </xf>
    <xf numFmtId="165" fontId="7" fillId="5" borderId="1" xfId="0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166" fontId="4" fillId="6" borderId="1" xfId="0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8" fillId="4" borderId="1" xfId="0" applyFont="1" applyFill="1" applyBorder="1" applyAlignment="1">
      <alignment vertical="top"/>
    </xf>
    <xf numFmtId="165" fontId="8" fillId="4" borderId="1" xfId="0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167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12169"/>
    <pageSetUpPr fitToPage="1"/>
  </sheetPr>
  <dimension ref="A1:H173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9.7109375" customWidth="1"/>
    <col min="2" max="2" width="32.7109375" customWidth="1"/>
    <col min="3" max="3" width="62.7109375" customWidth="1"/>
    <col min="4" max="4" width="8.7109375" customWidth="1"/>
    <col min="5" max="5" width="10.7109375" customWidth="1"/>
    <col min="6" max="6" width="14.7109375" customWidth="1"/>
    <col min="7" max="7" width="16.7109375" customWidth="1"/>
    <col min="8" max="8" width="3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4" spans="1:8" ht="16" customHeight="1">
      <c r="A4" s="4" t="s">
        <v>3</v>
      </c>
      <c r="B4" s="4"/>
      <c r="C4" s="5"/>
      <c r="D4" s="6" t="s">
        <v>3</v>
      </c>
      <c r="E4" s="6"/>
      <c r="F4" s="6"/>
      <c r="G4" s="6"/>
      <c r="H4" s="6"/>
    </row>
    <row r="5" spans="1:8" ht="24" customHeight="1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</row>
    <row r="6" spans="1:8" ht="22" customHeight="1">
      <c r="A6" s="8" t="s">
        <v>12</v>
      </c>
      <c r="B6" s="8"/>
      <c r="C6" s="8"/>
      <c r="D6" s="8"/>
      <c r="E6" s="8"/>
      <c r="F6" s="8"/>
      <c r="G6" s="8"/>
      <c r="H6" s="8"/>
    </row>
    <row r="7" spans="1:8" ht="30" customHeight="1">
      <c r="A7" s="9" t="s">
        <v>13</v>
      </c>
      <c r="B7" s="10" t="s">
        <v>14</v>
      </c>
      <c r="C7" s="10" t="s">
        <v>15</v>
      </c>
      <c r="D7" s="9" t="s">
        <v>16</v>
      </c>
      <c r="E7" s="11">
        <v>1</v>
      </c>
      <c r="F7" s="12">
        <v>2580</v>
      </c>
      <c r="G7" s="12">
        <f>IF(AND(ISNUMBER(E7),ISNUMBER(F7)),ROUND(E7*F7,2),"")</f>
        <v>2580</v>
      </c>
      <c r="H7" s="10"/>
    </row>
    <row r="8" spans="1:8" ht="30" customHeight="1">
      <c r="A8" s="9" t="s">
        <v>17</v>
      </c>
      <c r="B8" s="10" t="s">
        <v>18</v>
      </c>
      <c r="C8" s="10" t="s">
        <v>19</v>
      </c>
      <c r="D8" s="9" t="s">
        <v>16</v>
      </c>
      <c r="E8" s="11">
        <v>1</v>
      </c>
      <c r="F8" s="12">
        <v>1290</v>
      </c>
      <c r="G8" s="12">
        <f>IF(AND(ISNUMBER(E8),ISNUMBER(F8)),ROUND(E8*F8,2),"")</f>
        <v>1290</v>
      </c>
      <c r="H8" s="10"/>
    </row>
    <row r="9" spans="1:8" ht="30" customHeight="1">
      <c r="A9" s="9" t="s">
        <v>20</v>
      </c>
      <c r="B9" s="10" t="s">
        <v>21</v>
      </c>
      <c r="C9" s="10" t="s">
        <v>22</v>
      </c>
      <c r="D9" s="9" t="s">
        <v>16</v>
      </c>
      <c r="E9" s="11">
        <v>1</v>
      </c>
      <c r="F9" s="12">
        <v>484</v>
      </c>
      <c r="G9" s="12">
        <f>IF(AND(ISNUMBER(E9),ISNUMBER(F9)),ROUND(E9*F9,2),"")</f>
        <v>484</v>
      </c>
      <c r="H9" s="10"/>
    </row>
    <row r="10" spans="1:8" ht="30" customHeight="1">
      <c r="A10" s="9" t="s">
        <v>23</v>
      </c>
      <c r="B10" s="10" t="s">
        <v>24</v>
      </c>
      <c r="C10" s="10" t="s">
        <v>25</v>
      </c>
      <c r="D10" s="9" t="s">
        <v>16</v>
      </c>
      <c r="E10" s="11">
        <v>1</v>
      </c>
      <c r="F10" s="12">
        <v>970</v>
      </c>
      <c r="G10" s="12">
        <f>IF(AND(ISNUMBER(E10),ISNUMBER(F10)),ROUND(E10*F10,2),"")</f>
        <v>970</v>
      </c>
      <c r="H10" s="10"/>
    </row>
    <row r="11" spans="1:8" ht="30" customHeight="1">
      <c r="A11" s="9" t="s">
        <v>26</v>
      </c>
      <c r="B11" s="10" t="s">
        <v>27</v>
      </c>
      <c r="C11" s="10" t="s">
        <v>28</v>
      </c>
      <c r="D11" s="9" t="s">
        <v>16</v>
      </c>
      <c r="E11" s="11">
        <v>1</v>
      </c>
      <c r="F11" s="12">
        <v>1610</v>
      </c>
      <c r="G11" s="12">
        <f>IF(AND(ISNUMBER(E11),ISNUMBER(F11)),ROUND(E11*F11,2),"")</f>
        <v>1610</v>
      </c>
      <c r="H11" s="10"/>
    </row>
    <row r="12" spans="1:8" ht="43" customHeight="1">
      <c r="A12" s="9" t="s">
        <v>29</v>
      </c>
      <c r="B12" s="10" t="s">
        <v>30</v>
      </c>
      <c r="C12" s="10" t="s">
        <v>31</v>
      </c>
      <c r="D12" s="9" t="s">
        <v>16</v>
      </c>
      <c r="E12" s="11">
        <v>1</v>
      </c>
      <c r="F12" s="12">
        <v>970</v>
      </c>
      <c r="G12" s="12">
        <f>IF(AND(ISNUMBER(E12),ISNUMBER(F12)),ROUND(E12*F12,2),"")</f>
        <v>970</v>
      </c>
      <c r="H12" s="10"/>
    </row>
    <row r="13" spans="1:8" ht="30" customHeight="1">
      <c r="A13" s="9" t="s">
        <v>32</v>
      </c>
      <c r="B13" s="10" t="s">
        <v>33</v>
      </c>
      <c r="C13" s="10" t="s">
        <v>34</v>
      </c>
      <c r="D13" s="9" t="s">
        <v>16</v>
      </c>
      <c r="E13" s="11">
        <v>1</v>
      </c>
      <c r="F13" s="12">
        <v>2900</v>
      </c>
      <c r="G13" s="12">
        <f>IF(AND(ISNUMBER(E13),ISNUMBER(F13)),ROUND(E13*F13,2),"")</f>
        <v>2900</v>
      </c>
      <c r="H13" s="10"/>
    </row>
    <row r="14" spans="1:8" ht="30" customHeight="1">
      <c r="A14" s="9" t="s">
        <v>35</v>
      </c>
      <c r="B14" s="10" t="s">
        <v>36</v>
      </c>
      <c r="C14" s="10" t="s">
        <v>37</v>
      </c>
      <c r="D14" s="9" t="s">
        <v>16</v>
      </c>
      <c r="E14" s="11">
        <v>1</v>
      </c>
      <c r="F14" s="12">
        <v>2900</v>
      </c>
      <c r="G14" s="12">
        <f>IF(AND(ISNUMBER(E14),ISNUMBER(F14)),ROUND(E14*F14,2),"")</f>
        <v>2900</v>
      </c>
      <c r="H14" s="10"/>
    </row>
    <row r="15" spans="1:8" ht="56" customHeight="1">
      <c r="A15" s="9" t="s">
        <v>38</v>
      </c>
      <c r="B15" s="10" t="s">
        <v>39</v>
      </c>
      <c r="C15" s="10" t="s">
        <v>40</v>
      </c>
      <c r="D15" s="9" t="s">
        <v>41</v>
      </c>
      <c r="E15" s="11">
        <v>225</v>
      </c>
      <c r="F15" s="12">
        <v>40.5</v>
      </c>
      <c r="G15" s="12">
        <f>IF(AND(ISNUMBER(E15),ISNUMBER(F15)),ROUND(E15*F15,2),"")</f>
        <v>9112.5</v>
      </c>
      <c r="H15" s="10" t="s">
        <v>42</v>
      </c>
    </row>
    <row r="16" spans="1:8">
      <c r="A16" s="13" t="s">
        <v>43</v>
      </c>
      <c r="B16" s="13"/>
      <c r="C16" s="13"/>
      <c r="D16" s="13"/>
      <c r="E16" s="13"/>
      <c r="F16" s="13"/>
      <c r="G16" s="14">
        <f>IF(COUNT(G7:G15)=0,"",SUM(G7:G15))</f>
        <v>22816.5</v>
      </c>
      <c r="H16" s="13"/>
    </row>
    <row r="18" spans="1:8" ht="22" customHeight="1">
      <c r="A18" s="8" t="s">
        <v>44</v>
      </c>
      <c r="B18" s="8"/>
      <c r="C18" s="8"/>
      <c r="D18" s="8"/>
      <c r="E18" s="8"/>
      <c r="F18" s="8"/>
      <c r="G18" s="8"/>
      <c r="H18" s="8"/>
    </row>
    <row r="19" spans="1:8" ht="30" customHeight="1">
      <c r="A19" s="9" t="s">
        <v>45</v>
      </c>
      <c r="B19" s="10" t="s">
        <v>46</v>
      </c>
      <c r="C19" s="10" t="s">
        <v>47</v>
      </c>
      <c r="D19" s="9" t="s">
        <v>41</v>
      </c>
      <c r="E19" s="11">
        <v>62</v>
      </c>
      <c r="F19" s="12">
        <v>38.5</v>
      </c>
      <c r="G19" s="12">
        <f>IF(AND(ISNUMBER(E19),ISNUMBER(F19)),ROUND(E19*F19,2),"")</f>
        <v>2387.0</v>
      </c>
      <c r="H19" s="10"/>
    </row>
    <row r="20" spans="1:8" ht="30" customHeight="1">
      <c r="A20" s="9" t="s">
        <v>48</v>
      </c>
      <c r="B20" s="10" t="s">
        <v>49</v>
      </c>
      <c r="C20" s="10" t="s">
        <v>47</v>
      </c>
      <c r="D20" s="9" t="s">
        <v>41</v>
      </c>
      <c r="E20" s="11">
        <v>51</v>
      </c>
      <c r="F20" s="12">
        <v>38.5</v>
      </c>
      <c r="G20" s="12">
        <f>IF(AND(ISNUMBER(E20),ISNUMBER(F20)),ROUND(E20*F20,2),"")</f>
        <v>1963.5</v>
      </c>
      <c r="H20" s="10"/>
    </row>
    <row r="21" spans="1:8" ht="30" customHeight="1">
      <c r="A21" s="9" t="s">
        <v>50</v>
      </c>
      <c r="B21" s="10" t="s">
        <v>51</v>
      </c>
      <c r="C21" s="10" t="s">
        <v>47</v>
      </c>
      <c r="D21" s="9" t="s">
        <v>41</v>
      </c>
      <c r="E21" s="11">
        <v>85</v>
      </c>
      <c r="F21" s="12">
        <v>38.5</v>
      </c>
      <c r="G21" s="12">
        <f>IF(AND(ISNUMBER(E21),ISNUMBER(F21)),ROUND(E21*F21,2),"")</f>
        <v>3272.5</v>
      </c>
      <c r="H21" s="10"/>
    </row>
    <row r="22" spans="1:8" ht="26" customHeight="1">
      <c r="A22" s="9" t="s">
        <v>52</v>
      </c>
      <c r="B22" s="10" t="s">
        <v>53</v>
      </c>
      <c r="C22" s="10" t="s">
        <v>54</v>
      </c>
      <c r="D22" s="9" t="s">
        <v>41</v>
      </c>
      <c r="E22" s="11">
        <v>10</v>
      </c>
      <c r="F22" s="12">
        <v>16</v>
      </c>
      <c r="G22" s="12">
        <f>IF(AND(ISNUMBER(E22),ISNUMBER(F22)),ROUND(E22*F22,2),"")</f>
        <v>160.0</v>
      </c>
      <c r="H22" s="10"/>
    </row>
    <row r="23" spans="1:8" ht="26" customHeight="1">
      <c r="A23" s="9" t="s">
        <v>55</v>
      </c>
      <c r="B23" s="10" t="s">
        <v>56</v>
      </c>
      <c r="C23" s="10" t="s">
        <v>57</v>
      </c>
      <c r="D23" s="9" t="s">
        <v>41</v>
      </c>
      <c r="E23" s="11">
        <v>40</v>
      </c>
      <c r="F23" s="12">
        <v>29</v>
      </c>
      <c r="G23" s="12">
        <f>IF(AND(ISNUMBER(E23),ISNUMBER(F23)),ROUND(E23*F23,2),"")</f>
        <v>1160.0</v>
      </c>
      <c r="H23" s="10"/>
    </row>
    <row r="24" spans="1:8" ht="26" customHeight="1">
      <c r="A24" s="9" t="s">
        <v>58</v>
      </c>
      <c r="B24" s="10" t="s">
        <v>59</v>
      </c>
      <c r="C24" s="10" t="s">
        <v>60</v>
      </c>
      <c r="D24" s="9" t="s">
        <v>16</v>
      </c>
      <c r="E24" s="11">
        <v>1</v>
      </c>
      <c r="F24" s="12">
        <v>650</v>
      </c>
      <c r="G24" s="12">
        <f>IF(AND(ISNUMBER(E24),ISNUMBER(F24)),ROUND(E24*F24,2),"")</f>
        <v>650</v>
      </c>
      <c r="H24" s="10"/>
    </row>
    <row r="25" spans="1:8" ht="26" customHeight="1">
      <c r="A25" s="9" t="s">
        <v>61</v>
      </c>
      <c r="B25" s="10" t="s">
        <v>62</v>
      </c>
      <c r="C25" s="10" t="s">
        <v>63</v>
      </c>
      <c r="D25" s="9" t="s">
        <v>64</v>
      </c>
      <c r="E25" s="11">
        <v>1</v>
      </c>
      <c r="F25" s="12">
        <v>810</v>
      </c>
      <c r="G25" s="12">
        <f>IF(AND(ISNUMBER(E25),ISNUMBER(F25)),ROUND(E25*F25,2),"")</f>
        <v>810</v>
      </c>
      <c r="H25" s="10"/>
    </row>
    <row r="26" spans="1:8" ht="30" customHeight="1">
      <c r="A26" s="9" t="s">
        <v>65</v>
      </c>
      <c r="B26" s="10" t="s">
        <v>66</v>
      </c>
      <c r="C26" s="10" t="s">
        <v>67</v>
      </c>
      <c r="D26" s="9" t="s">
        <v>16</v>
      </c>
      <c r="E26" s="11">
        <v>1</v>
      </c>
      <c r="F26" s="12">
        <v>1940</v>
      </c>
      <c r="G26" s="12">
        <f>IF(AND(ISNUMBER(E26),ISNUMBER(F26)),ROUND(E26*F26,2),"")</f>
        <v>1940</v>
      </c>
      <c r="H26" s="10"/>
    </row>
    <row r="27" spans="1:8" ht="30" customHeight="1">
      <c r="A27" s="9" t="s">
        <v>68</v>
      </c>
      <c r="B27" s="10" t="s">
        <v>69</v>
      </c>
      <c r="C27" s="10" t="s">
        <v>70</v>
      </c>
      <c r="D27" s="9" t="s">
        <v>16</v>
      </c>
      <c r="E27" s="11">
        <v>1</v>
      </c>
      <c r="F27" s="12">
        <v>1130</v>
      </c>
      <c r="G27" s="12">
        <f>IF(AND(ISNUMBER(E27),ISNUMBER(F27)),ROUND(E27*F27,2),"")</f>
        <v>1130</v>
      </c>
      <c r="H27" s="10"/>
    </row>
    <row r="28" spans="1:8" ht="30" customHeight="1">
      <c r="A28" s="9" t="s">
        <v>71</v>
      </c>
      <c r="B28" s="10" t="s">
        <v>72</v>
      </c>
      <c r="C28" s="10" t="s">
        <v>73</v>
      </c>
      <c r="D28" s="9" t="s">
        <v>16</v>
      </c>
      <c r="E28" s="11">
        <v>1</v>
      </c>
      <c r="F28" s="12">
        <v>2580</v>
      </c>
      <c r="G28" s="12">
        <f>IF(AND(ISNUMBER(E28),ISNUMBER(F28)),ROUND(E28*F28,2),"")</f>
        <v>2580</v>
      </c>
      <c r="H28" s="10"/>
    </row>
    <row r="29" spans="1:8" ht="30" customHeight="1">
      <c r="A29" s="9" t="s">
        <v>74</v>
      </c>
      <c r="B29" s="10" t="s">
        <v>75</v>
      </c>
      <c r="C29" s="10" t="s">
        <v>76</v>
      </c>
      <c r="D29" s="9" t="s">
        <v>16</v>
      </c>
      <c r="E29" s="11">
        <v>1</v>
      </c>
      <c r="F29" s="12">
        <v>1290</v>
      </c>
      <c r="G29" s="12">
        <f>IF(AND(ISNUMBER(E29),ISNUMBER(F29)),ROUND(E29*F29,2),"")</f>
        <v>1290</v>
      </c>
      <c r="H29" s="10"/>
    </row>
    <row r="30" spans="1:8" ht="26" customHeight="1">
      <c r="A30" s="9" t="s">
        <v>77</v>
      </c>
      <c r="B30" s="10" t="s">
        <v>78</v>
      </c>
      <c r="C30" s="10" t="s">
        <v>79</v>
      </c>
      <c r="D30" s="9" t="s">
        <v>16</v>
      </c>
      <c r="E30" s="11">
        <v>1</v>
      </c>
      <c r="F30" s="12">
        <v>970</v>
      </c>
      <c r="G30" s="12">
        <f>IF(AND(ISNUMBER(E30),ISNUMBER(F30)),ROUND(E30*F30,2),"")</f>
        <v>970</v>
      </c>
      <c r="H30" s="10"/>
    </row>
    <row r="31" spans="1:8" ht="30" customHeight="1">
      <c r="A31" s="9" t="s">
        <v>80</v>
      </c>
      <c r="B31" s="10" t="s">
        <v>81</v>
      </c>
      <c r="C31" s="10" t="s">
        <v>82</v>
      </c>
      <c r="D31" s="9" t="s">
        <v>16</v>
      </c>
      <c r="E31" s="11">
        <v>1</v>
      </c>
      <c r="F31" s="12">
        <v>810</v>
      </c>
      <c r="G31" s="12">
        <f>IF(AND(ISNUMBER(E31),ISNUMBER(F31)),ROUND(E31*F31,2),"")</f>
        <v>810</v>
      </c>
      <c r="H31" s="10"/>
    </row>
    <row r="32" spans="1:8" ht="30" customHeight="1">
      <c r="A32" s="9" t="s">
        <v>83</v>
      </c>
      <c r="B32" s="10" t="s">
        <v>84</v>
      </c>
      <c r="C32" s="10" t="s">
        <v>85</v>
      </c>
      <c r="D32" s="9" t="s">
        <v>16</v>
      </c>
      <c r="E32" s="11">
        <v>1</v>
      </c>
      <c r="F32" s="12">
        <v>650</v>
      </c>
      <c r="G32" s="12">
        <f>IF(AND(ISNUMBER(E32),ISNUMBER(F32)),ROUND(E32*F32,2),"")</f>
        <v>650</v>
      </c>
      <c r="H32" s="10"/>
    </row>
    <row r="33" spans="1:8" ht="56" customHeight="1">
      <c r="A33" s="9" t="s">
        <v>86</v>
      </c>
      <c r="B33" s="10" t="s">
        <v>87</v>
      </c>
      <c r="C33" s="10" t="s">
        <v>88</v>
      </c>
      <c r="D33" s="9" t="s">
        <v>89</v>
      </c>
      <c r="E33" s="11">
        <v>47.3</v>
      </c>
      <c r="F33" s="12">
        <v>55</v>
      </c>
      <c r="G33" s="12">
        <f>IF(AND(ISNUMBER(E33),ISNUMBER(F33)),ROUND(E33*F33,2),"")</f>
        <v>2601.5</v>
      </c>
      <c r="H33" s="10"/>
    </row>
    <row r="34" spans="1:8" ht="30" customHeight="1">
      <c r="A34" s="9" t="s">
        <v>90</v>
      </c>
      <c r="B34" s="10" t="s">
        <v>91</v>
      </c>
      <c r="C34" s="10" t="s">
        <v>92</v>
      </c>
      <c r="D34" s="9" t="s">
        <v>16</v>
      </c>
      <c r="E34" s="11">
        <v>1</v>
      </c>
      <c r="F34" s="12">
        <v>9000</v>
      </c>
      <c r="G34" s="12">
        <f>IF(AND(ISNUMBER(E34),ISNUMBER(F34)),ROUND(E34*F34,2),"")</f>
        <v>9000</v>
      </c>
      <c r="H34" s="10"/>
    </row>
    <row r="35" spans="1:8" ht="26" customHeight="1">
      <c r="A35" s="9" t="s">
        <v>93</v>
      </c>
      <c r="B35" s="10" t="s">
        <v>94</v>
      </c>
      <c r="C35" s="10" t="s">
        <v>95</v>
      </c>
      <c r="D35" s="9" t="s">
        <v>16</v>
      </c>
      <c r="E35" s="11">
        <v>1</v>
      </c>
      <c r="F35" s="12">
        <v>970</v>
      </c>
      <c r="G35" s="12">
        <f>IF(AND(ISNUMBER(E35),ISNUMBER(F35)),ROUND(E35*F35,2),"")</f>
        <v>970</v>
      </c>
      <c r="H35" s="10"/>
    </row>
    <row r="36" spans="1:8" ht="26" customHeight="1">
      <c r="A36" s="9" t="s">
        <v>96</v>
      </c>
      <c r="B36" s="10" t="s">
        <v>97</v>
      </c>
      <c r="C36" s="10" t="s">
        <v>98</v>
      </c>
      <c r="D36" s="9" t="s">
        <v>16</v>
      </c>
      <c r="E36" s="11">
        <v>1</v>
      </c>
      <c r="F36" s="12">
        <v>1450</v>
      </c>
      <c r="G36" s="12">
        <f>IF(AND(ISNUMBER(E36),ISNUMBER(F36)),ROUND(E36*F36,2),"")</f>
        <v>1450</v>
      </c>
      <c r="H36" s="10"/>
    </row>
    <row r="37" spans="1:8" ht="30" customHeight="1">
      <c r="A37" s="9" t="s">
        <v>99</v>
      </c>
      <c r="B37" s="10" t="s">
        <v>100</v>
      </c>
      <c r="C37" s="10" t="s">
        <v>101</v>
      </c>
      <c r="D37" s="9" t="s">
        <v>41</v>
      </c>
      <c r="E37" s="11">
        <v>103.4</v>
      </c>
      <c r="F37" s="12">
        <v>32.5</v>
      </c>
      <c r="G37" s="12">
        <f>IF(AND(ISNUMBER(E37),ISNUMBER(F37)),ROUND(E37*F37,2),"")</f>
        <v>3360.5</v>
      </c>
      <c r="H37" s="10"/>
    </row>
    <row r="38" spans="1:8" ht="43" customHeight="1">
      <c r="A38" s="9" t="s">
        <v>102</v>
      </c>
      <c r="B38" s="10" t="s">
        <v>103</v>
      </c>
      <c r="C38" s="10" t="s">
        <v>104</v>
      </c>
      <c r="D38" s="9" t="s">
        <v>16</v>
      </c>
      <c r="E38" s="11">
        <v>1</v>
      </c>
      <c r="F38" s="12">
        <v>970</v>
      </c>
      <c r="G38" s="12">
        <f>IF(AND(ISNUMBER(E38),ISNUMBER(F38)),ROUND(E38*F38,2),"")</f>
        <v>970</v>
      </c>
      <c r="H38" s="10"/>
    </row>
    <row r="39" spans="1:8" ht="43" customHeight="1">
      <c r="A39" s="9" t="s">
        <v>105</v>
      </c>
      <c r="B39" s="10" t="s">
        <v>106</v>
      </c>
      <c r="C39" s="10" t="s">
        <v>107</v>
      </c>
      <c r="D39" s="9" t="s">
        <v>41</v>
      </c>
      <c r="E39" s="11">
        <v>65</v>
      </c>
      <c r="F39" s="12">
        <v>11.5</v>
      </c>
      <c r="G39" s="12">
        <f>IF(AND(ISNUMBER(E39),ISNUMBER(F39)),ROUND(E39*F39,2),"")</f>
        <v>747.5</v>
      </c>
      <c r="H39" s="10" t="s">
        <v>42</v>
      </c>
    </row>
    <row r="40" spans="1:8">
      <c r="A40" s="13" t="s">
        <v>108</v>
      </c>
      <c r="B40" s="13"/>
      <c r="C40" s="13"/>
      <c r="D40" s="13"/>
      <c r="E40" s="13"/>
      <c r="F40" s="13"/>
      <c r="G40" s="14">
        <f>IF(COUNT(G19:G39)=0,"",SUM(G19:G39))</f>
        <v>38872.5</v>
      </c>
      <c r="H40" s="13"/>
    </row>
    <row r="42" spans="1:8" ht="22" customHeight="1">
      <c r="A42" s="8" t="s">
        <v>109</v>
      </c>
      <c r="B42" s="8"/>
      <c r="C42" s="8"/>
      <c r="D42" s="8"/>
      <c r="E42" s="8"/>
      <c r="F42" s="8"/>
      <c r="G42" s="8"/>
      <c r="H42" s="8"/>
    </row>
    <row r="43" spans="1:8" ht="30" customHeight="1">
      <c r="A43" s="9" t="s">
        <v>110</v>
      </c>
      <c r="B43" s="10" t="s">
        <v>111</v>
      </c>
      <c r="C43" s="10" t="s">
        <v>112</v>
      </c>
      <c r="D43" s="9" t="s">
        <v>16</v>
      </c>
      <c r="E43" s="11">
        <v>1</v>
      </c>
      <c r="F43" s="12">
        <v>22600</v>
      </c>
      <c r="G43" s="12">
        <f>IF(AND(ISNUMBER(E43),ISNUMBER(F43)),ROUND(E43*F43,2),"")</f>
        <v>22600</v>
      </c>
      <c r="H43" s="10" t="s">
        <v>113</v>
      </c>
    </row>
    <row r="44" spans="1:8" ht="56" customHeight="1">
      <c r="A44" s="9" t="s">
        <v>114</v>
      </c>
      <c r="B44" s="10" t="s">
        <v>115</v>
      </c>
      <c r="C44" s="10" t="s">
        <v>116</v>
      </c>
      <c r="D44" s="9" t="s">
        <v>16</v>
      </c>
      <c r="E44" s="11">
        <v>1</v>
      </c>
      <c r="F44" s="12">
        <v>38700</v>
      </c>
      <c r="G44" s="12">
        <f>IF(AND(ISNUMBER(E44),ISNUMBER(F44)),ROUND(E44*F44,2),"")</f>
        <v>38700</v>
      </c>
      <c r="H44" s="10" t="s">
        <v>113</v>
      </c>
    </row>
    <row r="45" spans="1:8" ht="30" customHeight="1">
      <c r="A45" s="9" t="s">
        <v>117</v>
      </c>
      <c r="B45" s="10" t="s">
        <v>118</v>
      </c>
      <c r="C45" s="10" t="s">
        <v>119</v>
      </c>
      <c r="D45" s="9" t="s">
        <v>16</v>
      </c>
      <c r="E45" s="11">
        <v>1</v>
      </c>
      <c r="F45" s="12">
        <v>12300</v>
      </c>
      <c r="G45" s="12">
        <f>IF(AND(ISNUMBER(E45),ISNUMBER(F45)),ROUND(E45*F45,2),"")</f>
        <v>12300</v>
      </c>
      <c r="H45" s="10" t="s">
        <v>113</v>
      </c>
    </row>
    <row r="46" spans="1:8" ht="30" customHeight="1">
      <c r="A46" s="9" t="s">
        <v>120</v>
      </c>
      <c r="B46" s="10" t="s">
        <v>121</v>
      </c>
      <c r="C46" s="10" t="s">
        <v>122</v>
      </c>
      <c r="D46" s="9" t="s">
        <v>16</v>
      </c>
      <c r="E46" s="11">
        <v>1</v>
      </c>
      <c r="F46" s="12">
        <v>5800</v>
      </c>
      <c r="G46" s="12">
        <f>IF(AND(ISNUMBER(E46),ISNUMBER(F46)),ROUND(E46*F46,2),"")</f>
        <v>5800</v>
      </c>
      <c r="H46" s="10" t="s">
        <v>113</v>
      </c>
    </row>
    <row r="47" spans="1:8" ht="69" customHeight="1">
      <c r="A47" s="9" t="s">
        <v>123</v>
      </c>
      <c r="B47" s="10" t="s">
        <v>124</v>
      </c>
      <c r="C47" s="10" t="s">
        <v>125</v>
      </c>
      <c r="D47" s="9" t="s">
        <v>64</v>
      </c>
      <c r="E47" s="11">
        <v>12</v>
      </c>
      <c r="F47" s="12">
        <v>900</v>
      </c>
      <c r="G47" s="12">
        <f>IF(AND(ISNUMBER(E47),ISNUMBER(F47)),ROUND(E47*F47,2),"")</f>
        <v>10800</v>
      </c>
      <c r="H47" s="10" t="s">
        <v>126</v>
      </c>
    </row>
    <row r="48" spans="1:8">
      <c r="A48" s="13" t="s">
        <v>127</v>
      </c>
      <c r="B48" s="13"/>
      <c r="C48" s="13"/>
      <c r="D48" s="13"/>
      <c r="E48" s="13"/>
      <c r="F48" s="13"/>
      <c r="G48" s="14">
        <f>IF(COUNT(G43:G47)=0,"",SUM(G43:G47))</f>
        <v>90200.0</v>
      </c>
      <c r="H48" s="13"/>
    </row>
    <row r="50" spans="1:8" ht="22" customHeight="1">
      <c r="A50" s="8" t="s">
        <v>128</v>
      </c>
      <c r="B50" s="8"/>
      <c r="C50" s="8"/>
      <c r="D50" s="8"/>
      <c r="E50" s="8"/>
      <c r="F50" s="8"/>
      <c r="G50" s="8"/>
      <c r="H50" s="8"/>
    </row>
    <row r="51" spans="1:8" ht="26" customHeight="1">
      <c r="A51" s="9" t="s">
        <v>129</v>
      </c>
      <c r="B51" s="10" t="s">
        <v>130</v>
      </c>
      <c r="C51" s="10" t="s">
        <v>131</v>
      </c>
      <c r="D51" s="9" t="s">
        <v>41</v>
      </c>
      <c r="E51" s="11">
        <v>6.3</v>
      </c>
      <c r="F51" s="12">
        <v>97</v>
      </c>
      <c r="G51" s="12">
        <f>IF(AND(ISNUMBER(E51),ISNUMBER(F51)),ROUND(E51*F51,2),"")</f>
        <v>611.1</v>
      </c>
      <c r="H51" s="10"/>
    </row>
    <row r="52" spans="1:8" ht="26" customHeight="1">
      <c r="A52" s="9" t="s">
        <v>132</v>
      </c>
      <c r="B52" s="10" t="s">
        <v>133</v>
      </c>
      <c r="C52" s="10" t="s">
        <v>131</v>
      </c>
      <c r="D52" s="9" t="s">
        <v>41</v>
      </c>
      <c r="E52" s="11">
        <v>17.7</v>
      </c>
      <c r="F52" s="12">
        <v>97</v>
      </c>
      <c r="G52" s="12">
        <f>IF(AND(ISNUMBER(E52),ISNUMBER(F52)),ROUND(E52*F52,2),"")</f>
        <v>1716.9</v>
      </c>
      <c r="H52" s="10"/>
    </row>
    <row r="53" spans="1:8" ht="26" customHeight="1">
      <c r="A53" s="9" t="s">
        <v>134</v>
      </c>
      <c r="B53" s="10" t="s">
        <v>135</v>
      </c>
      <c r="C53" s="10" t="s">
        <v>131</v>
      </c>
      <c r="D53" s="9" t="s">
        <v>41</v>
      </c>
      <c r="E53" s="11">
        <v>2.08</v>
      </c>
      <c r="F53" s="12">
        <v>97</v>
      </c>
      <c r="G53" s="12">
        <f>IF(AND(ISNUMBER(E53),ISNUMBER(F53)),ROUND(E53*F53,2),"")</f>
        <v>201.76</v>
      </c>
      <c r="H53" s="10"/>
    </row>
    <row r="54" spans="1:8">
      <c r="A54" s="13" t="s">
        <v>136</v>
      </c>
      <c r="B54" s="13"/>
      <c r="C54" s="13"/>
      <c r="D54" s="13"/>
      <c r="E54" s="13"/>
      <c r="F54" s="13"/>
      <c r="G54" s="14">
        <f>IF(COUNT(G51:G53)=0,"",SUM(G51:G53))</f>
        <v>2529.76</v>
      </c>
      <c r="H54" s="13"/>
    </row>
    <row r="56" spans="1:8" ht="22" customHeight="1">
      <c r="A56" s="8" t="s">
        <v>137</v>
      </c>
      <c r="B56" s="8"/>
      <c r="C56" s="8"/>
      <c r="D56" s="8"/>
      <c r="E56" s="8"/>
      <c r="F56" s="8"/>
      <c r="G56" s="8"/>
      <c r="H56" s="8"/>
    </row>
    <row r="57" spans="1:8" ht="30" customHeight="1">
      <c r="A57" s="9" t="s">
        <v>138</v>
      </c>
      <c r="B57" s="10" t="s">
        <v>139</v>
      </c>
      <c r="C57" s="10" t="s">
        <v>140</v>
      </c>
      <c r="D57" s="9" t="s">
        <v>64</v>
      </c>
      <c r="E57" s="11">
        <v>7</v>
      </c>
      <c r="F57" s="12">
        <v>258</v>
      </c>
      <c r="G57" s="12">
        <f>IF(AND(ISNUMBER(E57),ISNUMBER(F57)),ROUND(E57*F57,2),"")</f>
        <v>1806</v>
      </c>
      <c r="H57" s="10" t="s">
        <v>141</v>
      </c>
    </row>
    <row r="58" spans="1:8" ht="30" customHeight="1">
      <c r="A58" s="9" t="s">
        <v>142</v>
      </c>
      <c r="B58" s="10" t="s">
        <v>143</v>
      </c>
      <c r="C58" s="10" t="s">
        <v>144</v>
      </c>
      <c r="D58" s="9" t="s">
        <v>64</v>
      </c>
      <c r="E58" s="11">
        <v>7</v>
      </c>
      <c r="F58" s="12">
        <v>355</v>
      </c>
      <c r="G58" s="12">
        <f>IF(AND(ISNUMBER(E58),ISNUMBER(F58)),ROUND(E58*F58,2),"")</f>
        <v>2485</v>
      </c>
      <c r="H58" s="10" t="s">
        <v>141</v>
      </c>
    </row>
    <row r="59" spans="1:8" ht="26" customHeight="1">
      <c r="A59" s="9" t="s">
        <v>145</v>
      </c>
      <c r="B59" s="10" t="s">
        <v>146</v>
      </c>
      <c r="C59" s="10" t="s">
        <v>147</v>
      </c>
      <c r="D59" s="9" t="s">
        <v>64</v>
      </c>
      <c r="E59" s="11">
        <v>7</v>
      </c>
      <c r="F59" s="12">
        <v>48.5</v>
      </c>
      <c r="G59" s="12">
        <f>IF(AND(ISNUMBER(E59),ISNUMBER(F59)),ROUND(E59*F59,2),"")</f>
        <v>339.5</v>
      </c>
      <c r="H59" s="10" t="s">
        <v>141</v>
      </c>
    </row>
    <row r="60" spans="1:8" ht="26" customHeight="1">
      <c r="A60" s="9" t="s">
        <v>148</v>
      </c>
      <c r="B60" s="10" t="s">
        <v>149</v>
      </c>
      <c r="C60" s="10" t="s">
        <v>150</v>
      </c>
      <c r="D60" s="9" t="s">
        <v>64</v>
      </c>
      <c r="E60" s="11">
        <v>7</v>
      </c>
      <c r="F60" s="12">
        <v>48.5</v>
      </c>
      <c r="G60" s="12">
        <f>IF(AND(ISNUMBER(E60),ISNUMBER(F60)),ROUND(E60*F60,2),"")</f>
        <v>339.5</v>
      </c>
      <c r="H60" s="10" t="s">
        <v>141</v>
      </c>
    </row>
    <row r="61" spans="1:8" ht="26" customHeight="1">
      <c r="A61" s="9" t="s">
        <v>151</v>
      </c>
      <c r="B61" s="10" t="s">
        <v>152</v>
      </c>
      <c r="C61" s="10" t="s">
        <v>153</v>
      </c>
      <c r="D61" s="9" t="s">
        <v>64</v>
      </c>
      <c r="E61" s="11">
        <v>1</v>
      </c>
      <c r="F61" s="12">
        <v>194</v>
      </c>
      <c r="G61" s="12">
        <f>IF(AND(ISNUMBER(E61),ISNUMBER(F61)),ROUND(E61*F61,2),"")</f>
        <v>194</v>
      </c>
      <c r="H61" s="10" t="s">
        <v>141</v>
      </c>
    </row>
    <row r="62" spans="1:8" ht="26" customHeight="1">
      <c r="A62" s="9" t="s">
        <v>154</v>
      </c>
      <c r="B62" s="10" t="s">
        <v>155</v>
      </c>
      <c r="C62" s="10" t="s">
        <v>156</v>
      </c>
      <c r="D62" s="9" t="s">
        <v>64</v>
      </c>
      <c r="E62" s="11">
        <v>6</v>
      </c>
      <c r="F62" s="12">
        <v>97</v>
      </c>
      <c r="G62" s="12">
        <f>IF(AND(ISNUMBER(E62),ISNUMBER(F62)),ROUND(E62*F62,2),"")</f>
        <v>582</v>
      </c>
      <c r="H62" s="10" t="s">
        <v>141</v>
      </c>
    </row>
    <row r="63" spans="1:8" ht="26" customHeight="1">
      <c r="A63" s="9" t="s">
        <v>157</v>
      </c>
      <c r="B63" s="10" t="s">
        <v>158</v>
      </c>
      <c r="C63" s="10" t="s">
        <v>156</v>
      </c>
      <c r="D63" s="9" t="s">
        <v>64</v>
      </c>
      <c r="E63" s="11">
        <v>6</v>
      </c>
      <c r="F63" s="12">
        <v>145</v>
      </c>
      <c r="G63" s="12">
        <f>IF(AND(ISNUMBER(E63),ISNUMBER(F63)),ROUND(E63*F63,2),"")</f>
        <v>870</v>
      </c>
      <c r="H63" s="10" t="s">
        <v>141</v>
      </c>
    </row>
    <row r="64" spans="1:8" ht="30" customHeight="1">
      <c r="A64" s="9" t="s">
        <v>159</v>
      </c>
      <c r="B64" s="10" t="s">
        <v>160</v>
      </c>
      <c r="C64" s="10" t="s">
        <v>161</v>
      </c>
      <c r="D64" s="9" t="s">
        <v>64</v>
      </c>
      <c r="E64" s="11">
        <v>10</v>
      </c>
      <c r="F64" s="12">
        <v>145</v>
      </c>
      <c r="G64" s="12">
        <f>IF(AND(ISNUMBER(E64),ISNUMBER(F64)),ROUND(E64*F64,2),"")</f>
        <v>1450</v>
      </c>
      <c r="H64" s="10" t="s">
        <v>141</v>
      </c>
    </row>
    <row r="65" spans="1:8" ht="30" customHeight="1">
      <c r="A65" s="9" t="s">
        <v>162</v>
      </c>
      <c r="B65" s="10" t="s">
        <v>163</v>
      </c>
      <c r="C65" s="10" t="s">
        <v>164</v>
      </c>
      <c r="D65" s="9" t="s">
        <v>64</v>
      </c>
      <c r="E65" s="11">
        <v>2</v>
      </c>
      <c r="F65" s="12">
        <v>194</v>
      </c>
      <c r="G65" s="12">
        <f>IF(AND(ISNUMBER(E65),ISNUMBER(F65)),ROUND(E65*F65,2),"")</f>
        <v>388</v>
      </c>
      <c r="H65" s="10" t="s">
        <v>141</v>
      </c>
    </row>
    <row r="66" spans="1:8" ht="26" customHeight="1">
      <c r="A66" s="9" t="s">
        <v>165</v>
      </c>
      <c r="B66" s="10" t="s">
        <v>166</v>
      </c>
      <c r="C66" s="10" t="s">
        <v>167</v>
      </c>
      <c r="D66" s="9" t="s">
        <v>64</v>
      </c>
      <c r="E66" s="11">
        <v>7</v>
      </c>
      <c r="F66" s="12">
        <v>81</v>
      </c>
      <c r="G66" s="12">
        <f>IF(AND(ISNUMBER(E66),ISNUMBER(F66)),ROUND(E66*F66,2),"")</f>
        <v>567</v>
      </c>
      <c r="H66" s="10" t="s">
        <v>141</v>
      </c>
    </row>
    <row r="67" spans="1:8" ht="26" customHeight="1">
      <c r="A67" s="9" t="s">
        <v>168</v>
      </c>
      <c r="B67" s="10" t="s">
        <v>169</v>
      </c>
      <c r="C67" s="10" t="s">
        <v>170</v>
      </c>
      <c r="D67" s="9" t="s">
        <v>64</v>
      </c>
      <c r="E67" s="11">
        <v>5</v>
      </c>
      <c r="F67" s="12">
        <v>210</v>
      </c>
      <c r="G67" s="12">
        <f>IF(AND(ISNUMBER(E67),ISNUMBER(F67)),ROUND(E67*F67,2),"")</f>
        <v>1050</v>
      </c>
      <c r="H67" s="10" t="s">
        <v>141</v>
      </c>
    </row>
    <row r="68" spans="1:8" ht="26" customHeight="1">
      <c r="A68" s="9" t="s">
        <v>171</v>
      </c>
      <c r="B68" s="10" t="s">
        <v>172</v>
      </c>
      <c r="C68" s="10" t="s">
        <v>173</v>
      </c>
      <c r="D68" s="9" t="s">
        <v>64</v>
      </c>
      <c r="E68" s="11">
        <v>1</v>
      </c>
      <c r="F68" s="12">
        <v>484</v>
      </c>
      <c r="G68" s="12">
        <f>IF(AND(ISNUMBER(E68),ISNUMBER(F68)),ROUND(E68*F68,2),"")</f>
        <v>484</v>
      </c>
      <c r="H68" s="10" t="s">
        <v>141</v>
      </c>
    </row>
    <row r="69" spans="1:8" ht="26" customHeight="1">
      <c r="A69" s="9" t="s">
        <v>174</v>
      </c>
      <c r="B69" s="10" t="s">
        <v>175</v>
      </c>
      <c r="C69" s="10" t="s">
        <v>176</v>
      </c>
      <c r="D69" s="9" t="s">
        <v>64</v>
      </c>
      <c r="E69" s="11">
        <v>1</v>
      </c>
      <c r="F69" s="12">
        <v>710</v>
      </c>
      <c r="G69" s="12">
        <f>IF(AND(ISNUMBER(E69),ISNUMBER(F69)),ROUND(E69*F69,2),"")</f>
        <v>710</v>
      </c>
      <c r="H69" s="10" t="s">
        <v>141</v>
      </c>
    </row>
    <row r="70" spans="1:8" ht="26" customHeight="1">
      <c r="A70" s="9" t="s">
        <v>177</v>
      </c>
      <c r="B70" s="10" t="s">
        <v>178</v>
      </c>
      <c r="C70" s="10" t="s">
        <v>179</v>
      </c>
      <c r="D70" s="9" t="s">
        <v>64</v>
      </c>
      <c r="E70" s="11">
        <v>1</v>
      </c>
      <c r="F70" s="12">
        <v>323</v>
      </c>
      <c r="G70" s="12">
        <f>IF(AND(ISNUMBER(E70),ISNUMBER(F70)),ROUND(E70*F70,2),"")</f>
        <v>323</v>
      </c>
      <c r="H70" s="10" t="s">
        <v>141</v>
      </c>
    </row>
    <row r="71" spans="1:8" ht="26" customHeight="1">
      <c r="A71" s="9" t="s">
        <v>180</v>
      </c>
      <c r="B71" s="10" t="s">
        <v>181</v>
      </c>
      <c r="C71" s="10" t="s">
        <v>182</v>
      </c>
      <c r="D71" s="9" t="s">
        <v>64</v>
      </c>
      <c r="E71" s="11">
        <v>3</v>
      </c>
      <c r="F71" s="10" t="s">
        <v>183</v>
      </c>
      <c r="G71" s="12">
        <f>IF(AND(ISNUMBER(E71),ISNUMBER(F71)),ROUND(E71*F71,2),"")</f>
        <v/>
      </c>
      <c r="H71" s="10"/>
    </row>
    <row r="72" spans="1:8" ht="26" customHeight="1">
      <c r="A72" s="9" t="s">
        <v>184</v>
      </c>
      <c r="B72" s="10" t="s">
        <v>185</v>
      </c>
      <c r="C72" s="10" t="s">
        <v>186</v>
      </c>
      <c r="D72" s="9" t="s">
        <v>64</v>
      </c>
      <c r="E72" s="11">
        <v>5</v>
      </c>
      <c r="F72" s="12">
        <v>145</v>
      </c>
      <c r="G72" s="12">
        <f>IF(AND(ISNUMBER(E72),ISNUMBER(F72)),ROUND(E72*F72,2),"")</f>
        <v>725</v>
      </c>
      <c r="H72" s="10" t="s">
        <v>141</v>
      </c>
    </row>
    <row r="73" spans="1:8" ht="26" customHeight="1">
      <c r="A73" s="9" t="s">
        <v>187</v>
      </c>
      <c r="B73" s="10" t="s">
        <v>188</v>
      </c>
      <c r="C73" s="10" t="s">
        <v>182</v>
      </c>
      <c r="D73" s="9" t="s">
        <v>64</v>
      </c>
      <c r="E73" s="11">
        <v>2</v>
      </c>
      <c r="F73" s="10" t="s">
        <v>183</v>
      </c>
      <c r="G73" s="12">
        <f>IF(AND(ISNUMBER(E73),ISNUMBER(F73)),ROUND(E73*F73,2),"")</f>
        <v/>
      </c>
      <c r="H73" s="10"/>
    </row>
    <row r="74" spans="1:8" ht="26" customHeight="1">
      <c r="A74" s="9" t="s">
        <v>189</v>
      </c>
      <c r="B74" s="10" t="s">
        <v>190</v>
      </c>
      <c r="C74" s="10" t="s">
        <v>156</v>
      </c>
      <c r="D74" s="9" t="s">
        <v>64</v>
      </c>
      <c r="E74" s="11">
        <v>2</v>
      </c>
      <c r="F74" s="12">
        <v>145</v>
      </c>
      <c r="G74" s="12">
        <f>IF(AND(ISNUMBER(E74),ISNUMBER(F74)),ROUND(E74*F74,2),"")</f>
        <v>290</v>
      </c>
      <c r="H74" s="10" t="s">
        <v>141</v>
      </c>
    </row>
    <row r="75" spans="1:8" ht="26" customHeight="1">
      <c r="A75" s="9" t="s">
        <v>191</v>
      </c>
      <c r="B75" s="10" t="s">
        <v>192</v>
      </c>
      <c r="C75" s="10" t="s">
        <v>156</v>
      </c>
      <c r="D75" s="9" t="s">
        <v>64</v>
      </c>
      <c r="E75" s="11">
        <v>1</v>
      </c>
      <c r="F75" s="12">
        <v>210</v>
      </c>
      <c r="G75" s="12">
        <f>IF(AND(ISNUMBER(E75),ISNUMBER(F75)),ROUND(E75*F75,2),"")</f>
        <v>210</v>
      </c>
      <c r="H75" s="10" t="s">
        <v>141</v>
      </c>
    </row>
    <row r="76" spans="1:8" ht="26" customHeight="1">
      <c r="A76" s="9" t="s">
        <v>193</v>
      </c>
      <c r="B76" s="10" t="s">
        <v>194</v>
      </c>
      <c r="C76" s="10" t="s">
        <v>195</v>
      </c>
      <c r="D76" s="9" t="s">
        <v>64</v>
      </c>
      <c r="E76" s="11">
        <v>11</v>
      </c>
      <c r="F76" s="12">
        <v>58</v>
      </c>
      <c r="G76" s="12">
        <f>IF(AND(ISNUMBER(E76),ISNUMBER(F76)),ROUND(E76*F76,2),"")</f>
        <v>638</v>
      </c>
      <c r="H76" s="10" t="s">
        <v>141</v>
      </c>
    </row>
    <row r="77" spans="1:8" ht="26" customHeight="1">
      <c r="A77" s="9" t="s">
        <v>196</v>
      </c>
      <c r="B77" s="10" t="s">
        <v>197</v>
      </c>
      <c r="C77" s="10" t="s">
        <v>198</v>
      </c>
      <c r="D77" s="9" t="s">
        <v>64</v>
      </c>
      <c r="E77" s="11">
        <v>1</v>
      </c>
      <c r="F77" s="12">
        <v>580</v>
      </c>
      <c r="G77" s="12">
        <f>IF(AND(ISNUMBER(E77),ISNUMBER(F77)),ROUND(E77*F77,2),"")</f>
        <v>580</v>
      </c>
      <c r="H77" s="10" t="s">
        <v>141</v>
      </c>
    </row>
    <row r="78" spans="1:8" ht="26" customHeight="1">
      <c r="A78" s="9" t="s">
        <v>199</v>
      </c>
      <c r="B78" s="10" t="s">
        <v>200</v>
      </c>
      <c r="C78" s="10" t="s">
        <v>201</v>
      </c>
      <c r="D78" s="9" t="s">
        <v>64</v>
      </c>
      <c r="E78" s="11">
        <v>1</v>
      </c>
      <c r="F78" s="12">
        <v>387</v>
      </c>
      <c r="G78" s="12">
        <f>IF(AND(ISNUMBER(E78),ISNUMBER(F78)),ROUND(E78*F78,2),"")</f>
        <v>387</v>
      </c>
      <c r="H78" s="10" t="s">
        <v>141</v>
      </c>
    </row>
    <row r="79" spans="1:8" ht="26" customHeight="1">
      <c r="A79" s="9" t="s">
        <v>202</v>
      </c>
      <c r="B79" s="10" t="s">
        <v>203</v>
      </c>
      <c r="C79" s="10" t="s">
        <v>156</v>
      </c>
      <c r="D79" s="9" t="s">
        <v>64</v>
      </c>
      <c r="E79" s="11">
        <v>2</v>
      </c>
      <c r="F79" s="12">
        <v>177</v>
      </c>
      <c r="G79" s="12">
        <f>IF(AND(ISNUMBER(E79),ISNUMBER(F79)),ROUND(E79*F79,2),"")</f>
        <v>354</v>
      </c>
      <c r="H79" s="10" t="s">
        <v>141</v>
      </c>
    </row>
    <row r="80" spans="1:8" ht="26" customHeight="1">
      <c r="A80" s="9" t="s">
        <v>204</v>
      </c>
      <c r="B80" s="10" t="s">
        <v>205</v>
      </c>
      <c r="C80" s="10" t="s">
        <v>206</v>
      </c>
      <c r="D80" s="9" t="s">
        <v>207</v>
      </c>
      <c r="E80" s="11">
        <v>23</v>
      </c>
      <c r="F80" s="12">
        <v>387</v>
      </c>
      <c r="G80" s="12">
        <f>IF(AND(ISNUMBER(E80),ISNUMBER(F80)),ROUND(E80*F80,2),"")</f>
        <v>8901</v>
      </c>
      <c r="H80" s="10"/>
    </row>
    <row r="81" spans="1:8" ht="26" customHeight="1">
      <c r="A81" s="9" t="s">
        <v>208</v>
      </c>
      <c r="B81" s="10" t="s">
        <v>209</v>
      </c>
      <c r="C81" s="10" t="s">
        <v>206</v>
      </c>
      <c r="D81" s="9" t="s">
        <v>207</v>
      </c>
      <c r="E81" s="11">
        <v>7</v>
      </c>
      <c r="F81" s="12">
        <v>161</v>
      </c>
      <c r="G81" s="12">
        <f>IF(AND(ISNUMBER(E81),ISNUMBER(F81)),ROUND(E81*F81,2),"")</f>
        <v>1127</v>
      </c>
      <c r="H81" s="10"/>
    </row>
    <row r="82" spans="1:8" ht="26" customHeight="1">
      <c r="A82" s="9" t="s">
        <v>210</v>
      </c>
      <c r="B82" s="10" t="s">
        <v>211</v>
      </c>
      <c r="C82" s="10" t="s">
        <v>212</v>
      </c>
      <c r="D82" s="9" t="s">
        <v>207</v>
      </c>
      <c r="E82" s="11">
        <v>7</v>
      </c>
      <c r="F82" s="12">
        <v>226</v>
      </c>
      <c r="G82" s="12">
        <f>IF(AND(ISNUMBER(E82),ISNUMBER(F82)),ROUND(E82*F82,2),"")</f>
        <v>1582</v>
      </c>
      <c r="H82" s="10"/>
    </row>
    <row r="83" spans="1:8" ht="26" customHeight="1">
      <c r="A83" s="9" t="s">
        <v>213</v>
      </c>
      <c r="B83" s="10" t="s">
        <v>214</v>
      </c>
      <c r="C83" s="10" t="s">
        <v>212</v>
      </c>
      <c r="D83" s="9" t="s">
        <v>207</v>
      </c>
      <c r="E83" s="11">
        <v>15</v>
      </c>
      <c r="F83" s="12">
        <v>145</v>
      </c>
      <c r="G83" s="12">
        <f>IF(AND(ISNUMBER(E83),ISNUMBER(F83)),ROUND(E83*F83,2),"")</f>
        <v>2175</v>
      </c>
      <c r="H83" s="10"/>
    </row>
    <row r="84" spans="1:8" ht="26" customHeight="1">
      <c r="A84" s="9" t="s">
        <v>215</v>
      </c>
      <c r="B84" s="10" t="s">
        <v>216</v>
      </c>
      <c r="C84" s="10" t="s">
        <v>217</v>
      </c>
      <c r="D84" s="9" t="s">
        <v>207</v>
      </c>
      <c r="E84" s="11">
        <v>2</v>
      </c>
      <c r="F84" s="12">
        <v>290</v>
      </c>
      <c r="G84" s="12">
        <f>IF(AND(ISNUMBER(E84),ISNUMBER(F84)),ROUND(E84*F84,2),"")</f>
        <v>580</v>
      </c>
      <c r="H84" s="10"/>
    </row>
    <row r="85" spans="1:8" ht="26" customHeight="1">
      <c r="A85" s="9" t="s">
        <v>218</v>
      </c>
      <c r="B85" s="10" t="s">
        <v>219</v>
      </c>
      <c r="C85" s="10" t="s">
        <v>220</v>
      </c>
      <c r="D85" s="9" t="s">
        <v>64</v>
      </c>
      <c r="E85" s="11">
        <v>2</v>
      </c>
      <c r="F85" s="12">
        <v>58</v>
      </c>
      <c r="G85" s="12">
        <f>IF(AND(ISNUMBER(E85),ISNUMBER(F85)),ROUND(E85*F85,2),"")</f>
        <v>116</v>
      </c>
      <c r="H85" s="10"/>
    </row>
    <row r="86" spans="1:8" ht="26" customHeight="1">
      <c r="A86" s="9" t="s">
        <v>221</v>
      </c>
      <c r="B86" s="10" t="s">
        <v>222</v>
      </c>
      <c r="C86" s="10" t="s">
        <v>223</v>
      </c>
      <c r="D86" s="9" t="s">
        <v>16</v>
      </c>
      <c r="E86" s="11">
        <v>1</v>
      </c>
      <c r="F86" s="12">
        <v>6500</v>
      </c>
      <c r="G86" s="12">
        <f>IF(AND(ISNUMBER(E86),ISNUMBER(F86)),ROUND(E86*F86,2),"")</f>
        <v>6500</v>
      </c>
      <c r="H86" s="10"/>
    </row>
    <row r="87" spans="1:8" ht="26" customHeight="1">
      <c r="A87" s="9" t="s">
        <v>224</v>
      </c>
      <c r="B87" s="10" t="s">
        <v>225</v>
      </c>
      <c r="C87" s="10" t="s">
        <v>226</v>
      </c>
      <c r="D87" s="9" t="s">
        <v>16</v>
      </c>
      <c r="E87" s="11">
        <v>1</v>
      </c>
      <c r="F87" s="12">
        <v>5800</v>
      </c>
      <c r="G87" s="12">
        <f>IF(AND(ISNUMBER(E87),ISNUMBER(F87)),ROUND(E87*F87,2),"")</f>
        <v>5800</v>
      </c>
      <c r="H87" s="10"/>
    </row>
    <row r="88" spans="1:8" ht="26" customHeight="1">
      <c r="A88" s="9" t="s">
        <v>227</v>
      </c>
      <c r="B88" s="10" t="s">
        <v>228</v>
      </c>
      <c r="C88" s="10" t="s">
        <v>229</v>
      </c>
      <c r="D88" s="9" t="s">
        <v>64</v>
      </c>
      <c r="E88" s="11">
        <v>1</v>
      </c>
      <c r="F88" s="12">
        <v>387</v>
      </c>
      <c r="G88" s="12">
        <f>IF(AND(ISNUMBER(E88),ISNUMBER(F88)),ROUND(E88*F88,2),"")</f>
        <v>387</v>
      </c>
      <c r="H88" s="10" t="s">
        <v>141</v>
      </c>
    </row>
    <row r="89" spans="1:8" ht="30" customHeight="1">
      <c r="A89" s="9" t="s">
        <v>230</v>
      </c>
      <c r="B89" s="10" t="s">
        <v>231</v>
      </c>
      <c r="C89" s="10" t="s">
        <v>232</v>
      </c>
      <c r="D89" s="9" t="s">
        <v>16</v>
      </c>
      <c r="E89" s="11">
        <v>1</v>
      </c>
      <c r="F89" s="12">
        <v>810</v>
      </c>
      <c r="G89" s="12">
        <f>IF(AND(ISNUMBER(E89),ISNUMBER(F89)),ROUND(E89*F89,2),"")</f>
        <v>810</v>
      </c>
      <c r="H89" s="10"/>
    </row>
    <row r="90" spans="1:8">
      <c r="A90" s="13" t="s">
        <v>233</v>
      </c>
      <c r="B90" s="13"/>
      <c r="C90" s="13"/>
      <c r="D90" s="13"/>
      <c r="E90" s="13"/>
      <c r="F90" s="13"/>
      <c r="G90" s="14">
        <f>IF(COUNT(G57:G89)=0,"",SUM(G57:G89))</f>
        <v>42750.0</v>
      </c>
      <c r="H90" s="13"/>
    </row>
    <row r="92" spans="1:8" ht="22" customHeight="1">
      <c r="A92" s="8" t="s">
        <v>234</v>
      </c>
      <c r="B92" s="8"/>
      <c r="C92" s="8"/>
      <c r="D92" s="8"/>
      <c r="E92" s="8"/>
      <c r="F92" s="8"/>
      <c r="G92" s="8"/>
      <c r="H92" s="8"/>
    </row>
    <row r="93" spans="1:8" ht="26" customHeight="1">
      <c r="A93" s="9" t="s">
        <v>235</v>
      </c>
      <c r="B93" s="10" t="s">
        <v>236</v>
      </c>
      <c r="C93" s="10" t="s">
        <v>237</v>
      </c>
      <c r="D93" s="9" t="s">
        <v>64</v>
      </c>
      <c r="E93" s="11">
        <v>119</v>
      </c>
      <c r="F93" s="12">
        <v>141</v>
      </c>
      <c r="G93" s="12">
        <f>IF(AND(ISNUMBER(E93),ISNUMBER(F93)),ROUND(E93*F93,2),"")</f>
        <v>16779</v>
      </c>
      <c r="H93" s="10"/>
    </row>
    <row r="94" spans="1:8" ht="26" customHeight="1">
      <c r="A94" s="9" t="s">
        <v>238</v>
      </c>
      <c r="B94" s="10" t="s">
        <v>239</v>
      </c>
      <c r="C94" s="10" t="s">
        <v>240</v>
      </c>
      <c r="D94" s="9" t="s">
        <v>64</v>
      </c>
      <c r="E94" s="11">
        <v>51</v>
      </c>
      <c r="F94" s="12">
        <v>167</v>
      </c>
      <c r="G94" s="12">
        <f>IF(AND(ISNUMBER(E94),ISNUMBER(F94)),ROUND(E94*F94,2),"")</f>
        <v>8517</v>
      </c>
      <c r="H94" s="10"/>
    </row>
    <row r="95" spans="1:8" ht="26" customHeight="1">
      <c r="A95" s="9" t="s">
        <v>241</v>
      </c>
      <c r="B95" s="10" t="s">
        <v>242</v>
      </c>
      <c r="C95" s="10" t="s">
        <v>243</v>
      </c>
      <c r="D95" s="9" t="s">
        <v>64</v>
      </c>
      <c r="E95" s="11">
        <v>18</v>
      </c>
      <c r="F95" s="12">
        <v>198</v>
      </c>
      <c r="G95" s="12">
        <f>IF(AND(ISNUMBER(E95),ISNUMBER(F95)),ROUND(E95*F95,2),"")</f>
        <v>3564</v>
      </c>
      <c r="H95" s="10"/>
    </row>
    <row r="96" spans="1:8" ht="26" customHeight="1">
      <c r="A96" s="9" t="s">
        <v>244</v>
      </c>
      <c r="B96" s="10" t="s">
        <v>245</v>
      </c>
      <c r="C96" s="10" t="s">
        <v>246</v>
      </c>
      <c r="D96" s="9" t="s">
        <v>64</v>
      </c>
      <c r="E96" s="11">
        <v>1</v>
      </c>
      <c r="F96" s="12">
        <v>470</v>
      </c>
      <c r="G96" s="12">
        <f>IF(AND(ISNUMBER(E96),ISNUMBER(F96)),ROUND(E96*F96,2),"")</f>
        <v>470</v>
      </c>
      <c r="H96" s="10"/>
    </row>
    <row r="97" spans="1:8" ht="26" customHeight="1">
      <c r="A97" s="9" t="s">
        <v>247</v>
      </c>
      <c r="B97" s="10" t="s">
        <v>248</v>
      </c>
      <c r="C97" s="10" t="s">
        <v>249</v>
      </c>
      <c r="D97" s="9" t="s">
        <v>16</v>
      </c>
      <c r="E97" s="11">
        <v>1</v>
      </c>
      <c r="F97" s="12">
        <v>2740</v>
      </c>
      <c r="G97" s="12">
        <f>IF(AND(ISNUMBER(E97),ISNUMBER(F97)),ROUND(E97*F97,2),"")</f>
        <v>2740</v>
      </c>
      <c r="H97" s="10"/>
    </row>
    <row r="98" spans="1:8" ht="30" customHeight="1">
      <c r="A98" s="9" t="s">
        <v>250</v>
      </c>
      <c r="B98" s="10" t="s">
        <v>251</v>
      </c>
      <c r="C98" s="10" t="s">
        <v>252</v>
      </c>
      <c r="D98" s="9" t="s">
        <v>16</v>
      </c>
      <c r="E98" s="11">
        <v>1</v>
      </c>
      <c r="F98" s="12">
        <v>2260</v>
      </c>
      <c r="G98" s="12">
        <f>IF(AND(ISNUMBER(E98),ISNUMBER(F98)),ROUND(E98*F98,2),"")</f>
        <v>2260</v>
      </c>
      <c r="H98" s="10"/>
    </row>
    <row r="99" spans="1:8" ht="30" customHeight="1">
      <c r="A99" s="9" t="s">
        <v>253</v>
      </c>
      <c r="B99" s="10" t="s">
        <v>254</v>
      </c>
      <c r="C99" s="10" t="s">
        <v>255</v>
      </c>
      <c r="D99" s="9" t="s">
        <v>16</v>
      </c>
      <c r="E99" s="11">
        <v>1</v>
      </c>
      <c r="F99" s="12">
        <v>810</v>
      </c>
      <c r="G99" s="12">
        <f>IF(AND(ISNUMBER(E99),ISNUMBER(F99)),ROUND(E99*F99,2),"")</f>
        <v>810</v>
      </c>
      <c r="H99" s="10"/>
    </row>
    <row r="100" spans="1:8" ht="26" customHeight="1">
      <c r="A100" s="9" t="s">
        <v>256</v>
      </c>
      <c r="B100" s="10" t="s">
        <v>257</v>
      </c>
      <c r="C100" s="10" t="s">
        <v>258</v>
      </c>
      <c r="D100" s="9" t="s">
        <v>64</v>
      </c>
      <c r="E100" s="11">
        <v>9</v>
      </c>
      <c r="F100" s="12">
        <v>198</v>
      </c>
      <c r="G100" s="12">
        <f>IF(AND(ISNUMBER(E100),ISNUMBER(F100)),ROUND(E100*F100,2),"")</f>
        <v>1782</v>
      </c>
      <c r="H100" s="10"/>
    </row>
    <row r="101" spans="1:8" ht="26" customHeight="1">
      <c r="A101" s="9" t="s">
        <v>259</v>
      </c>
      <c r="B101" s="10" t="s">
        <v>260</v>
      </c>
      <c r="C101" s="10" t="s">
        <v>261</v>
      </c>
      <c r="D101" s="9" t="s">
        <v>207</v>
      </c>
      <c r="E101" s="11">
        <v>8</v>
      </c>
      <c r="F101" s="12">
        <v>391</v>
      </c>
      <c r="G101" s="12">
        <f>IF(AND(ISNUMBER(E101),ISNUMBER(F101)),ROUND(E101*F101,2),"")</f>
        <v>3128</v>
      </c>
      <c r="H101" s="10"/>
    </row>
    <row r="102" spans="1:8" ht="56" customHeight="1">
      <c r="A102" s="9" t="s">
        <v>262</v>
      </c>
      <c r="B102" s="10" t="s">
        <v>263</v>
      </c>
      <c r="C102" s="10" t="s">
        <v>264</v>
      </c>
      <c r="D102" s="9" t="s">
        <v>16</v>
      </c>
      <c r="E102" s="11">
        <v>1</v>
      </c>
      <c r="F102" s="12">
        <v>1830</v>
      </c>
      <c r="G102" s="12">
        <f>IF(AND(ISNUMBER(E102),ISNUMBER(F102)),ROUND(E102*F102,2),"")</f>
        <v>1830</v>
      </c>
      <c r="H102" s="10"/>
    </row>
    <row r="103" spans="1:8" ht="26" customHeight="1">
      <c r="A103" s="9" t="s">
        <v>265</v>
      </c>
      <c r="B103" s="10" t="s">
        <v>266</v>
      </c>
      <c r="C103" s="10" t="s">
        <v>267</v>
      </c>
      <c r="D103" s="9" t="s">
        <v>64</v>
      </c>
      <c r="E103" s="11">
        <v>1</v>
      </c>
      <c r="F103" s="12">
        <v>183</v>
      </c>
      <c r="G103" s="12">
        <f>IF(AND(ISNUMBER(E103),ISNUMBER(F103)),ROUND(E103*F103,2),"")</f>
        <v>183</v>
      </c>
      <c r="H103" s="10"/>
    </row>
    <row r="104" spans="1:8">
      <c r="A104" s="13" t="s">
        <v>268</v>
      </c>
      <c r="B104" s="13"/>
      <c r="C104" s="13"/>
      <c r="D104" s="13"/>
      <c r="E104" s="13"/>
      <c r="F104" s="13"/>
      <c r="G104" s="14">
        <f>IF(COUNT(G93:G103)=0,"",SUM(G93:G103))</f>
        <v>42063.0</v>
      </c>
      <c r="H104" s="13"/>
    </row>
    <row r="106" spans="1:8" ht="22" customHeight="1">
      <c r="A106" s="8" t="s">
        <v>269</v>
      </c>
      <c r="B106" s="8"/>
      <c r="C106" s="8"/>
      <c r="D106" s="8"/>
      <c r="E106" s="8"/>
      <c r="F106" s="8"/>
      <c r="G106" s="8"/>
      <c r="H106" s="8"/>
    </row>
    <row r="107" spans="1:8" ht="26" customHeight="1">
      <c r="A107" s="9" t="s">
        <v>270</v>
      </c>
      <c r="B107" s="10" t="s">
        <v>271</v>
      </c>
      <c r="C107" s="10" t="s">
        <v>272</v>
      </c>
      <c r="D107" s="9" t="s">
        <v>64</v>
      </c>
      <c r="E107" s="11">
        <v>62</v>
      </c>
      <c r="F107" s="12">
        <v>78</v>
      </c>
      <c r="G107" s="12">
        <f>IF(AND(ISNUMBER(E107),ISNUMBER(F107)),ROUND(E107*F107,2),"")</f>
        <v>4836</v>
      </c>
      <c r="H107" s="10"/>
    </row>
    <row r="108" spans="1:8" ht="26" customHeight="1">
      <c r="A108" s="9" t="s">
        <v>273</v>
      </c>
      <c r="B108" s="10" t="s">
        <v>274</v>
      </c>
      <c r="C108" s="10" t="s">
        <v>275</v>
      </c>
      <c r="D108" s="9" t="s">
        <v>64</v>
      </c>
      <c r="E108" s="11">
        <v>16</v>
      </c>
      <c r="F108" s="12">
        <v>104</v>
      </c>
      <c r="G108" s="12">
        <f>IF(AND(ISNUMBER(E108),ISNUMBER(F108)),ROUND(E108*F108,2),"")</f>
        <v>1664</v>
      </c>
      <c r="H108" s="10"/>
    </row>
    <row r="109" spans="1:8" ht="56" customHeight="1">
      <c r="A109" s="9" t="s">
        <v>276</v>
      </c>
      <c r="B109" s="10" t="s">
        <v>277</v>
      </c>
      <c r="C109" s="10" t="s">
        <v>278</v>
      </c>
      <c r="D109" s="9" t="s">
        <v>64</v>
      </c>
      <c r="E109" s="11">
        <v>3</v>
      </c>
      <c r="F109" s="12">
        <v>125</v>
      </c>
      <c r="G109" s="12">
        <f>IF(AND(ISNUMBER(E109),ISNUMBER(F109)),ROUND(E109*F109,2),"")</f>
        <v>375</v>
      </c>
      <c r="H109" s="10"/>
    </row>
    <row r="110" spans="1:8" ht="26" customHeight="1">
      <c r="A110" s="9" t="s">
        <v>279</v>
      </c>
      <c r="B110" s="10" t="s">
        <v>280</v>
      </c>
      <c r="C110" s="10" t="s">
        <v>281</v>
      </c>
      <c r="D110" s="9" t="s">
        <v>64</v>
      </c>
      <c r="E110" s="11">
        <v>15</v>
      </c>
      <c r="F110" s="12">
        <v>115</v>
      </c>
      <c r="G110" s="12">
        <f>IF(AND(ISNUMBER(E110),ISNUMBER(F110)),ROUND(E110*F110,2),"")</f>
        <v>1725</v>
      </c>
      <c r="H110" s="10" t="s">
        <v>141</v>
      </c>
    </row>
    <row r="111" spans="1:8" ht="30" customHeight="1">
      <c r="A111" s="9" t="s">
        <v>282</v>
      </c>
      <c r="B111" s="10" t="s">
        <v>283</v>
      </c>
      <c r="C111" s="10" t="s">
        <v>284</v>
      </c>
      <c r="D111" s="9" t="s">
        <v>64</v>
      </c>
      <c r="E111" s="11">
        <v>22</v>
      </c>
      <c r="F111" s="12">
        <v>167</v>
      </c>
      <c r="G111" s="12">
        <f>IF(AND(ISNUMBER(E111),ISNUMBER(F111)),ROUND(E111*F111,2),"")</f>
        <v>3674</v>
      </c>
      <c r="H111" s="10" t="s">
        <v>141</v>
      </c>
    </row>
    <row r="112" spans="1:8" ht="26" customHeight="1">
      <c r="A112" s="9" t="s">
        <v>285</v>
      </c>
      <c r="B112" s="10" t="s">
        <v>286</v>
      </c>
      <c r="C112" s="10" t="s">
        <v>156</v>
      </c>
      <c r="D112" s="9" t="s">
        <v>64</v>
      </c>
      <c r="E112" s="11">
        <v>30</v>
      </c>
      <c r="F112" s="12">
        <v>115</v>
      </c>
      <c r="G112" s="12">
        <f>IF(AND(ISNUMBER(E112),ISNUMBER(F112)),ROUND(E112*F112,2),"")</f>
        <v>3450</v>
      </c>
      <c r="H112" s="10" t="s">
        <v>141</v>
      </c>
    </row>
    <row r="113" spans="1:8" ht="26" customHeight="1">
      <c r="A113" s="9" t="s">
        <v>287</v>
      </c>
      <c r="B113" s="10" t="s">
        <v>288</v>
      </c>
      <c r="C113" s="10" t="s">
        <v>156</v>
      </c>
      <c r="D113" s="9" t="s">
        <v>64</v>
      </c>
      <c r="E113" s="11">
        <v>35</v>
      </c>
      <c r="F113" s="12">
        <v>157</v>
      </c>
      <c r="G113" s="12">
        <f>IF(AND(ISNUMBER(E113),ISNUMBER(F113)),ROUND(E113*F113,2),"")</f>
        <v>5495</v>
      </c>
      <c r="H113" s="10" t="s">
        <v>141</v>
      </c>
    </row>
    <row r="114" spans="1:8" ht="26" customHeight="1">
      <c r="A114" s="9" t="s">
        <v>289</v>
      </c>
      <c r="B114" s="10" t="s">
        <v>290</v>
      </c>
      <c r="C114" s="10" t="s">
        <v>156</v>
      </c>
      <c r="D114" s="9" t="s">
        <v>64</v>
      </c>
      <c r="E114" s="11">
        <v>25</v>
      </c>
      <c r="F114" s="12">
        <v>44.5</v>
      </c>
      <c r="G114" s="12">
        <f>IF(AND(ISNUMBER(E114),ISNUMBER(F114)),ROUND(E114*F114,2),"")</f>
        <v>1112.5</v>
      </c>
      <c r="H114" s="10" t="s">
        <v>141</v>
      </c>
    </row>
    <row r="115" spans="1:8" ht="26" customHeight="1">
      <c r="A115" s="9" t="s">
        <v>291</v>
      </c>
      <c r="B115" s="10" t="s">
        <v>292</v>
      </c>
      <c r="C115" s="10" t="s">
        <v>293</v>
      </c>
      <c r="D115" s="9" t="s">
        <v>64</v>
      </c>
      <c r="E115" s="11">
        <v>11</v>
      </c>
      <c r="F115" s="12">
        <v>183</v>
      </c>
      <c r="G115" s="12">
        <f>IF(AND(ISNUMBER(E115),ISNUMBER(F115)),ROUND(E115*F115,2),"")</f>
        <v>2013</v>
      </c>
      <c r="H115" s="10" t="s">
        <v>141</v>
      </c>
    </row>
    <row r="116" spans="1:8" ht="26" customHeight="1">
      <c r="A116" s="9" t="s">
        <v>294</v>
      </c>
      <c r="B116" s="10" t="s">
        <v>295</v>
      </c>
      <c r="C116" s="10" t="s">
        <v>296</v>
      </c>
      <c r="D116" s="9" t="s">
        <v>64</v>
      </c>
      <c r="E116" s="11">
        <v>2</v>
      </c>
      <c r="F116" s="12">
        <v>235</v>
      </c>
      <c r="G116" s="12">
        <f>IF(AND(ISNUMBER(E116),ISNUMBER(F116)),ROUND(E116*F116,2),"")</f>
        <v>470</v>
      </c>
      <c r="H116" s="10" t="s">
        <v>141</v>
      </c>
    </row>
    <row r="117" spans="1:8" ht="26" customHeight="1">
      <c r="A117" s="9" t="s">
        <v>297</v>
      </c>
      <c r="B117" s="10" t="s">
        <v>298</v>
      </c>
      <c r="C117" s="10" t="s">
        <v>299</v>
      </c>
      <c r="D117" s="9" t="s">
        <v>64</v>
      </c>
      <c r="E117" s="11">
        <v>9</v>
      </c>
      <c r="F117" s="12">
        <v>157</v>
      </c>
      <c r="G117" s="12">
        <f>IF(AND(ISNUMBER(E117),ISNUMBER(F117)),ROUND(E117*F117,2),"")</f>
        <v>1413</v>
      </c>
      <c r="H117" s="10" t="s">
        <v>141</v>
      </c>
    </row>
    <row r="118" spans="1:8" ht="26" customHeight="1">
      <c r="A118" s="9" t="s">
        <v>300</v>
      </c>
      <c r="B118" s="10" t="s">
        <v>301</v>
      </c>
      <c r="C118" s="10" t="s">
        <v>302</v>
      </c>
      <c r="D118" s="9" t="s">
        <v>64</v>
      </c>
      <c r="E118" s="11">
        <v>25</v>
      </c>
      <c r="F118" s="12">
        <v>146</v>
      </c>
      <c r="G118" s="12">
        <f>IF(AND(ISNUMBER(E118),ISNUMBER(F118)),ROUND(E118*F118,2),"")</f>
        <v>3650</v>
      </c>
      <c r="H118" s="10" t="s">
        <v>141</v>
      </c>
    </row>
    <row r="119" spans="1:8" ht="26" customHeight="1">
      <c r="A119" s="9" t="s">
        <v>303</v>
      </c>
      <c r="B119" s="10" t="s">
        <v>304</v>
      </c>
      <c r="C119" s="10" t="s">
        <v>156</v>
      </c>
      <c r="D119" s="9" t="s">
        <v>64</v>
      </c>
      <c r="E119" s="11">
        <v>8</v>
      </c>
      <c r="F119" s="12">
        <v>125</v>
      </c>
      <c r="G119" s="12">
        <f>IF(AND(ISNUMBER(E119),ISNUMBER(F119)),ROUND(E119*F119,2),"")</f>
        <v>1000</v>
      </c>
      <c r="H119" s="10" t="s">
        <v>141</v>
      </c>
    </row>
    <row r="120" spans="1:8" ht="26" customHeight="1">
      <c r="A120" s="9" t="s">
        <v>305</v>
      </c>
      <c r="B120" s="10" t="s">
        <v>306</v>
      </c>
      <c r="C120" s="10" t="s">
        <v>156</v>
      </c>
      <c r="D120" s="9" t="s">
        <v>64</v>
      </c>
      <c r="E120" s="11">
        <v>5</v>
      </c>
      <c r="F120" s="12">
        <v>104</v>
      </c>
      <c r="G120" s="12">
        <f>IF(AND(ISNUMBER(E120),ISNUMBER(F120)),ROUND(E120*F120,2),"")</f>
        <v>520</v>
      </c>
      <c r="H120" s="10" t="s">
        <v>141</v>
      </c>
    </row>
    <row r="121" spans="1:8" ht="26" customHeight="1">
      <c r="A121" s="9" t="s">
        <v>307</v>
      </c>
      <c r="B121" s="10" t="s">
        <v>308</v>
      </c>
      <c r="C121" s="10" t="s">
        <v>156</v>
      </c>
      <c r="D121" s="9" t="s">
        <v>64</v>
      </c>
      <c r="E121" s="11">
        <v>10</v>
      </c>
      <c r="F121" s="12">
        <v>157</v>
      </c>
      <c r="G121" s="12">
        <f>IF(AND(ISNUMBER(E121),ISNUMBER(F121)),ROUND(E121*F121,2),"")</f>
        <v>1570</v>
      </c>
      <c r="H121" s="10" t="s">
        <v>141</v>
      </c>
    </row>
    <row r="122" spans="1:8" ht="26" customHeight="1">
      <c r="A122" s="9" t="s">
        <v>309</v>
      </c>
      <c r="B122" s="10" t="s">
        <v>310</v>
      </c>
      <c r="C122" s="10" t="s">
        <v>156</v>
      </c>
      <c r="D122" s="9" t="s">
        <v>64</v>
      </c>
      <c r="E122" s="11">
        <v>6</v>
      </c>
      <c r="F122" s="12">
        <v>271</v>
      </c>
      <c r="G122" s="12">
        <f>IF(AND(ISNUMBER(E122),ISNUMBER(F122)),ROUND(E122*F122,2),"")</f>
        <v>1626</v>
      </c>
      <c r="H122" s="10" t="s">
        <v>141</v>
      </c>
    </row>
    <row r="123" spans="1:8" ht="26" customHeight="1">
      <c r="A123" s="9" t="s">
        <v>311</v>
      </c>
      <c r="B123" s="10" t="s">
        <v>312</v>
      </c>
      <c r="C123" s="10" t="s">
        <v>313</v>
      </c>
      <c r="D123" s="9" t="s">
        <v>64</v>
      </c>
      <c r="E123" s="11">
        <v>111</v>
      </c>
      <c r="F123" s="12">
        <v>52</v>
      </c>
      <c r="G123" s="12">
        <f>IF(AND(ISNUMBER(E123),ISNUMBER(F123)),ROUND(E123*F123,2),"")</f>
        <v>5772</v>
      </c>
      <c r="H123" s="10" t="s">
        <v>141</v>
      </c>
    </row>
    <row r="124" spans="1:8" ht="26" customHeight="1">
      <c r="A124" s="9" t="s">
        <v>314</v>
      </c>
      <c r="B124" s="10" t="s">
        <v>315</v>
      </c>
      <c r="C124" s="10" t="s">
        <v>316</v>
      </c>
      <c r="D124" s="9" t="s">
        <v>64</v>
      </c>
      <c r="E124" s="11">
        <v>28</v>
      </c>
      <c r="F124" s="12">
        <v>89</v>
      </c>
      <c r="G124" s="12">
        <f>IF(AND(ISNUMBER(E124),ISNUMBER(F124)),ROUND(E124*F124,2),"")</f>
        <v>2492</v>
      </c>
      <c r="H124" s="10" t="s">
        <v>141</v>
      </c>
    </row>
    <row r="125" spans="1:8" ht="26" customHeight="1">
      <c r="A125" s="9" t="s">
        <v>317</v>
      </c>
      <c r="B125" s="10" t="s">
        <v>318</v>
      </c>
      <c r="C125" s="10" t="s">
        <v>319</v>
      </c>
      <c r="D125" s="9" t="s">
        <v>64</v>
      </c>
      <c r="E125" s="11">
        <v>14</v>
      </c>
      <c r="F125" s="12">
        <v>157</v>
      </c>
      <c r="G125" s="12">
        <f>IF(AND(ISNUMBER(E125),ISNUMBER(F125)),ROUND(E125*F125,2),"")</f>
        <v>2198</v>
      </c>
      <c r="H125" s="10"/>
    </row>
    <row r="126" spans="1:8">
      <c r="A126" s="13" t="s">
        <v>320</v>
      </c>
      <c r="B126" s="13"/>
      <c r="C126" s="13"/>
      <c r="D126" s="13"/>
      <c r="E126" s="13"/>
      <c r="F126" s="13"/>
      <c r="G126" s="14">
        <f>IF(COUNT(G107:G125)=0,"",SUM(G107:G125))</f>
        <v>45055.5</v>
      </c>
      <c r="H126" s="13"/>
    </row>
    <row r="128" spans="1:8" ht="22" customHeight="1">
      <c r="A128" s="8" t="s">
        <v>321</v>
      </c>
      <c r="B128" s="8"/>
      <c r="C128" s="8"/>
      <c r="D128" s="8"/>
      <c r="E128" s="8"/>
      <c r="F128" s="8"/>
      <c r="G128" s="8"/>
      <c r="H128" s="8"/>
    </row>
    <row r="129" spans="1:8" ht="30" customHeight="1">
      <c r="A129" s="9" t="s">
        <v>322</v>
      </c>
      <c r="B129" s="10" t="s">
        <v>323</v>
      </c>
      <c r="C129" s="10" t="s">
        <v>324</v>
      </c>
      <c r="D129" s="9" t="s">
        <v>41</v>
      </c>
      <c r="E129" s="11">
        <v>64</v>
      </c>
      <c r="F129" s="12">
        <v>66</v>
      </c>
      <c r="G129" s="12">
        <f>IF(AND(ISNUMBER(E129),ISNUMBER(F129)),ROUND(E129*F129,2),"")</f>
        <v>4224</v>
      </c>
      <c r="H129" s="10"/>
    </row>
    <row r="130" spans="1:8" ht="30" customHeight="1">
      <c r="A130" s="9" t="s">
        <v>325</v>
      </c>
      <c r="B130" s="10" t="s">
        <v>326</v>
      </c>
      <c r="C130" s="10" t="s">
        <v>324</v>
      </c>
      <c r="D130" s="9" t="s">
        <v>41</v>
      </c>
      <c r="E130" s="11">
        <v>17</v>
      </c>
      <c r="F130" s="12">
        <v>66</v>
      </c>
      <c r="G130" s="12">
        <f>IF(AND(ISNUMBER(E130),ISNUMBER(F130)),ROUND(E130*F130,2),"")</f>
        <v>1122</v>
      </c>
      <c r="H130" s="10"/>
    </row>
    <row r="131" spans="1:8" ht="30" customHeight="1">
      <c r="A131" s="9" t="s">
        <v>327</v>
      </c>
      <c r="B131" s="10" t="s">
        <v>328</v>
      </c>
      <c r="C131" s="10" t="s">
        <v>324</v>
      </c>
      <c r="D131" s="9" t="s">
        <v>41</v>
      </c>
      <c r="E131" s="11">
        <v>52</v>
      </c>
      <c r="F131" s="12">
        <v>66</v>
      </c>
      <c r="G131" s="12">
        <f>IF(AND(ISNUMBER(E131),ISNUMBER(F131)),ROUND(E131*F131,2),"")</f>
        <v>3432</v>
      </c>
      <c r="H131" s="10"/>
    </row>
    <row r="132" spans="1:8" ht="43" customHeight="1">
      <c r="A132" s="9" t="s">
        <v>329</v>
      </c>
      <c r="B132" s="10" t="s">
        <v>330</v>
      </c>
      <c r="C132" s="10" t="s">
        <v>331</v>
      </c>
      <c r="D132" s="9" t="s">
        <v>41</v>
      </c>
      <c r="E132" s="11">
        <v>33.3</v>
      </c>
      <c r="F132" s="12">
        <v>57</v>
      </c>
      <c r="G132" s="12">
        <f>IF(AND(ISNUMBER(E132),ISNUMBER(F132)),ROUND(E132*F132,2),"")</f>
        <v>1898.1</v>
      </c>
      <c r="H132" s="10"/>
    </row>
    <row r="133" spans="1:8">
      <c r="A133" s="13" t="s">
        <v>332</v>
      </c>
      <c r="B133" s="13"/>
      <c r="C133" s="13"/>
      <c r="D133" s="13"/>
      <c r="E133" s="13"/>
      <c r="F133" s="13"/>
      <c r="G133" s="14">
        <f>IF(COUNT(G129:G132)=0,"",SUM(G129:G132))</f>
        <v>10676.1</v>
      </c>
      <c r="H133" s="13"/>
    </row>
    <row r="135" spans="1:8" ht="22" customHeight="1">
      <c r="A135" s="8" t="s">
        <v>333</v>
      </c>
      <c r="B135" s="8"/>
      <c r="C135" s="8"/>
      <c r="D135" s="8"/>
      <c r="E135" s="8"/>
      <c r="F135" s="8"/>
      <c r="G135" s="8"/>
      <c r="H135" s="8"/>
    </row>
    <row r="136" spans="1:8" ht="30" customHeight="1">
      <c r="A136" s="9" t="s">
        <v>334</v>
      </c>
      <c r="B136" s="10" t="s">
        <v>335</v>
      </c>
      <c r="C136" s="10" t="s">
        <v>336</v>
      </c>
      <c r="D136" s="9" t="s">
        <v>41</v>
      </c>
      <c r="E136" s="11">
        <v>186</v>
      </c>
      <c r="F136" s="12">
        <v>35.5</v>
      </c>
      <c r="G136" s="12">
        <f>IF(AND(ISNUMBER(E136),ISNUMBER(F136)),ROUND(E136*F136,2),"")</f>
        <v>6603.0</v>
      </c>
      <c r="H136" s="10"/>
    </row>
    <row r="137" spans="1:8" ht="26" customHeight="1">
      <c r="A137" s="9" t="s">
        <v>337</v>
      </c>
      <c r="B137" s="10" t="s">
        <v>338</v>
      </c>
      <c r="C137" s="10" t="s">
        <v>339</v>
      </c>
      <c r="D137" s="9" t="s">
        <v>16</v>
      </c>
      <c r="E137" s="11">
        <v>5</v>
      </c>
      <c r="F137" s="12">
        <v>161</v>
      </c>
      <c r="G137" s="12">
        <f>IF(AND(ISNUMBER(E137),ISNUMBER(F137)),ROUND(E137*F137,2),"")</f>
        <v>805</v>
      </c>
      <c r="H137" s="10"/>
    </row>
    <row r="138" spans="1:8" ht="26" customHeight="1">
      <c r="A138" s="9" t="s">
        <v>340</v>
      </c>
      <c r="B138" s="10" t="s">
        <v>341</v>
      </c>
      <c r="C138" s="10" t="s">
        <v>342</v>
      </c>
      <c r="D138" s="9" t="s">
        <v>41</v>
      </c>
      <c r="E138" s="11">
        <v>52.7</v>
      </c>
      <c r="F138" s="12">
        <v>55</v>
      </c>
      <c r="G138" s="12">
        <f>IF(AND(ISNUMBER(E138),ISNUMBER(F138)),ROUND(E138*F138,2),"")</f>
        <v>2898.5</v>
      </c>
      <c r="H138" s="10"/>
    </row>
    <row r="139" spans="1:8">
      <c r="A139" s="13" t="s">
        <v>343</v>
      </c>
      <c r="B139" s="13"/>
      <c r="C139" s="13"/>
      <c r="D139" s="13"/>
      <c r="E139" s="13"/>
      <c r="F139" s="13"/>
      <c r="G139" s="14">
        <f>IF(COUNT(G136:G138)=0,"",SUM(G136:G138))</f>
        <v>10306.5</v>
      </c>
      <c r="H139" s="13"/>
    </row>
    <row r="141" spans="1:8" ht="22" customHeight="1">
      <c r="A141" s="8" t="s">
        <v>344</v>
      </c>
      <c r="B141" s="8"/>
      <c r="C141" s="8"/>
      <c r="D141" s="8"/>
      <c r="E141" s="8"/>
      <c r="F141" s="8"/>
      <c r="G141" s="8"/>
      <c r="H141" s="8"/>
    </row>
    <row r="142" spans="1:8" ht="26" customHeight="1">
      <c r="A142" s="9" t="s">
        <v>345</v>
      </c>
      <c r="B142" s="10" t="s">
        <v>346</v>
      </c>
      <c r="C142" s="10" t="s">
        <v>347</v>
      </c>
      <c r="D142" s="9" t="s">
        <v>89</v>
      </c>
      <c r="E142" s="11">
        <v>33.23</v>
      </c>
      <c r="F142" s="12">
        <v>91</v>
      </c>
      <c r="G142" s="12">
        <f>IF(AND(ISNUMBER(E142),ISNUMBER(F142)),ROUND(E142*F142,2),"")</f>
        <v>3023.93</v>
      </c>
      <c r="H142" s="10"/>
    </row>
    <row r="143" spans="1:8" ht="26" customHeight="1">
      <c r="A143" s="9" t="s">
        <v>348</v>
      </c>
      <c r="B143" s="10" t="s">
        <v>349</v>
      </c>
      <c r="C143" s="10" t="s">
        <v>350</v>
      </c>
      <c r="D143" s="9" t="s">
        <v>89</v>
      </c>
      <c r="E143" s="11">
        <v>35</v>
      </c>
      <c r="F143" s="12">
        <v>80</v>
      </c>
      <c r="G143" s="12">
        <f>IF(AND(ISNUMBER(E143),ISNUMBER(F143)),ROUND(E143*F143,2),"")</f>
        <v>2800</v>
      </c>
      <c r="H143" s="10"/>
    </row>
    <row r="144" spans="1:8" ht="43" customHeight="1">
      <c r="A144" s="9" t="s">
        <v>351</v>
      </c>
      <c r="B144" s="10" t="s">
        <v>352</v>
      </c>
      <c r="C144" s="10" t="s">
        <v>353</v>
      </c>
      <c r="D144" s="9" t="s">
        <v>89</v>
      </c>
      <c r="E144" s="11">
        <v>68.23</v>
      </c>
      <c r="F144" s="12">
        <v>19.5</v>
      </c>
      <c r="G144" s="12">
        <f>IF(AND(ISNUMBER(E144),ISNUMBER(F144)),ROUND(E144*F144,2),"")</f>
        <v>1330.49</v>
      </c>
      <c r="H144" s="10"/>
    </row>
    <row r="145" spans="1:8">
      <c r="A145" s="13" t="s">
        <v>354</v>
      </c>
      <c r="B145" s="13"/>
      <c r="C145" s="13"/>
      <c r="D145" s="13"/>
      <c r="E145" s="13"/>
      <c r="F145" s="13"/>
      <c r="G145" s="14">
        <f>IF(COUNT(G142:G144)=0,"",SUM(G142:G144))</f>
        <v>7154.42</v>
      </c>
      <c r="H145" s="13"/>
    </row>
    <row r="147" spans="1:8" ht="22" customHeight="1">
      <c r="A147" s="8" t="s">
        <v>355</v>
      </c>
      <c r="B147" s="8"/>
      <c r="C147" s="8"/>
      <c r="D147" s="8"/>
      <c r="E147" s="8"/>
      <c r="F147" s="8"/>
      <c r="G147" s="8"/>
      <c r="H147" s="8"/>
    </row>
    <row r="148" spans="1:8" ht="43" customHeight="1">
      <c r="A148" s="9" t="s">
        <v>356</v>
      </c>
      <c r="B148" s="10" t="s">
        <v>357</v>
      </c>
      <c r="C148" s="10" t="s">
        <v>358</v>
      </c>
      <c r="D148" s="9" t="s">
        <v>41</v>
      </c>
      <c r="E148" s="11">
        <v>219.9</v>
      </c>
      <c r="F148" s="12">
        <v>75</v>
      </c>
      <c r="G148" s="12">
        <f>IF(AND(ISNUMBER(E148),ISNUMBER(F148)),ROUND(E148*F148,2),"")</f>
        <v>16492.5</v>
      </c>
      <c r="H148" s="10" t="s">
        <v>141</v>
      </c>
    </row>
    <row r="149" spans="1:8" ht="30" customHeight="1">
      <c r="A149" s="9" t="s">
        <v>359</v>
      </c>
      <c r="B149" s="10" t="s">
        <v>360</v>
      </c>
      <c r="C149" s="10" t="s">
        <v>361</v>
      </c>
      <c r="D149" s="9" t="s">
        <v>41</v>
      </c>
      <c r="E149" s="11">
        <v>105</v>
      </c>
      <c r="F149" s="12">
        <v>61</v>
      </c>
      <c r="G149" s="12">
        <f>IF(AND(ISNUMBER(E149),ISNUMBER(F149)),ROUND(E149*F149,2),"")</f>
        <v>6405</v>
      </c>
      <c r="H149" s="10" t="s">
        <v>141</v>
      </c>
    </row>
    <row r="150" spans="1:8" ht="30" customHeight="1">
      <c r="A150" s="9" t="s">
        <v>362</v>
      </c>
      <c r="B150" s="10" t="s">
        <v>363</v>
      </c>
      <c r="C150" s="10" t="s">
        <v>364</v>
      </c>
      <c r="D150" s="9" t="s">
        <v>41</v>
      </c>
      <c r="E150" s="11">
        <v>121.2</v>
      </c>
      <c r="F150" s="12">
        <v>112</v>
      </c>
      <c r="G150" s="12">
        <f>IF(AND(ISNUMBER(E150),ISNUMBER(F150)),ROUND(E150*F150,2),"")</f>
        <v>13574.4</v>
      </c>
      <c r="H150" s="10" t="s">
        <v>141</v>
      </c>
    </row>
    <row r="151" spans="1:8" ht="30" customHeight="1">
      <c r="A151" s="9" t="s">
        <v>365</v>
      </c>
      <c r="B151" s="10" t="s">
        <v>366</v>
      </c>
      <c r="C151" s="10" t="s">
        <v>367</v>
      </c>
      <c r="D151" s="9" t="s">
        <v>89</v>
      </c>
      <c r="E151" s="11">
        <v>285</v>
      </c>
      <c r="F151" s="12">
        <v>20</v>
      </c>
      <c r="G151" s="12">
        <f>IF(AND(ISNUMBER(E151),ISNUMBER(F151)),ROUND(E151*F151,2),"")</f>
        <v>5700.0</v>
      </c>
      <c r="H151" s="10"/>
    </row>
    <row r="152" spans="1:8" ht="30" customHeight="1">
      <c r="A152" s="9" t="s">
        <v>368</v>
      </c>
      <c r="B152" s="10" t="s">
        <v>369</v>
      </c>
      <c r="C152" s="10" t="s">
        <v>370</v>
      </c>
      <c r="D152" s="9" t="s">
        <v>41</v>
      </c>
      <c r="E152" s="11">
        <v>263.7</v>
      </c>
      <c r="F152" s="12">
        <v>69</v>
      </c>
      <c r="G152" s="12">
        <f>IF(AND(ISNUMBER(E152),ISNUMBER(F152)),ROUND(E152*F152,2),"")</f>
        <v>18195.3</v>
      </c>
      <c r="H152" s="10" t="s">
        <v>141</v>
      </c>
    </row>
    <row r="153" spans="1:8" ht="26" customHeight="1">
      <c r="A153" s="9" t="s">
        <v>371</v>
      </c>
      <c r="B153" s="10" t="s">
        <v>372</v>
      </c>
      <c r="C153" s="10" t="s">
        <v>373</v>
      </c>
      <c r="D153" s="9" t="s">
        <v>89</v>
      </c>
      <c r="E153" s="11">
        <v>51.7</v>
      </c>
      <c r="F153" s="12">
        <v>85</v>
      </c>
      <c r="G153" s="12">
        <f>IF(AND(ISNUMBER(E153),ISNUMBER(F153)),ROUND(E153*F153,2),"")</f>
        <v>4394.5</v>
      </c>
      <c r="H153" s="10"/>
    </row>
    <row r="154" spans="1:8" ht="43" customHeight="1">
      <c r="A154" s="9" t="s">
        <v>374</v>
      </c>
      <c r="B154" s="10" t="s">
        <v>375</v>
      </c>
      <c r="C154" s="10" t="s">
        <v>376</v>
      </c>
      <c r="D154" s="9" t="s">
        <v>89</v>
      </c>
      <c r="E154" s="11">
        <v>13.8</v>
      </c>
      <c r="F154" s="12">
        <v>91</v>
      </c>
      <c r="G154" s="12">
        <f>IF(AND(ISNUMBER(E154),ISNUMBER(F154)),ROUND(E154*F154,2),"")</f>
        <v>1255.8</v>
      </c>
      <c r="H154" s="10" t="s">
        <v>377</v>
      </c>
    </row>
    <row r="155" spans="1:8">
      <c r="A155" s="13" t="s">
        <v>378</v>
      </c>
      <c r="B155" s="13"/>
      <c r="C155" s="13"/>
      <c r="D155" s="13"/>
      <c r="E155" s="13"/>
      <c r="F155" s="13"/>
      <c r="G155" s="14">
        <f>IF(COUNT(G148:G154)=0,"",SUM(G148:G154))</f>
        <v>66017.5</v>
      </c>
      <c r="H155" s="13"/>
    </row>
    <row r="157" spans="1:8" ht="22" customHeight="1">
      <c r="A157" s="8" t="s">
        <v>379</v>
      </c>
      <c r="B157" s="8"/>
      <c r="C157" s="8"/>
      <c r="D157" s="8"/>
      <c r="E157" s="8"/>
      <c r="F157" s="8"/>
      <c r="G157" s="8"/>
      <c r="H157" s="8"/>
    </row>
    <row r="158" spans="1:8" ht="43" customHeight="1">
      <c r="A158" s="9" t="s">
        <v>380</v>
      </c>
      <c r="B158" s="10" t="s">
        <v>381</v>
      </c>
      <c r="C158" s="10" t="s">
        <v>382</v>
      </c>
      <c r="D158" s="9" t="s">
        <v>41</v>
      </c>
      <c r="E158" s="11">
        <v>225</v>
      </c>
      <c r="F158" s="12">
        <v>68</v>
      </c>
      <c r="G158" s="12">
        <f>IF(AND(ISNUMBER(E158),ISNUMBER(F158)),ROUND(E158*F158,2),"")</f>
        <v>15300</v>
      </c>
      <c r="H158" s="10"/>
    </row>
    <row r="159" spans="1:8" ht="56" customHeight="1">
      <c r="A159" s="9" t="s">
        <v>383</v>
      </c>
      <c r="B159" s="10" t="s">
        <v>384</v>
      </c>
      <c r="C159" s="10" t="s">
        <v>385</v>
      </c>
      <c r="D159" s="9" t="s">
        <v>41</v>
      </c>
      <c r="E159" s="11">
        <v>576</v>
      </c>
      <c r="F159" s="12">
        <v>45</v>
      </c>
      <c r="G159" s="12">
        <f>IF(AND(ISNUMBER(E159),ISNUMBER(F159)),ROUND(E159*F159,2),"")</f>
        <v>25920.0</v>
      </c>
      <c r="H159" s="10"/>
    </row>
    <row r="160" spans="1:8" ht="43" customHeight="1">
      <c r="A160" s="9" t="s">
        <v>386</v>
      </c>
      <c r="B160" s="10" t="s">
        <v>387</v>
      </c>
      <c r="C160" s="10" t="s">
        <v>388</v>
      </c>
      <c r="D160" s="9" t="s">
        <v>41</v>
      </c>
      <c r="E160" s="9" t="s">
        <v>389</v>
      </c>
      <c r="F160" s="12">
        <v>58</v>
      </c>
      <c r="G160" s="12">
        <f>IF(AND(ISNUMBER(E160),ISNUMBER(F160)),ROUND(E160*F160,2),"")</f>
        <v/>
      </c>
      <c r="H160" s="10" t="s">
        <v>390</v>
      </c>
    </row>
    <row r="161" spans="1:8">
      <c r="A161" s="13" t="s">
        <v>391</v>
      </c>
      <c r="B161" s="13"/>
      <c r="C161" s="13"/>
      <c r="D161" s="13"/>
      <c r="E161" s="13"/>
      <c r="F161" s="13"/>
      <c r="G161" s="14">
        <f>IF(COUNT(G158:G160)=0,"",SUM(G158:G160))</f>
        <v>41220.0</v>
      </c>
      <c r="H161" s="13"/>
    </row>
    <row r="163" spans="1:8" ht="22" customHeight="1">
      <c r="A163" s="8" t="s">
        <v>392</v>
      </c>
      <c r="B163" s="8"/>
      <c r="C163" s="8"/>
      <c r="D163" s="8"/>
      <c r="E163" s="8"/>
      <c r="F163" s="8"/>
      <c r="G163" s="8"/>
      <c r="H163" s="8"/>
    </row>
    <row r="164" spans="1:8" ht="30" customHeight="1">
      <c r="A164" s="9" t="s">
        <v>393</v>
      </c>
      <c r="B164" s="10" t="s">
        <v>394</v>
      </c>
      <c r="C164" s="10" t="s">
        <v>395</v>
      </c>
      <c r="D164" s="9" t="s">
        <v>41</v>
      </c>
      <c r="E164" s="11">
        <v>60</v>
      </c>
      <c r="F164" s="12">
        <v>24</v>
      </c>
      <c r="G164" s="12">
        <f>IF(AND(ISNUMBER(E164),ISNUMBER(F164)),ROUND(E164*F164,2),"")</f>
        <v>1440.0</v>
      </c>
      <c r="H164" s="10"/>
    </row>
    <row r="165" spans="1:8" ht="26" customHeight="1">
      <c r="A165" s="9" t="s">
        <v>396</v>
      </c>
      <c r="B165" s="10" t="s">
        <v>397</v>
      </c>
      <c r="C165" s="10" t="s">
        <v>398</v>
      </c>
      <c r="D165" s="9" t="s">
        <v>16</v>
      </c>
      <c r="E165" s="11">
        <v>1</v>
      </c>
      <c r="F165" s="12">
        <v>3230</v>
      </c>
      <c r="G165" s="12">
        <f>IF(AND(ISNUMBER(E165),ISNUMBER(F165)),ROUND(E165*F165,2),"")</f>
        <v>3230</v>
      </c>
      <c r="H165" s="10"/>
    </row>
    <row r="166" spans="1:8" ht="30" customHeight="1">
      <c r="A166" s="9" t="s">
        <v>399</v>
      </c>
      <c r="B166" s="10" t="s">
        <v>400</v>
      </c>
      <c r="C166" s="10" t="s">
        <v>401</v>
      </c>
      <c r="D166" s="9" t="s">
        <v>16</v>
      </c>
      <c r="E166" s="11">
        <v>1</v>
      </c>
      <c r="F166" s="12">
        <v>9000</v>
      </c>
      <c r="G166" s="12">
        <f>IF(AND(ISNUMBER(E166),ISNUMBER(F166)),ROUND(E166*F166,2),"")</f>
        <v>9000</v>
      </c>
      <c r="H166" s="10"/>
    </row>
    <row r="167" spans="1:8" ht="26" customHeight="1">
      <c r="A167" s="9" t="s">
        <v>402</v>
      </c>
      <c r="B167" s="10" t="s">
        <v>403</v>
      </c>
      <c r="C167" s="10" t="s">
        <v>404</v>
      </c>
      <c r="D167" s="9" t="s">
        <v>16</v>
      </c>
      <c r="E167" s="11">
        <v>1</v>
      </c>
      <c r="F167" s="12">
        <v>2900</v>
      </c>
      <c r="G167" s="12">
        <f>IF(AND(ISNUMBER(E167),ISNUMBER(F167)),ROUND(E167*F167,2),"")</f>
        <v>2900</v>
      </c>
      <c r="H167" s="10"/>
    </row>
    <row r="168" spans="1:8" ht="56" customHeight="1">
      <c r="A168" s="9" t="s">
        <v>405</v>
      </c>
      <c r="B168" s="10" t="s">
        <v>406</v>
      </c>
      <c r="C168" s="10" t="s">
        <v>407</v>
      </c>
      <c r="D168" s="9" t="s">
        <v>41</v>
      </c>
      <c r="E168" s="11">
        <v>60</v>
      </c>
      <c r="F168" s="12">
        <v>86</v>
      </c>
      <c r="G168" s="12">
        <f>IF(AND(ISNUMBER(E168),ISNUMBER(F168)),ROUND(E168*F168,2),"")</f>
        <v>5160</v>
      </c>
      <c r="H168" s="10" t="s">
        <v>42</v>
      </c>
    </row>
    <row r="169" spans="1:8">
      <c r="A169" s="13" t="s">
        <v>408</v>
      </c>
      <c r="B169" s="13"/>
      <c r="C169" s="13"/>
      <c r="D169" s="13"/>
      <c r="E169" s="13"/>
      <c r="F169" s="13"/>
      <c r="G169" s="14">
        <f>IF(COUNT(G164:G168)=0,"",SUM(G164:G168))</f>
        <v>21730.0</v>
      </c>
      <c r="H169" s="13"/>
    </row>
    <row r="171" spans="1:8">
      <c r="A171" s="13" t="s">
        <v>409</v>
      </c>
      <c r="B171" s="13"/>
      <c r="C171" s="13"/>
      <c r="D171" s="13"/>
      <c r="E171" s="13"/>
      <c r="F171" s="13"/>
      <c r="G171" s="14">
        <f>SUM(G16,G40,G48,G54,G90,G104,G126,G133,G139,G145,G155,G161,G169)</f>
        <v>441391.78</v>
      </c>
      <c r="H171" s="13"/>
    </row>
    <row r="172" spans="1:8">
      <c r="A172" s="15" t="s">
        <v>410</v>
      </c>
      <c r="B172" s="15"/>
      <c r="C172" s="15"/>
      <c r="D172" s="15"/>
      <c r="E172" s="15"/>
      <c r="F172" s="16">
        <v>0.2</v>
      </c>
      <c r="G172" s="12">
        <f>ROUND(G171*F172,2)</f>
        <v>88278.36</v>
      </c>
      <c r="H172" s="17" t="s">
        <v>411</v>
      </c>
    </row>
    <row r="173" spans="1:8">
      <c r="A173" s="18" t="s">
        <v>412</v>
      </c>
      <c r="B173" s="18"/>
      <c r="C173" s="18"/>
      <c r="D173" s="18"/>
      <c r="E173" s="18"/>
      <c r="F173" s="18"/>
      <c r="G173" s="19">
        <f>G171+G172</f>
        <v>529670.14</v>
      </c>
      <c r="H173" s="18"/>
    </row>
  </sheetData>
  <mergeCells count="34">
    <mergeCell ref="A1:H1"/>
    <mergeCell ref="A2:H2"/>
    <mergeCell ref="A3:H3"/>
    <mergeCell ref="A4:B4"/>
    <mergeCell ref="D4:H4"/>
    <mergeCell ref="A6:H6"/>
    <mergeCell ref="A16:F16"/>
    <mergeCell ref="A18:H18"/>
    <mergeCell ref="A40:F40"/>
    <mergeCell ref="A42:H42"/>
    <mergeCell ref="A48:F48"/>
    <mergeCell ref="A50:H50"/>
    <mergeCell ref="A54:F54"/>
    <mergeCell ref="A56:H56"/>
    <mergeCell ref="A90:F90"/>
    <mergeCell ref="A92:H92"/>
    <mergeCell ref="A104:F104"/>
    <mergeCell ref="A106:H106"/>
    <mergeCell ref="A126:F126"/>
    <mergeCell ref="A128:H128"/>
    <mergeCell ref="A133:F133"/>
    <mergeCell ref="A135:H135"/>
    <mergeCell ref="A139:F139"/>
    <mergeCell ref="A141:H141"/>
    <mergeCell ref="A145:F145"/>
    <mergeCell ref="A147:H147"/>
    <mergeCell ref="A155:F155"/>
    <mergeCell ref="A157:H157"/>
    <mergeCell ref="A161:F161"/>
    <mergeCell ref="A163:H163"/>
    <mergeCell ref="A169:F169"/>
    <mergeCell ref="A171:F171"/>
    <mergeCell ref="A172:E172"/>
    <mergeCell ref="A173:F173"/>
  </mergeCell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8102E"/>
    <pageSetUpPr fitToPage="1"/>
  </sheetPr>
  <dimension ref="A1:C19"/>
  <sheetViews>
    <sheetView workbookViewId="0"/>
  </sheetViews>
  <sheetFormatPr defaultRowHeight="15"/>
  <cols>
    <col min="1" max="1" width="52.7109375" customWidth="1"/>
    <col min="2" max="3" width="18.7109375" customWidth="1"/>
  </cols>
  <sheetData>
    <row r="1" spans="1:3">
      <c r="A1" s="1" t="s">
        <v>413</v>
      </c>
      <c r="B1" s="1"/>
      <c r="C1" s="1"/>
    </row>
    <row r="3" spans="1:3">
      <c r="A3" s="7" t="s">
        <v>414</v>
      </c>
      <c r="B3" s="7" t="s">
        <v>10</v>
      </c>
      <c r="C3" s="7" t="s">
        <v>415</v>
      </c>
    </row>
    <row r="4" spans="1:3">
      <c r="A4" s="20" t="s">
        <v>416</v>
      </c>
      <c r="B4" s="12">
        <f>'Quotation'!G16</f>
        <v>22816.5</v>
      </c>
      <c r="C4" s="21">
        <f>IF($B$17=0,0,B4/$B$17)</f>
        <v>0.05169217242785989</v>
      </c>
    </row>
    <row r="5" spans="1:3">
      <c r="A5" s="20" t="s">
        <v>417</v>
      </c>
      <c r="B5" s="12">
        <f>'Quotation'!G40</f>
        <v>38872.5</v>
      </c>
      <c r="C5" s="21">
        <f>IF($B$17=0,0,B5/$B$17)</f>
        <v>0.08806801975333568</v>
      </c>
    </row>
    <row r="6" spans="1:3">
      <c r="A6" s="20" t="s">
        <v>418</v>
      </c>
      <c r="B6" s="12">
        <f>'Quotation'!G48</f>
        <v>90200.0</v>
      </c>
      <c r="C6" s="21">
        <f>IF($B$17=0,0,B6/$B$17)</f>
        <v>0.2043536016914497</v>
      </c>
    </row>
    <row r="7" spans="1:3">
      <c r="A7" s="20" t="s">
        <v>419</v>
      </c>
      <c r="B7" s="12">
        <f>'Quotation'!G54</f>
        <v>2529.76</v>
      </c>
      <c r="C7" s="21">
        <f>IF($B$17=0,0,B7/$B$17)</f>
        <v>0.005731325581097138</v>
      </c>
    </row>
    <row r="8" spans="1:3">
      <c r="A8" s="20" t="s">
        <v>420</v>
      </c>
      <c r="B8" s="12">
        <f>'Quotation'!G90</f>
        <v>42750.0</v>
      </c>
      <c r="C8" s="21">
        <f>IF($B$17=0,0,B8/$B$17)</f>
        <v>0.09685273250897422</v>
      </c>
    </row>
    <row r="9" spans="1:3">
      <c r="A9" s="20" t="s">
        <v>421</v>
      </c>
      <c r="B9" s="12">
        <f>'Quotation'!G104</f>
        <v>42063.0</v>
      </c>
      <c r="C9" s="21">
        <f>IF($B$17=0,0,B9/$B$17)</f>
        <v>0.09529629210584754</v>
      </c>
    </row>
    <row r="10" spans="1:3">
      <c r="A10" s="20" t="s">
        <v>422</v>
      </c>
      <c r="B10" s="12">
        <f>'Quotation'!G126</f>
        <v>45055.5</v>
      </c>
      <c r="C10" s="21">
        <f>IF($B$17=0,0,B10/$B$17)</f>
        <v>0.10207598338147575</v>
      </c>
    </row>
    <row r="11" spans="1:3">
      <c r="A11" s="20" t="s">
        <v>423</v>
      </c>
      <c r="B11" s="12">
        <f>'Quotation'!G133</f>
        <v>10676.1</v>
      </c>
      <c r="C11" s="21">
        <f>IF($B$17=0,0,B11/$B$17)</f>
        <v>0.02418735573190783</v>
      </c>
    </row>
    <row r="12" spans="1:3">
      <c r="A12" s="20" t="s">
        <v>424</v>
      </c>
      <c r="B12" s="12">
        <f>'Quotation'!G139</f>
        <v>10306.5</v>
      </c>
      <c r="C12" s="21">
        <f>IF($B$17=0,0,B12/$B$17)</f>
        <v>0.023350004388391646</v>
      </c>
    </row>
    <row r="13" spans="1:3">
      <c r="A13" s="20" t="s">
        <v>425</v>
      </c>
      <c r="B13" s="12">
        <f>'Quotation'!G145</f>
        <v>7154.42</v>
      </c>
      <c r="C13" s="21">
        <f>IF($B$17=0,0,B13/$B$17)</f>
        <v>0.016208774889283167</v>
      </c>
    </row>
    <row r="14" spans="1:3">
      <c r="A14" s="20" t="s">
        <v>426</v>
      </c>
      <c r="B14" s="12">
        <f>'Quotation'!G155</f>
        <v>66017.5</v>
      </c>
      <c r="C14" s="21">
        <f>IF($B$17=0,0,B14/$B$17)</f>
        <v>0.14956667294529136</v>
      </c>
    </row>
    <row r="15" spans="1:3">
      <c r="A15" s="20" t="s">
        <v>427</v>
      </c>
      <c r="B15" s="12">
        <f>'Quotation'!G161</f>
        <v>41220.0</v>
      </c>
      <c r="C15" s="21">
        <f>IF($B$17=0,0,B15/$B$17)</f>
        <v>0.0933864241876004</v>
      </c>
    </row>
    <row r="16" spans="1:3">
      <c r="A16" s="20" t="s">
        <v>428</v>
      </c>
      <c r="B16" s="12">
        <f>'Quotation'!G169</f>
        <v>21730.0</v>
      </c>
      <c r="C16" s="21">
        <f>IF($B$17=0,0,B16/$B$17)</f>
        <v>0.04923064040748561</v>
      </c>
    </row>
    <row r="17" spans="1:3">
      <c r="A17" s="13" t="s">
        <v>409</v>
      </c>
      <c r="B17" s="14">
        <f>SUM(B4:B16)</f>
        <v>441391.78</v>
      </c>
      <c r="C17" s="13"/>
    </row>
    <row r="18" spans="1:3">
      <c r="A18" s="20" t="s">
        <v>429</v>
      </c>
      <c r="B18" s="12">
        <f>'Quotation'!G172</f>
        <v>88278.36</v>
      </c>
      <c r="C18" s="20"/>
    </row>
    <row r="19" spans="1:3">
      <c r="A19" s="18" t="s">
        <v>412</v>
      </c>
      <c r="B19" s="19">
        <f>B17+B18</f>
        <v>529670.14</v>
      </c>
      <c r="C19" s="18"/>
    </row>
  </sheetData>
  <mergeCells count="1">
    <mergeCell ref="A1:C1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12169"/>
  </sheetPr>
  <dimension ref="A1:C9"/>
  <sheetViews>
    <sheetView workbookViewId="0"/>
  </sheetViews>
  <sheetFormatPr defaultRowHeight="15"/>
  <cols>
    <col min="1" max="1" width="5.7109375" customWidth="1"/>
    <col min="2" max="2" width="22.7109375" customWidth="1"/>
    <col min="3" max="3" width="125.7109375" customWidth="1"/>
  </cols>
  <sheetData>
    <row r="1" spans="1:3">
      <c r="A1" s="7" t="s">
        <v>430</v>
      </c>
      <c r="B1" s="7" t="s">
        <v>431</v>
      </c>
      <c r="C1" s="7"/>
    </row>
    <row r="2" spans="1:3" ht="30" customHeight="1">
      <c r="A2" s="22">
        <v>1</v>
      </c>
      <c r="B2" s="23" t="s">
        <v>432</v>
      </c>
      <c r="C2" s="10" t="s">
        <v>433</v>
      </c>
    </row>
    <row r="3" spans="1:3" ht="30" customHeight="1">
      <c r="A3" s="22">
        <v>2</v>
      </c>
      <c r="B3" s="23" t="s">
        <v>434</v>
      </c>
      <c r="C3" s="10" t="s">
        <v>435</v>
      </c>
    </row>
    <row r="4" spans="1:3" ht="30" customHeight="1">
      <c r="A4" s="22">
        <v>3</v>
      </c>
      <c r="B4" s="23" t="s">
        <v>436</v>
      </c>
      <c r="C4" s="10" t="s">
        <v>437</v>
      </c>
    </row>
    <row r="5" spans="1:3" ht="30" customHeight="1">
      <c r="A5" s="22">
        <v>4</v>
      </c>
      <c r="B5" s="23" t="s">
        <v>438</v>
      </c>
      <c r="C5" s="10" t="s">
        <v>439</v>
      </c>
    </row>
    <row r="6" spans="1:3" ht="30" customHeight="1">
      <c r="A6" s="22">
        <v>5</v>
      </c>
      <c r="B6" s="23" t="s">
        <v>440</v>
      </c>
      <c r="C6" s="10" t="s">
        <v>441</v>
      </c>
    </row>
    <row r="7" spans="1:3" ht="30" customHeight="1">
      <c r="A7" s="22">
        <v>6</v>
      </c>
      <c r="B7" s="23" t="s">
        <v>442</v>
      </c>
      <c r="C7" s="10" t="s">
        <v>443</v>
      </c>
    </row>
    <row r="8" spans="1:3" ht="18" customHeight="1">
      <c r="A8" s="22">
        <v>7</v>
      </c>
      <c r="B8" s="23" t="s">
        <v>444</v>
      </c>
      <c r="C8" s="10" t="s">
        <v>445</v>
      </c>
    </row>
    <row r="9" spans="1:3" ht="18" customHeight="1">
      <c r="A9" s="22">
        <v>8</v>
      </c>
      <c r="B9" s="23" t="s">
        <v>446</v>
      </c>
      <c r="C9" s="10" t="s">
        <v>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8102E"/>
  </sheetPr>
  <dimension ref="A1:C11"/>
  <sheetViews>
    <sheetView workbookViewId="0"/>
  </sheetViews>
  <sheetFormatPr defaultRowHeight="15"/>
  <cols>
    <col min="1" max="1" width="32.7109375" customWidth="1"/>
    <col min="2" max="2" width="60.7109375" customWidth="1"/>
    <col min="3" max="3" width="80.7109375" customWidth="1"/>
  </cols>
  <sheetData>
    <row r="1" spans="1:3">
      <c r="A1" s="7" t="s">
        <v>448</v>
      </c>
      <c r="B1" s="7" t="s">
        <v>449</v>
      </c>
      <c r="C1" s="7" t="s">
        <v>450</v>
      </c>
    </row>
    <row r="2" spans="1:3" ht="32" customHeight="1">
      <c r="A2" s="23" t="s">
        <v>451</v>
      </c>
      <c r="B2" s="10" t="s">
        <v>452</v>
      </c>
      <c r="C2" s="10" t="s">
        <v>453</v>
      </c>
    </row>
    <row r="3" spans="1:3" ht="32" customHeight="1">
      <c r="A3" s="23" t="s">
        <v>454</v>
      </c>
      <c r="B3" s="10" t="s">
        <v>455</v>
      </c>
      <c r="C3" s="10" t="s">
        <v>456</v>
      </c>
    </row>
    <row r="4" spans="1:3" ht="32" customHeight="1">
      <c r="A4" s="23" t="s">
        <v>457</v>
      </c>
      <c r="B4" s="10" t="s">
        <v>458</v>
      </c>
      <c r="C4" s="10" t="s">
        <v>459</v>
      </c>
    </row>
    <row r="5" spans="1:3" ht="32" customHeight="1">
      <c r="A5" s="23" t="s">
        <v>460</v>
      </c>
      <c r="B5" s="10" t="s">
        <v>461</v>
      </c>
      <c r="C5" s="10" t="s">
        <v>462</v>
      </c>
    </row>
    <row r="6" spans="1:3" ht="32" customHeight="1">
      <c r="A6" s="23" t="s">
        <v>463</v>
      </c>
      <c r="B6" s="10" t="s">
        <v>464</v>
      </c>
      <c r="C6" s="10" t="s">
        <v>465</v>
      </c>
    </row>
    <row r="7" spans="1:3" ht="32" customHeight="1">
      <c r="A7" s="23" t="s">
        <v>466</v>
      </c>
      <c r="B7" s="10" t="s">
        <v>467</v>
      </c>
      <c r="C7" s="10" t="s">
        <v>468</v>
      </c>
    </row>
    <row r="8" spans="1:3" ht="32" customHeight="1">
      <c r="A8" s="23" t="s">
        <v>469</v>
      </c>
      <c r="B8" s="10" t="s">
        <v>470</v>
      </c>
      <c r="C8" s="10" t="s">
        <v>471</v>
      </c>
    </row>
    <row r="10" spans="1:3" ht="62" customHeight="1">
      <c r="A10" s="24" t="s">
        <v>472</v>
      </c>
      <c r="B10" s="24"/>
      <c r="C10" s="24"/>
    </row>
    <row r="11" spans="1:3" ht="78" customHeight="1">
      <c r="A11" s="25" t="s">
        <v>473</v>
      </c>
      <c r="B11" s="25"/>
      <c r="C11" s="25"/>
    </row>
  </sheetData>
  <mergeCells count="2">
    <mergeCell ref="A10:C10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Quotation</vt:lpstr>
      <vt:lpstr>Summary</vt:lpstr>
      <vt:lpstr>Terms &amp; Exclusions</vt:lpstr>
      <vt:lpstr>Market survey (internal)</vt:lpstr>
      <vt:lpstr>Quotation!Print_Titles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2026-10-14T17:45:30Z</dcterms:created>
  <dcterms:modified xsi:type="dcterms:W3CDTF">2026-10-14T17:45:30Z</dcterms:modified>
</cp:coreProperties>
</file>