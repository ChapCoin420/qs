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זמנים" sheetId="1" state="visible" r:id="rId1"/>
    <sheet xmlns:r="http://schemas.openxmlformats.org/officeDocument/2006/relationships" name="הנחות וסיכונים" sheetId="2" state="visible" r:id="rId2"/>
  </sheets>
  <definedNames>
    <definedName name="_xlnm.Print_Titles" localSheetId="0">'לוח זמנים'!$5:$5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FFFFFF"/>
      <sz val="8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5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66" fontId="3" fillId="3" borderId="0" applyAlignment="1" pivotButton="0" quotePrefix="0" xfId="0">
      <alignment horizontal="center" textRotation="90"/>
    </xf>
    <xf numFmtId="0" fontId="4" fillId="4" borderId="0" pivotButton="0" quotePrefix="0" xfId="0"/>
    <xf numFmtId="0" fontId="0" fillId="4" borderId="0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4" fillId="0" borderId="0" pivotButton="0" quotePrefix="0" xfId="0"/>
    <xf numFmtId="165" fontId="4" fillId="0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/>
      </fill>
    </dxf>
    <dxf>
      <fill>
        <patternFill patternType="solid">
          <bgColor rgb="00C00000"/>
        </patternFill>
      </fill>
    </dxf>
    <dxf>
      <fill>
        <patternFill patternType="solid">
          <bgColor rgb="002F75B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92"/>
  <sheetViews>
    <sheetView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8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12" customWidth="1" min="11" max="11"/>
    <col width="12" customWidth="1" min="12" max="12"/>
    <col width="12" customWidth="1" min="13" max="13"/>
    <col width="9" customWidth="1" min="14" max="14"/>
    <col width="34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</cols>
  <sheetData>
    <row r="1">
      <c r="A1" s="1" t="inlineStr">
        <is>
          <t>לוח זמנים – שיפוץ ותוספות, שלונסקי 53, חיפה</t>
        </is>
      </c>
    </row>
    <row r="2">
      <c r="A2" t="inlineStr">
        <is>
          <t>תאריך תחילת עבודה (יום א׳):</t>
        </is>
      </c>
      <c r="D2" s="2" t="n">
        <v>46327</v>
      </c>
      <c r="F2" s="3" t="inlineStr">
        <is>
          <t>המשכים הם הנחות ראשוניות של כמאי הקבלן – לא התקבל מידע על צוותים, קצבי ביצוע או מועדי חגים. ניתן לשנות משכים וקודמות, והתאריכים והגאנט יתעדכנו.</t>
        </is>
      </c>
    </row>
    <row r="3">
      <c r="A3" t="inlineStr">
        <is>
          <t>ימי סוף שבוע (שישי ושבת):</t>
        </is>
      </c>
      <c r="D3" s="4" t="inlineStr">
        <is>
          <t>0000110</t>
        </is>
      </c>
    </row>
    <row r="5">
      <c r="A5" s="5" t="inlineStr">
        <is>
          <t>מס׳</t>
        </is>
      </c>
      <c r="B5" s="5" t="inlineStr">
        <is>
          <t>פעילות</t>
        </is>
      </c>
      <c r="C5" s="5" t="inlineStr">
        <is>
          <t>סעיפי כתב כמויות</t>
        </is>
      </c>
      <c r="D5" s="5" t="inlineStr">
        <is>
          <t>משך (ימי עבודה)</t>
        </is>
      </c>
      <c r="E5" s="5" t="inlineStr">
        <is>
          <t>ק1</t>
        </is>
      </c>
      <c r="F5" s="5" t="inlineStr">
        <is>
          <t>ק2</t>
        </is>
      </c>
      <c r="G5" s="5" t="inlineStr">
        <is>
          <t>ק3</t>
        </is>
      </c>
      <c r="H5" s="5" t="inlineStr">
        <is>
          <t>ק4</t>
        </is>
      </c>
      <c r="I5" s="5" t="inlineStr">
        <is>
          <t>ק5</t>
        </is>
      </c>
      <c r="J5" s="5" t="inlineStr">
        <is>
          <t>ק6</t>
        </is>
      </c>
      <c r="K5" s="5" t="inlineStr">
        <is>
          <t>סיום הקודמות</t>
        </is>
      </c>
      <c r="L5" s="5" t="inlineStr">
        <is>
          <t>התחלה</t>
        </is>
      </c>
      <c r="M5" s="5" t="inlineStr">
        <is>
          <t>סיום</t>
        </is>
      </c>
      <c r="N5" s="5" t="inlineStr">
        <is>
          <t>נתיב קריטי*</t>
        </is>
      </c>
      <c r="O5" s="5" t="inlineStr">
        <is>
          <t>בסיס המשך</t>
        </is>
      </c>
      <c r="P5" s="6">
        <f>$D$2-MOD(WEEKDAY($D$2,1)-1,7)+0</f>
        <v/>
      </c>
      <c r="Q5" s="6">
        <f>$D$2-MOD(WEEKDAY($D$2,1)-1,7)+7</f>
        <v/>
      </c>
      <c r="R5" s="6">
        <f>$D$2-MOD(WEEKDAY($D$2,1)-1,7)+14</f>
        <v/>
      </c>
      <c r="S5" s="6">
        <f>$D$2-MOD(WEEKDAY($D$2,1)-1,7)+21</f>
        <v/>
      </c>
      <c r="T5" s="6">
        <f>$D$2-MOD(WEEKDAY($D$2,1)-1,7)+28</f>
        <v/>
      </c>
      <c r="U5" s="6">
        <f>$D$2-MOD(WEEKDAY($D$2,1)-1,7)+35</f>
        <v/>
      </c>
      <c r="V5" s="6">
        <f>$D$2-MOD(WEEKDAY($D$2,1)-1,7)+42</f>
        <v/>
      </c>
      <c r="W5" s="6">
        <f>$D$2-MOD(WEEKDAY($D$2,1)-1,7)+49</f>
        <v/>
      </c>
      <c r="X5" s="6">
        <f>$D$2-MOD(WEEKDAY($D$2,1)-1,7)+56</f>
        <v/>
      </c>
      <c r="Y5" s="6">
        <f>$D$2-MOD(WEEKDAY($D$2,1)-1,7)+63</f>
        <v/>
      </c>
      <c r="Z5" s="6">
        <f>$D$2-MOD(WEEKDAY($D$2,1)-1,7)+70</f>
        <v/>
      </c>
      <c r="AA5" s="6">
        <f>$D$2-MOD(WEEKDAY($D$2,1)-1,7)+77</f>
        <v/>
      </c>
      <c r="AB5" s="6">
        <f>$D$2-MOD(WEEKDAY($D$2,1)-1,7)+84</f>
        <v/>
      </c>
      <c r="AC5" s="6">
        <f>$D$2-MOD(WEEKDAY($D$2,1)-1,7)+91</f>
        <v/>
      </c>
      <c r="AD5" s="6">
        <f>$D$2-MOD(WEEKDAY($D$2,1)-1,7)+98</f>
        <v/>
      </c>
      <c r="AE5" s="6">
        <f>$D$2-MOD(WEEKDAY($D$2,1)-1,7)+105</f>
        <v/>
      </c>
      <c r="AF5" s="6">
        <f>$D$2-MOD(WEEKDAY($D$2,1)-1,7)+112</f>
        <v/>
      </c>
      <c r="AG5" s="6">
        <f>$D$2-MOD(WEEKDAY($D$2,1)-1,7)+119</f>
        <v/>
      </c>
      <c r="AH5" s="6">
        <f>$D$2-MOD(WEEKDAY($D$2,1)-1,7)+126</f>
        <v/>
      </c>
      <c r="AI5" s="6">
        <f>$D$2-MOD(WEEKDAY($D$2,1)-1,7)+133</f>
        <v/>
      </c>
      <c r="AJ5" s="6">
        <f>$D$2-MOD(WEEKDAY($D$2,1)-1,7)+140</f>
        <v/>
      </c>
      <c r="AK5" s="6">
        <f>$D$2-MOD(WEEKDAY($D$2,1)-1,7)+147</f>
        <v/>
      </c>
      <c r="AL5" s="6">
        <f>$D$2-MOD(WEEKDAY($D$2,1)-1,7)+154</f>
        <v/>
      </c>
      <c r="AM5" s="6">
        <f>$D$2-MOD(WEEKDAY($D$2,1)-1,7)+161</f>
        <v/>
      </c>
      <c r="AN5" s="6">
        <f>$D$2-MOD(WEEKDAY($D$2,1)-1,7)+168</f>
        <v/>
      </c>
      <c r="AO5" s="6">
        <f>$D$2-MOD(WEEKDAY($D$2,1)-1,7)+175</f>
        <v/>
      </c>
      <c r="AP5" s="6">
        <f>$D$2-MOD(WEEKDAY($D$2,1)-1,7)+182</f>
        <v/>
      </c>
      <c r="AQ5" s="6">
        <f>$D$2-MOD(WEEKDAY($D$2,1)-1,7)+189</f>
        <v/>
      </c>
      <c r="AR5" s="6">
        <f>$D$2-MOD(WEEKDAY($D$2,1)-1,7)+196</f>
        <v/>
      </c>
      <c r="AS5" s="6">
        <f>$D$2-MOD(WEEKDAY($D$2,1)-1,7)+203</f>
        <v/>
      </c>
      <c r="AT5" s="6">
        <f>$D$2-MOD(WEEKDAY($D$2,1)-1,7)+210</f>
        <v/>
      </c>
      <c r="AU5" s="6">
        <f>$D$2-MOD(WEEKDAY($D$2,1)-1,7)+217</f>
        <v/>
      </c>
      <c r="AV5" s="6">
        <f>$D$2-MOD(WEEKDAY($D$2,1)-1,7)+224</f>
        <v/>
      </c>
      <c r="AW5" s="6">
        <f>$D$2-MOD(WEEKDAY($D$2,1)-1,7)+231</f>
        <v/>
      </c>
      <c r="AX5" s="6">
        <f>$D$2-MOD(WEEKDAY($D$2,1)-1,7)+238</f>
        <v/>
      </c>
      <c r="AY5" s="6">
        <f>$D$2-MOD(WEEKDAY($D$2,1)-1,7)+245</f>
        <v/>
      </c>
      <c r="AZ5" s="6">
        <f>$D$2-MOD(WEEKDAY($D$2,1)-1,7)+252</f>
        <v/>
      </c>
      <c r="BA5" s="6">
        <f>$D$2-MOD(WEEKDAY($D$2,1)-1,7)+259</f>
        <v/>
      </c>
      <c r="BB5" s="6">
        <f>$D$2-MOD(WEEKDAY($D$2,1)-1,7)+266</f>
        <v/>
      </c>
      <c r="BC5" s="6">
        <f>$D$2-MOD(WEEKDAY($D$2,1)-1,7)+273</f>
        <v/>
      </c>
      <c r="BD5" s="6">
        <f>$D$2-MOD(WEEKDAY($D$2,1)-1,7)+280</f>
        <v/>
      </c>
      <c r="BE5" s="6">
        <f>$D$2-MOD(WEEKDAY($D$2,1)-1,7)+287</f>
        <v/>
      </c>
      <c r="BF5" s="6">
        <f>$D$2-MOD(WEEKDAY($D$2,1)-1,7)+294</f>
        <v/>
      </c>
      <c r="BG5" s="6">
        <f>$D$2-MOD(WEEKDAY($D$2,1)-1,7)+301</f>
        <v/>
      </c>
      <c r="BH5" s="6">
        <f>$D$2-MOD(WEEKDAY($D$2,1)-1,7)+308</f>
        <v/>
      </c>
      <c r="BI5" s="6">
        <f>$D$2-MOD(WEEKDAY($D$2,1)-1,7)+315</f>
        <v/>
      </c>
      <c r="BJ5" s="6">
        <f>$D$2-MOD(WEEKDAY($D$2,1)-1,7)+322</f>
        <v/>
      </c>
      <c r="BK5" s="6">
        <f>$D$2-MOD(WEEKDAY($D$2,1)-1,7)+329</f>
        <v/>
      </c>
      <c r="BL5" s="6">
        <f>$D$2-MOD(WEEKDAY($D$2,1)-1,7)+336</f>
        <v/>
      </c>
      <c r="BM5" s="6">
        <f>$D$2-MOD(WEEKDAY($D$2,1)-1,7)+343</f>
        <v/>
      </c>
      <c r="BN5" s="6">
        <f>$D$2-MOD(WEEKDAY($D$2,1)-1,7)+350</f>
        <v/>
      </c>
      <c r="BO5" s="6">
        <f>$D$2-MOD(WEEKDAY($D$2,1)-1,7)+357</f>
        <v/>
      </c>
    </row>
    <row r="6">
      <c r="A6" s="7" t="inlineStr">
        <is>
          <t>0. התקשרות, אישורים והזמנות ארוכות טווח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</row>
    <row r="7">
      <c r="A7" s="9" t="inlineStr">
        <is>
          <t>A010</t>
        </is>
      </c>
      <c r="B7" s="10" t="inlineStr">
        <is>
          <t>צו התחלה ואישור תחילת עבודה</t>
        </is>
      </c>
      <c r="C7" s="10" t="inlineStr">
        <is>
          <t>—</t>
        </is>
      </c>
      <c r="D7" s="9" t="n">
        <v>0</v>
      </c>
      <c r="E7" s="9" t="n"/>
      <c r="F7" s="9" t="n"/>
      <c r="G7" s="9" t="n"/>
      <c r="H7" s="9" t="n"/>
      <c r="I7" s="9" t="n"/>
      <c r="J7" s="9" t="n"/>
      <c r="K7" s="11">
        <f>MAX($D$2-1,IFERROR(INDEX($M$6:$M$88,MATCH(E7,$A$6:$A$88,0)),0),IFERROR(INDEX($M$6:$M$88,MATCH(F7,$A$6:$A$88,0)),0),IFERROR(INDEX($M$6:$M$88,MATCH(G7,$A$6:$A$88,0)),0),IFERROR(INDEX($M$6:$M$88,MATCH(H7,$A$6:$A$88,0)),0),IFERROR(INDEX($M$6:$M$88,MATCH(I7,$A$6:$A$88,0)),0),IFERROR(INDEX($M$6:$M$88,MATCH(J7,$A$6:$A$88,0)),0))</f>
        <v/>
      </c>
      <c r="L7" s="11">
        <f>IF(D7=0,IF(COUNTA(E7:J7)=0,$D$2,K7),WORKDAY.INTL(K7,1,$D$3))</f>
        <v/>
      </c>
      <c r="M7" s="11">
        <f>IF(D7=0,L7,WORKDAY.INTL(L7,D7-1,$D$3))</f>
        <v/>
      </c>
      <c r="N7" s="12" t="inlineStr">
        <is>
          <t>כן</t>
        </is>
      </c>
      <c r="O7" s="10" t="inlineStr">
        <is>
          <t>אבן דרך</t>
        </is>
      </c>
    </row>
    <row r="8">
      <c r="A8" s="9" t="inlineStr">
        <is>
          <t>A020</t>
        </is>
      </c>
      <c r="B8" s="10" t="inlineStr">
        <is>
          <t>הגשת תוכניות וקבלת אישורי חברת החשמל – פילר והגדלה ל-3×40</t>
        </is>
      </c>
      <c r="C8" s="10" t="inlineStr">
        <is>
          <t>06.07, 06.08</t>
        </is>
      </c>
      <c r="D8" s="9" t="n">
        <v>40</v>
      </c>
      <c r="E8" s="9" t="inlineStr">
        <is>
          <t>A010</t>
        </is>
      </c>
      <c r="F8" s="9" t="n"/>
      <c r="G8" s="9" t="n"/>
      <c r="H8" s="9" t="n"/>
      <c r="I8" s="9" t="n"/>
      <c r="J8" s="9" t="n"/>
      <c r="K8" s="11">
        <f>MAX($D$2-1,IFERROR(INDEX($M$6:$M$88,MATCH(E8,$A$6:$A$88,0)),0),IFERROR(INDEX($M$6:$M$88,MATCH(F8,$A$6:$A$88,0)),0),IFERROR(INDEX($M$6:$M$88,MATCH(G8,$A$6:$A$88,0)),0),IFERROR(INDEX($M$6:$M$88,MATCH(H8,$A$6:$A$88,0)),0),IFERROR(INDEX($M$6:$M$88,MATCH(I8,$A$6:$A$88,0)),0),IFERROR(INDEX($M$6:$M$88,MATCH(J8,$A$6:$A$88,0)),0))</f>
        <v/>
      </c>
      <c r="L8" s="11">
        <f>IF(D8=0,IF(COUNTA(E8:J8)=0,$D$2,K8),WORKDAY.INTL(K8,1,$D$3))</f>
        <v/>
      </c>
      <c r="M8" s="11">
        <f>IF(D8=0,L8,WORKDAY.INTL(L8,D8-1,$D$3))</f>
        <v/>
      </c>
      <c r="N8" s="9" t="n"/>
      <c r="O8" s="10" t="inlineStr">
        <is>
          <t>הנחה: תלוי בחברת החשמל; רץ במקביל</t>
        </is>
      </c>
    </row>
    <row r="9">
      <c r="A9" s="9" t="inlineStr">
        <is>
          <t>A030</t>
        </is>
      </c>
      <c r="B9" s="10" t="inlineStr">
        <is>
          <t>אישור דגמים, חומרים וגוונים מול המעצבת (כולל Mock-Up טיח)</t>
        </is>
      </c>
      <c r="C9" s="10" t="inlineStr">
        <is>
          <t>14.03</t>
        </is>
      </c>
      <c r="D9" s="9" t="n">
        <v>10</v>
      </c>
      <c r="E9" s="9" t="inlineStr">
        <is>
          <t>A010</t>
        </is>
      </c>
      <c r="F9" s="9" t="n"/>
      <c r="G9" s="9" t="n"/>
      <c r="H9" s="9" t="n"/>
      <c r="I9" s="9" t="n"/>
      <c r="J9" s="9" t="n"/>
      <c r="K9" s="11">
        <f>MAX($D$2-1,IFERROR(INDEX($M$6:$M$88,MATCH(E9,$A$6:$A$88,0)),0),IFERROR(INDEX($M$6:$M$88,MATCH(F9,$A$6:$A$88,0)),0),IFERROR(INDEX($M$6:$M$88,MATCH(G9,$A$6:$A$88,0)),0),IFERROR(INDEX($M$6:$M$88,MATCH(H9,$A$6:$A$88,0)),0),IFERROR(INDEX($M$6:$M$88,MATCH(I9,$A$6:$A$88,0)),0),IFERROR(INDEX($M$6:$M$88,MATCH(J9,$A$6:$A$88,0)),0))</f>
        <v/>
      </c>
      <c r="L9" s="11">
        <f>IF(D9=0,IF(COUNTA(E9:J9)=0,$D$2,K9),WORKDAY.INTL(K9,1,$D$3))</f>
        <v/>
      </c>
      <c r="M9" s="11">
        <f>IF(D9=0,L9,WORKDAY.INTL(L9,D9-1,$D$3))</f>
        <v/>
      </c>
      <c r="N9" s="9" t="n"/>
      <c r="O9" s="10" t="inlineStr">
        <is>
          <t>הנחה</t>
        </is>
      </c>
    </row>
    <row r="10">
      <c r="A10" s="9" t="inlineStr">
        <is>
          <t>A040</t>
        </is>
      </c>
      <c r="B10" s="10" t="inlineStr">
        <is>
          <t>מדידת פתחים סופית לאלומיניום</t>
        </is>
      </c>
      <c r="C10" s="10" t="inlineStr">
        <is>
          <t>16.01</t>
        </is>
      </c>
      <c r="D10" s="9" t="n">
        <v>3</v>
      </c>
      <c r="E10" s="9" t="inlineStr">
        <is>
          <t>D070</t>
        </is>
      </c>
      <c r="F10" s="9" t="inlineStr">
        <is>
          <t>A030</t>
        </is>
      </c>
      <c r="G10" s="9" t="n"/>
      <c r="H10" s="9" t="n"/>
      <c r="I10" s="9" t="n"/>
      <c r="J10" s="9" t="n"/>
      <c r="K10" s="11">
        <f>MAX($D$2-1,IFERROR(INDEX($M$6:$M$88,MATCH(E10,$A$6:$A$88,0)),0),IFERROR(INDEX($M$6:$M$88,MATCH(F10,$A$6:$A$88,0)),0),IFERROR(INDEX($M$6:$M$88,MATCH(G10,$A$6:$A$88,0)),0),IFERROR(INDEX($M$6:$M$88,MATCH(H10,$A$6:$A$88,0)),0),IFERROR(INDEX($M$6:$M$88,MATCH(I10,$A$6:$A$88,0)),0),IFERROR(INDEX($M$6:$M$88,MATCH(J10,$A$6:$A$88,0)),0))</f>
        <v/>
      </c>
      <c r="L10" s="11">
        <f>IF(D10=0,IF(COUNTA(E10:J10)=0,$D$2,K10),WORKDAY.INTL(K10,1,$D$3))</f>
        <v/>
      </c>
      <c r="M10" s="11">
        <f>IF(D10=0,L10,WORKDAY.INTL(L10,D10-1,$D$3))</f>
        <v/>
      </c>
      <c r="N10" s="9" t="n"/>
      <c r="O10" s="10" t="inlineStr">
        <is>
          <t>הנחה: לאחר הריסה ואישור קונסטרוקטור</t>
        </is>
      </c>
    </row>
    <row r="11">
      <c r="A11" s="9" t="inlineStr">
        <is>
          <t>A045</t>
        </is>
      </c>
      <c r="B11" s="10" t="inlineStr">
        <is>
          <t>ייצור ואספקה: אלומיניום, דלתות וחלונות (26+14 יח׳)</t>
        </is>
      </c>
      <c r="C11" s="10" t="inlineStr">
        <is>
          <t>16.01–16.04</t>
        </is>
      </c>
      <c r="D11" s="9" t="n">
        <v>30</v>
      </c>
      <c r="E11" s="9" t="inlineStr">
        <is>
          <t>A040</t>
        </is>
      </c>
      <c r="F11" s="9" t="n"/>
      <c r="G11" s="9" t="n"/>
      <c r="H11" s="9" t="n"/>
      <c r="I11" s="9" t="n"/>
      <c r="J11" s="9" t="n"/>
      <c r="K11" s="11">
        <f>MAX($D$2-1,IFERROR(INDEX($M$6:$M$88,MATCH(E11,$A$6:$A$88,0)),0),IFERROR(INDEX($M$6:$M$88,MATCH(F11,$A$6:$A$88,0)),0),IFERROR(INDEX($M$6:$M$88,MATCH(G11,$A$6:$A$88,0)),0),IFERROR(INDEX($M$6:$M$88,MATCH(H11,$A$6:$A$88,0)),0),IFERROR(INDEX($M$6:$M$88,MATCH(I11,$A$6:$A$88,0)),0),IFERROR(INDEX($M$6:$M$88,MATCH(J11,$A$6:$A$88,0)),0))</f>
        <v/>
      </c>
      <c r="L11" s="11">
        <f>IF(D11=0,IF(COUNTA(E11:J11)=0,$D$2,K11),WORKDAY.INTL(K11,1,$D$3))</f>
        <v/>
      </c>
      <c r="M11" s="11">
        <f>IF(D11=0,L11,WORKDAY.INTL(L11,D11-1,$D$3))</f>
        <v/>
      </c>
      <c r="N11" s="9" t="n"/>
      <c r="O11" s="10" t="inlineStr">
        <is>
          <t>הנחה: 6 שבועות ייצור ואספקה</t>
        </is>
      </c>
    </row>
    <row r="12">
      <c r="A12" s="9" t="inlineStr">
        <is>
          <t>A050</t>
        </is>
      </c>
      <c r="B12" s="10" t="inlineStr">
        <is>
          <t>הזמנה ואספקה: גופי תאורה וכלים סניטריים וברזים</t>
        </is>
      </c>
      <c r="C12" s="10" t="inlineStr">
        <is>
          <t>05, 07</t>
        </is>
      </c>
      <c r="D12" s="9" t="n">
        <v>20</v>
      </c>
      <c r="E12" s="9" t="inlineStr">
        <is>
          <t>A030</t>
        </is>
      </c>
      <c r="F12" s="9" t="n"/>
      <c r="G12" s="9" t="n"/>
      <c r="H12" s="9" t="n"/>
      <c r="I12" s="9" t="n"/>
      <c r="J12" s="9" t="n"/>
      <c r="K12" s="11">
        <f>MAX($D$2-1,IFERROR(INDEX($M$6:$M$88,MATCH(E12,$A$6:$A$88,0)),0),IFERROR(INDEX($M$6:$M$88,MATCH(F12,$A$6:$A$88,0)),0),IFERROR(INDEX($M$6:$M$88,MATCH(G12,$A$6:$A$88,0)),0),IFERROR(INDEX($M$6:$M$88,MATCH(H12,$A$6:$A$88,0)),0),IFERROR(INDEX($M$6:$M$88,MATCH(I12,$A$6:$A$88,0)),0),IFERROR(INDEX($M$6:$M$88,MATCH(J12,$A$6:$A$88,0)),0))</f>
        <v/>
      </c>
      <c r="L12" s="11">
        <f>IF(D12=0,IF(COUNTA(E12:J12)=0,$D$2,K12),WORKDAY.INTL(K12,1,$D$3))</f>
        <v/>
      </c>
      <c r="M12" s="11">
        <f>IF(D12=0,L12,WORKDAY.INTL(L12,D12-1,$D$3))</f>
        <v/>
      </c>
      <c r="N12" s="9" t="n"/>
      <c r="O12" s="10" t="inlineStr">
        <is>
          <t>הנחה</t>
        </is>
      </c>
    </row>
    <row r="13">
      <c r="A13" s="9" t="inlineStr">
        <is>
          <t>A055</t>
        </is>
      </c>
      <c r="B13" s="10" t="inlineStr">
        <is>
          <t>הזמנה ואספקה: אריחי ריצוף וחיפוי 120×120 / 120×60</t>
        </is>
      </c>
      <c r="C13" s="10" t="inlineStr">
        <is>
          <t>13.01–13.05</t>
        </is>
      </c>
      <c r="D13" s="9" t="n">
        <v>20</v>
      </c>
      <c r="E13" s="9" t="inlineStr">
        <is>
          <t>A030</t>
        </is>
      </c>
      <c r="F13" s="9" t="n"/>
      <c r="G13" s="9" t="n"/>
      <c r="H13" s="9" t="n"/>
      <c r="I13" s="9" t="n"/>
      <c r="J13" s="9" t="n"/>
      <c r="K13" s="11">
        <f>MAX($D$2-1,IFERROR(INDEX($M$6:$M$88,MATCH(E13,$A$6:$A$88,0)),0),IFERROR(INDEX($M$6:$M$88,MATCH(F13,$A$6:$A$88,0)),0),IFERROR(INDEX($M$6:$M$88,MATCH(G13,$A$6:$A$88,0)),0),IFERROR(INDEX($M$6:$M$88,MATCH(H13,$A$6:$A$88,0)),0),IFERROR(INDEX($M$6:$M$88,MATCH(I13,$A$6:$A$88,0)),0),IFERROR(INDEX($M$6:$M$88,MATCH(J13,$A$6:$A$88,0)),0))</f>
        <v/>
      </c>
      <c r="L13" s="11">
        <f>IF(D13=0,IF(COUNTA(E13:J13)=0,$D$2,K13),WORKDAY.INTL(K13,1,$D$3))</f>
        <v/>
      </c>
      <c r="M13" s="11">
        <f>IF(D13=0,L13,WORKDAY.INTL(L13,D13-1,$D$3))</f>
        <v/>
      </c>
      <c r="N13" s="9" t="n"/>
      <c r="O13" s="10" t="inlineStr">
        <is>
          <t>הנחה: אריחים בפורמט גדול</t>
        </is>
      </c>
    </row>
    <row r="14">
      <c r="A14" s="9" t="inlineStr">
        <is>
          <t>A060</t>
        </is>
      </c>
      <c r="B14" s="10" t="inlineStr">
        <is>
          <t>הזמנה וייצור: שערים חשמליים ותריסים חשמליים (3 שערים, 18 תריסים)</t>
        </is>
      </c>
      <c r="C14" s="10" t="inlineStr">
        <is>
          <t>16.05–16.09</t>
        </is>
      </c>
      <c r="D14" s="9" t="n">
        <v>30</v>
      </c>
      <c r="E14" s="9" t="inlineStr">
        <is>
          <t>A030</t>
        </is>
      </c>
      <c r="F14" s="9" t="n"/>
      <c r="G14" s="9" t="n"/>
      <c r="H14" s="9" t="n"/>
      <c r="I14" s="9" t="n"/>
      <c r="J14" s="9" t="n"/>
      <c r="K14" s="11">
        <f>MAX($D$2-1,IFERROR(INDEX($M$6:$M$88,MATCH(E14,$A$6:$A$88,0)),0),IFERROR(INDEX($M$6:$M$88,MATCH(F14,$A$6:$A$88,0)),0),IFERROR(INDEX($M$6:$M$88,MATCH(G14,$A$6:$A$88,0)),0),IFERROR(INDEX($M$6:$M$88,MATCH(H14,$A$6:$A$88,0)),0),IFERROR(INDEX($M$6:$M$88,MATCH(I14,$A$6:$A$88,0)),0),IFERROR(INDEX($M$6:$M$88,MATCH(J14,$A$6:$A$88,0)),0))</f>
        <v/>
      </c>
      <c r="L14" s="11">
        <f>IF(D14=0,IF(COUNTA(E14:J14)=0,$D$2,K14),WORKDAY.INTL(K14,1,$D$3))</f>
        <v/>
      </c>
      <c r="M14" s="11">
        <f>IF(D14=0,L14,WORKDAY.INTL(L14,D14-1,$D$3))</f>
        <v/>
      </c>
      <c r="N14" s="9" t="n"/>
      <c r="O14" s="10" t="inlineStr">
        <is>
          <t>הנחה; התריסים – אופציה</t>
        </is>
      </c>
    </row>
    <row r="15">
      <c r="A15" s="9" t="inlineStr">
        <is>
          <t>A065</t>
        </is>
      </c>
      <c r="B15" s="10" t="inlineStr">
        <is>
          <t>אישור תוכנית מיזוג והזמנת יחידות</t>
        </is>
      </c>
      <c r="C15" s="10" t="inlineStr">
        <is>
          <t>08.01, 08.04</t>
        </is>
      </c>
      <c r="D15" s="9" t="n">
        <v>10</v>
      </c>
      <c r="E15" s="9" t="inlineStr">
        <is>
          <t>A030</t>
        </is>
      </c>
      <c r="F15" s="9" t="n"/>
      <c r="G15" s="9" t="n"/>
      <c r="H15" s="9" t="n"/>
      <c r="I15" s="9" t="n"/>
      <c r="J15" s="9" t="n"/>
      <c r="K15" s="11">
        <f>MAX($D$2-1,IFERROR(INDEX($M$6:$M$88,MATCH(E15,$A$6:$A$88,0)),0),IFERROR(INDEX($M$6:$M$88,MATCH(F15,$A$6:$A$88,0)),0),IFERROR(INDEX($M$6:$M$88,MATCH(G15,$A$6:$A$88,0)),0),IFERROR(INDEX($M$6:$M$88,MATCH(H15,$A$6:$A$88,0)),0),IFERROR(INDEX($M$6:$M$88,MATCH(I15,$A$6:$A$88,0)),0),IFERROR(INDEX($M$6:$M$88,MATCH(J15,$A$6:$A$88,0)),0))</f>
        <v/>
      </c>
      <c r="L15" s="11">
        <f>IF(D15=0,IF(COUNTA(E15:J15)=0,$D$2,K15),WORKDAY.INTL(K15,1,$D$3))</f>
        <v/>
      </c>
      <c r="M15" s="11">
        <f>IF(D15=0,L15,WORKDAY.INTL(L15,D15-1,$D$3))</f>
        <v/>
      </c>
      <c r="N15" s="9" t="n"/>
      <c r="O15" s="10" t="inlineStr">
        <is>
          <t>הנחה; הערת מתכננת פתוחה במרתף</t>
        </is>
      </c>
    </row>
    <row r="16">
      <c r="A16" s="7" t="inlineStr">
        <is>
          <t>1. התארגנות והכנות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</row>
    <row r="17">
      <c r="A17" s="9" t="inlineStr">
        <is>
          <t>S010</t>
        </is>
      </c>
      <c r="B17" s="10" t="inlineStr">
        <is>
          <t>התארגנות אתר, גידור, חיבורי מים וחשמל זמניים, מכולת פסולת</t>
        </is>
      </c>
      <c r="C17" s="10" t="inlineStr">
        <is>
          <t>01.01–01.04, 01.07</t>
        </is>
      </c>
      <c r="D17" s="9" t="n">
        <v>5</v>
      </c>
      <c r="E17" s="9" t="inlineStr">
        <is>
          <t>A010</t>
        </is>
      </c>
      <c r="F17" s="9" t="n"/>
      <c r="G17" s="9" t="n"/>
      <c r="H17" s="9" t="n"/>
      <c r="I17" s="9" t="n"/>
      <c r="J17" s="9" t="n"/>
      <c r="K17" s="11">
        <f>MAX($D$2-1,IFERROR(INDEX($M$6:$M$88,MATCH(E17,$A$6:$A$88,0)),0),IFERROR(INDEX($M$6:$M$88,MATCH(F17,$A$6:$A$88,0)),0),IFERROR(INDEX($M$6:$M$88,MATCH(G17,$A$6:$A$88,0)),0),IFERROR(INDEX($M$6:$M$88,MATCH(H17,$A$6:$A$88,0)),0),IFERROR(INDEX($M$6:$M$88,MATCH(I17,$A$6:$A$88,0)),0),IFERROR(INDEX($M$6:$M$88,MATCH(J17,$A$6:$A$88,0)),0))</f>
        <v/>
      </c>
      <c r="L17" s="11">
        <f>IF(D17=0,IF(COUNTA(E17:J17)=0,$D$2,K17),WORKDAY.INTL(K17,1,$D$3))</f>
        <v/>
      </c>
      <c r="M17" s="11">
        <f>IF(D17=0,L17,WORKDAY.INTL(L17,D17-1,$D$3))</f>
        <v/>
      </c>
      <c r="N17" s="12" t="inlineStr">
        <is>
          <t>כן</t>
        </is>
      </c>
      <c r="O17" s="10" t="inlineStr">
        <is>
          <t>הנחה</t>
        </is>
      </c>
    </row>
    <row r="18">
      <c r="A18" s="9" t="inlineStr">
        <is>
          <t>S020</t>
        </is>
      </c>
      <c r="B18" s="10" t="inlineStr">
        <is>
          <t>הגנה על אלמנטים קיימים, מדידות וסימון בלייזר</t>
        </is>
      </c>
      <c r="C18" s="10" t="inlineStr">
        <is>
          <t>01.05, 01.06</t>
        </is>
      </c>
      <c r="D18" s="9" t="n">
        <v>4</v>
      </c>
      <c r="E18" s="9" t="inlineStr">
        <is>
          <t>S010</t>
        </is>
      </c>
      <c r="F18" s="9" t="n"/>
      <c r="G18" s="9" t="n"/>
      <c r="H18" s="9" t="n"/>
      <c r="I18" s="9" t="n"/>
      <c r="J18" s="9" t="n"/>
      <c r="K18" s="11">
        <f>MAX($D$2-1,IFERROR(INDEX($M$6:$M$88,MATCH(E18,$A$6:$A$88,0)),0),IFERROR(INDEX($M$6:$M$88,MATCH(F18,$A$6:$A$88,0)),0),IFERROR(INDEX($M$6:$M$88,MATCH(G18,$A$6:$A$88,0)),0),IFERROR(INDEX($M$6:$M$88,MATCH(H18,$A$6:$A$88,0)),0),IFERROR(INDEX($M$6:$M$88,MATCH(I18,$A$6:$A$88,0)),0),IFERROR(INDEX($M$6:$M$88,MATCH(J18,$A$6:$A$88,0)),0))</f>
        <v/>
      </c>
      <c r="L18" s="11">
        <f>IF(D18=0,IF(COUNTA(E18:J18)=0,$D$2,K18),WORKDAY.INTL(K18,1,$D$3))</f>
        <v/>
      </c>
      <c r="M18" s="11">
        <f>IF(D18=0,L18,WORKDAY.INTL(L18,D18-1,$D$3))</f>
        <v/>
      </c>
      <c r="N18" s="12" t="inlineStr">
        <is>
          <t>כן</t>
        </is>
      </c>
      <c r="O18" s="10" t="inlineStr">
        <is>
          <t>הנחה</t>
        </is>
      </c>
    </row>
    <row r="19">
      <c r="A19" s="9" t="inlineStr">
        <is>
          <t>S030</t>
        </is>
      </c>
      <c r="B19" s="10" t="inlineStr">
        <is>
          <t>אישור בכתב של המתכננת למעבר להריסות</t>
        </is>
      </c>
      <c r="C19" s="10" t="inlineStr">
        <is>
          <t>—</t>
        </is>
      </c>
      <c r="D19" s="9" t="n">
        <v>1</v>
      </c>
      <c r="E19" s="9" t="inlineStr">
        <is>
          <t>S020</t>
        </is>
      </c>
      <c r="F19" s="9" t="n"/>
      <c r="G19" s="9" t="n"/>
      <c r="H19" s="9" t="n"/>
      <c r="I19" s="9" t="n"/>
      <c r="J19" s="9" t="n"/>
      <c r="K19" s="11">
        <f>MAX($D$2-1,IFERROR(INDEX($M$6:$M$88,MATCH(E19,$A$6:$A$88,0)),0),IFERROR(INDEX($M$6:$M$88,MATCH(F19,$A$6:$A$88,0)),0),IFERROR(INDEX($M$6:$M$88,MATCH(G19,$A$6:$A$88,0)),0),IFERROR(INDEX($M$6:$M$88,MATCH(H19,$A$6:$A$88,0)),0),IFERROR(INDEX($M$6:$M$88,MATCH(I19,$A$6:$A$88,0)),0),IFERROR(INDEX($M$6:$M$88,MATCH(J19,$A$6:$A$88,0)),0))</f>
        <v/>
      </c>
      <c r="L19" s="11">
        <f>IF(D19=0,IF(COUNTA(E19:J19)=0,$D$2,K19),WORKDAY.INTL(K19,1,$D$3))</f>
        <v/>
      </c>
      <c r="M19" s="11">
        <f>IF(D19=0,L19,WORKDAY.INTL(L19,D19-1,$D$3))</f>
        <v/>
      </c>
      <c r="N19" s="12" t="inlineStr">
        <is>
          <t>כן</t>
        </is>
      </c>
      <c r="O19" s="10" t="inlineStr">
        <is>
          <t>מפרט פרק 1</t>
        </is>
      </c>
    </row>
    <row r="20">
      <c r="A20" s="7" t="inlineStr">
        <is>
          <t>2. הריסות ופירוקים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</row>
    <row r="21">
      <c r="A21" s="9" t="inlineStr">
        <is>
          <t>D010</t>
        </is>
      </c>
      <c r="B21" s="10" t="inlineStr">
        <is>
          <t>פירוק חלונות, דלתות, כלים סניטריים, ארונות, מיזוג, חשמל וצנרת גלויה</t>
        </is>
      </c>
      <c r="C21" s="10" t="inlineStr">
        <is>
          <t>02.06–02.14</t>
        </is>
      </c>
      <c r="D21" s="9" t="n">
        <v>8</v>
      </c>
      <c r="E21" s="9" t="inlineStr">
        <is>
          <t>S030</t>
        </is>
      </c>
      <c r="F21" s="9" t="n"/>
      <c r="G21" s="9" t="n"/>
      <c r="H21" s="9" t="n"/>
      <c r="I21" s="9" t="n"/>
      <c r="J21" s="9" t="n"/>
      <c r="K21" s="11">
        <f>MAX($D$2-1,IFERROR(INDEX($M$6:$M$88,MATCH(E21,$A$6:$A$88,0)),0),IFERROR(INDEX($M$6:$M$88,MATCH(F21,$A$6:$A$88,0)),0),IFERROR(INDEX($M$6:$M$88,MATCH(G21,$A$6:$A$88,0)),0),IFERROR(INDEX($M$6:$M$88,MATCH(H21,$A$6:$A$88,0)),0),IFERROR(INDEX($M$6:$M$88,MATCH(I21,$A$6:$A$88,0)),0),IFERROR(INDEX($M$6:$M$88,MATCH(J21,$A$6:$A$88,0)),0))</f>
        <v/>
      </c>
      <c r="L21" s="11">
        <f>IF(D21=0,IF(COUNTA(E21:J21)=0,$D$2,K21),WORKDAY.INTL(K21,1,$D$3))</f>
        <v/>
      </c>
      <c r="M21" s="11">
        <f>IF(D21=0,L21,WORKDAY.INTL(L21,D21-1,$D$3))</f>
        <v/>
      </c>
      <c r="N21" s="12" t="inlineStr">
        <is>
          <t>כן</t>
        </is>
      </c>
      <c r="O21" s="10" t="inlineStr">
        <is>
          <t>הנחה: ספירה בשטח</t>
        </is>
      </c>
    </row>
    <row r="22">
      <c r="A22" s="9" t="inlineStr">
        <is>
          <t>D020</t>
        </is>
      </c>
      <c r="B22" s="10" t="inlineStr">
        <is>
          <t>הריסת קירות ומחיצות – מרתף (62 מ״ר)</t>
        </is>
      </c>
      <c r="C22" s="10" t="inlineStr">
        <is>
          <t>02.01</t>
        </is>
      </c>
      <c r="D22" s="9" t="n">
        <v>3</v>
      </c>
      <c r="E22" s="9" t="inlineStr">
        <is>
          <t>D010</t>
        </is>
      </c>
      <c r="F22" s="9" t="n"/>
      <c r="G22" s="9" t="n"/>
      <c r="H22" s="9" t="n"/>
      <c r="I22" s="9" t="n"/>
      <c r="J22" s="9" t="n"/>
      <c r="K22" s="11">
        <f>MAX($D$2-1,IFERROR(INDEX($M$6:$M$88,MATCH(E22,$A$6:$A$88,0)),0),IFERROR(INDEX($M$6:$M$88,MATCH(F22,$A$6:$A$88,0)),0),IFERROR(INDEX($M$6:$M$88,MATCH(G22,$A$6:$A$88,0)),0),IFERROR(INDEX($M$6:$M$88,MATCH(H22,$A$6:$A$88,0)),0),IFERROR(INDEX($M$6:$M$88,MATCH(I22,$A$6:$A$88,0)),0),IFERROR(INDEX($M$6:$M$88,MATCH(J22,$A$6:$A$88,0)),0))</f>
        <v/>
      </c>
      <c r="L22" s="11">
        <f>IF(D22=0,IF(COUNTA(E22:J22)=0,$D$2,K22),WORKDAY.INTL(K22,1,$D$3))</f>
        <v/>
      </c>
      <c r="M22" s="11">
        <f>IF(D22=0,L22,WORKDAY.INTL(L22,D22-1,$D$3))</f>
        <v/>
      </c>
      <c r="N22" s="9" t="n"/>
      <c r="O22" s="10" t="inlineStr">
        <is>
          <t>הנחה: ~20 מ״ר ליום</t>
        </is>
      </c>
    </row>
    <row r="23">
      <c r="A23" s="9" t="inlineStr">
        <is>
          <t>D030</t>
        </is>
      </c>
      <c r="B23" s="10" t="inlineStr">
        <is>
          <t>הריסת קירות ומחיצות – קרקע (51 מ״ר)</t>
        </is>
      </c>
      <c r="C23" s="10" t="inlineStr">
        <is>
          <t>02.02</t>
        </is>
      </c>
      <c r="D23" s="9" t="n">
        <v>3</v>
      </c>
      <c r="E23" s="9" t="inlineStr">
        <is>
          <t>D010</t>
        </is>
      </c>
      <c r="F23" s="9" t="n"/>
      <c r="G23" s="9" t="n"/>
      <c r="H23" s="9" t="n"/>
      <c r="I23" s="9" t="n"/>
      <c r="J23" s="9" t="n"/>
      <c r="K23" s="11">
        <f>MAX($D$2-1,IFERROR(INDEX($M$6:$M$88,MATCH(E23,$A$6:$A$88,0)),0),IFERROR(INDEX($M$6:$M$88,MATCH(F23,$A$6:$A$88,0)),0),IFERROR(INDEX($M$6:$M$88,MATCH(G23,$A$6:$A$88,0)),0),IFERROR(INDEX($M$6:$M$88,MATCH(H23,$A$6:$A$88,0)),0),IFERROR(INDEX($M$6:$M$88,MATCH(I23,$A$6:$A$88,0)),0),IFERROR(INDEX($M$6:$M$88,MATCH(J23,$A$6:$A$88,0)),0))</f>
        <v/>
      </c>
      <c r="L23" s="11">
        <f>IF(D23=0,IF(COUNTA(E23:J23)=0,$D$2,K23),WORKDAY.INTL(K23,1,$D$3))</f>
        <v/>
      </c>
      <c r="M23" s="11">
        <f>IF(D23=0,L23,WORKDAY.INTL(L23,D23-1,$D$3))</f>
        <v/>
      </c>
      <c r="N23" s="9" t="n"/>
      <c r="O23" s="10" t="inlineStr">
        <is>
          <t>הנחה</t>
        </is>
      </c>
    </row>
    <row r="24">
      <c r="A24" s="9" t="inlineStr">
        <is>
          <t>D040</t>
        </is>
      </c>
      <c r="B24" s="10" t="inlineStr">
        <is>
          <t>הריסת קירות ומחיצות – קומה א׳ (85 מ״ר)</t>
        </is>
      </c>
      <c r="C24" s="10" t="inlineStr">
        <is>
          <t>02.03</t>
        </is>
      </c>
      <c r="D24" s="9" t="n">
        <v>4</v>
      </c>
      <c r="E24" s="9" t="inlineStr">
        <is>
          <t>D010</t>
        </is>
      </c>
      <c r="F24" s="9" t="n"/>
      <c r="G24" s="9" t="n"/>
      <c r="H24" s="9" t="n"/>
      <c r="I24" s="9" t="n"/>
      <c r="J24" s="9" t="n"/>
      <c r="K24" s="11">
        <f>MAX($D$2-1,IFERROR(INDEX($M$6:$M$88,MATCH(E24,$A$6:$A$88,0)),0),IFERROR(INDEX($M$6:$M$88,MATCH(F24,$A$6:$A$88,0)),0),IFERROR(INDEX($M$6:$M$88,MATCH(G24,$A$6:$A$88,0)),0),IFERROR(INDEX($M$6:$M$88,MATCH(H24,$A$6:$A$88,0)),0),IFERROR(INDEX($M$6:$M$88,MATCH(I24,$A$6:$A$88,0)),0),IFERROR(INDEX($M$6:$M$88,MATCH(J24,$A$6:$A$88,0)),0))</f>
        <v/>
      </c>
      <c r="L24" s="11">
        <f>IF(D24=0,IF(COUNTA(E24:J24)=0,$D$2,K24),WORKDAY.INTL(K24,1,$D$3))</f>
        <v/>
      </c>
      <c r="M24" s="11">
        <f>IF(D24=0,L24,WORKDAY.INTL(L24,D24-1,$D$3))</f>
        <v/>
      </c>
      <c r="N24" s="9" t="n"/>
      <c r="O24" s="10" t="inlineStr">
        <is>
          <t>הנחה</t>
        </is>
      </c>
    </row>
    <row r="25">
      <c r="A25" s="9" t="inlineStr">
        <is>
          <t>X010</t>
        </is>
      </c>
      <c r="B25" s="10" t="inlineStr">
        <is>
          <t>הקמת פיגום חיצוני (נשאר עד סיום טיח החזיתות והפרפט)</t>
        </is>
      </c>
      <c r="C25" s="10" t="inlineStr">
        <is>
          <t>01.09</t>
        </is>
      </c>
      <c r="D25" s="9" t="n">
        <v>4</v>
      </c>
      <c r="E25" s="9" t="inlineStr">
        <is>
          <t>S030</t>
        </is>
      </c>
      <c r="F25" s="9" t="n"/>
      <c r="G25" s="9" t="n"/>
      <c r="H25" s="9" t="n"/>
      <c r="I25" s="9" t="n"/>
      <c r="J25" s="9" t="n"/>
      <c r="K25" s="11">
        <f>MAX($D$2-1,IFERROR(INDEX($M$6:$M$88,MATCH(E25,$A$6:$A$88,0)),0),IFERROR(INDEX($M$6:$M$88,MATCH(F25,$A$6:$A$88,0)),0),IFERROR(INDEX($M$6:$M$88,MATCH(G25,$A$6:$A$88,0)),0),IFERROR(INDEX($M$6:$M$88,MATCH(H25,$A$6:$A$88,0)),0),IFERROR(INDEX($M$6:$M$88,MATCH(I25,$A$6:$A$88,0)),0),IFERROR(INDEX($M$6:$M$88,MATCH(J25,$A$6:$A$88,0)),0))</f>
        <v/>
      </c>
      <c r="L25" s="11">
        <f>IF(D25=0,IF(COUNTA(E25:J25)=0,$D$2,K25),WORKDAY.INTL(K25,1,$D$3))</f>
        <v/>
      </c>
      <c r="M25" s="11">
        <f>IF(D25=0,L25,WORKDAY.INTL(L25,D25-1,$D$3))</f>
        <v/>
      </c>
      <c r="N25" s="9" t="n"/>
      <c r="O25" s="10" t="inlineStr">
        <is>
          <t>הנחה; נדרש לניסור המסגרות</t>
        </is>
      </c>
    </row>
    <row r="26">
      <c r="A26" s="9" t="inlineStr">
        <is>
          <t>D050</t>
        </is>
      </c>
      <c r="B26" s="10" t="inlineStr">
        <is>
          <t>פירוק תקרות גבס, ריצופים (40 מ״ר), פנלים וחיפויים</t>
        </is>
      </c>
      <c r="C26" s="10" t="inlineStr">
        <is>
          <t>02.04, 02.05, 02.18</t>
        </is>
      </c>
      <c r="D26" s="9" t="n">
        <v>6</v>
      </c>
      <c r="E26" s="9" t="inlineStr">
        <is>
          <t>D010</t>
        </is>
      </c>
      <c r="F26" s="9" t="n"/>
      <c r="G26" s="9" t="n"/>
      <c r="H26" s="9" t="n"/>
      <c r="I26" s="9" t="n"/>
      <c r="J26" s="9" t="n"/>
      <c r="K26" s="11">
        <f>MAX($D$2-1,IFERROR(INDEX($M$6:$M$88,MATCH(E26,$A$6:$A$88,0)),0),IFERROR(INDEX($M$6:$M$88,MATCH(F26,$A$6:$A$88,0)),0),IFERROR(INDEX($M$6:$M$88,MATCH(G26,$A$6:$A$88,0)),0),IFERROR(INDEX($M$6:$M$88,MATCH(H26,$A$6:$A$88,0)),0),IFERROR(INDEX($M$6:$M$88,MATCH(I26,$A$6:$A$88,0)),0),IFERROR(INDEX($M$6:$M$88,MATCH(J26,$A$6:$A$88,0)),0))</f>
        <v/>
      </c>
      <c r="L26" s="11">
        <f>IF(D26=0,IF(COUNTA(E26:J26)=0,$D$2,K26),WORKDAY.INTL(K26,1,$D$3))</f>
        <v/>
      </c>
      <c r="M26" s="11">
        <f>IF(D26=0,L26,WORKDAY.INTL(L26,D26-1,$D$3))</f>
        <v/>
      </c>
      <c r="N26" s="12" t="inlineStr">
        <is>
          <t>כן</t>
        </is>
      </c>
      <c r="O26" s="10" t="inlineStr">
        <is>
          <t>הנחה</t>
        </is>
      </c>
    </row>
    <row r="27">
      <c r="A27" s="9" t="inlineStr">
        <is>
          <t>D055</t>
        </is>
      </c>
      <c r="B27" s="10" t="inlineStr">
        <is>
          <t>ניסור ופירוק מסגרות בטון דקורטיביות סביב חלונות (45 מ״א) מפיגום</t>
        </is>
      </c>
      <c r="C27" s="10" t="inlineStr">
        <is>
          <t>02.15</t>
        </is>
      </c>
      <c r="D27" s="9" t="n">
        <v>5</v>
      </c>
      <c r="E27" s="9" t="inlineStr">
        <is>
          <t>X010</t>
        </is>
      </c>
      <c r="F27" s="9" t="inlineStr">
        <is>
          <t>D010</t>
        </is>
      </c>
      <c r="G27" s="9" t="n"/>
      <c r="H27" s="9" t="n"/>
      <c r="I27" s="9" t="n"/>
      <c r="J27" s="9" t="n"/>
      <c r="K27" s="11">
        <f>MAX($D$2-1,IFERROR(INDEX($M$6:$M$88,MATCH(E27,$A$6:$A$88,0)),0),IFERROR(INDEX($M$6:$M$88,MATCH(F27,$A$6:$A$88,0)),0),IFERROR(INDEX($M$6:$M$88,MATCH(G27,$A$6:$A$88,0)),0),IFERROR(INDEX($M$6:$M$88,MATCH(H27,$A$6:$A$88,0)),0),IFERROR(INDEX($M$6:$M$88,MATCH(I27,$A$6:$A$88,0)),0),IFERROR(INDEX($M$6:$M$88,MATCH(J27,$A$6:$A$88,0)),0))</f>
        <v/>
      </c>
      <c r="L27" s="11">
        <f>IF(D27=0,IF(COUNTA(E27:J27)=0,$D$2,K27),WORKDAY.INTL(K27,1,$D$3))</f>
        <v/>
      </c>
      <c r="M27" s="11">
        <f>IF(D27=0,L27,WORKDAY.INTL(L27,D27-1,$D$3))</f>
        <v/>
      </c>
      <c r="N27" s="9" t="n"/>
      <c r="O27" s="10" t="inlineStr">
        <is>
          <t>הנחה: ~9 מ״א ליום; באישור קונסטרוקטור</t>
        </is>
      </c>
    </row>
    <row r="28">
      <c r="A28" s="9" t="inlineStr">
        <is>
          <t>D060</t>
        </is>
      </c>
      <c r="B28" s="10" t="inlineStr">
        <is>
          <t>פירוק רעפים וארגזי רוח, מדרגות חוץ וגרנוליט (100 מ״ר)</t>
        </is>
      </c>
      <c r="C28" s="10" t="inlineStr">
        <is>
          <t>02.19, 02.20</t>
        </is>
      </c>
      <c r="D28" s="9" t="n">
        <v>8</v>
      </c>
      <c r="E28" s="9" t="inlineStr">
        <is>
          <t>S030</t>
        </is>
      </c>
      <c r="F28" s="9" t="n"/>
      <c r="G28" s="9" t="n"/>
      <c r="H28" s="9" t="n"/>
      <c r="I28" s="9" t="n"/>
      <c r="J28" s="9" t="n"/>
      <c r="K28" s="11">
        <f>MAX($D$2-1,IFERROR(INDEX($M$6:$M$88,MATCH(E28,$A$6:$A$88,0)),0),IFERROR(INDEX($M$6:$M$88,MATCH(F28,$A$6:$A$88,0)),0),IFERROR(INDEX($M$6:$M$88,MATCH(G28,$A$6:$A$88,0)),0),IFERROR(INDEX($M$6:$M$88,MATCH(H28,$A$6:$A$88,0)),0),IFERROR(INDEX($M$6:$M$88,MATCH(I28,$A$6:$A$88,0)),0),IFERROR(INDEX($M$6:$M$88,MATCH(J28,$A$6:$A$88,0)),0))</f>
        <v/>
      </c>
      <c r="L28" s="11">
        <f>IF(D28=0,IF(COUNTA(E28:J28)=0,$D$2,K28),WORKDAY.INTL(K28,1,$D$3))</f>
        <v/>
      </c>
      <c r="M28" s="11">
        <f>IF(D28=0,L28,WORKDAY.INTL(L28,D28-1,$D$3))</f>
        <v/>
      </c>
      <c r="N28" s="9" t="n"/>
      <c r="O28" s="10" t="inlineStr">
        <is>
          <t>הנחה</t>
        </is>
      </c>
    </row>
    <row r="29">
      <c r="A29" s="9" t="inlineStr">
        <is>
          <t>D065</t>
        </is>
      </c>
      <c r="B29" s="10" t="inlineStr">
        <is>
          <t>פינוי פסולת וניקיון יסודי</t>
        </is>
      </c>
      <c r="C29" s="10" t="inlineStr">
        <is>
          <t>02.16, 02.17</t>
        </is>
      </c>
      <c r="D29" s="9" t="n">
        <v>4</v>
      </c>
      <c r="E29" s="9" t="inlineStr">
        <is>
          <t>D020</t>
        </is>
      </c>
      <c r="F29" s="9" t="inlineStr">
        <is>
          <t>D030</t>
        </is>
      </c>
      <c r="G29" s="9" t="inlineStr">
        <is>
          <t>D040</t>
        </is>
      </c>
      <c r="H29" s="9" t="inlineStr">
        <is>
          <t>D050</t>
        </is>
      </c>
      <c r="I29" s="9" t="inlineStr">
        <is>
          <t>D055</t>
        </is>
      </c>
      <c r="J29" s="9" t="inlineStr">
        <is>
          <t>D060</t>
        </is>
      </c>
      <c r="K29" s="11">
        <f>MAX($D$2-1,IFERROR(INDEX($M$6:$M$88,MATCH(E29,$A$6:$A$88,0)),0),IFERROR(INDEX($M$6:$M$88,MATCH(F29,$A$6:$A$88,0)),0),IFERROR(INDEX($M$6:$M$88,MATCH(G29,$A$6:$A$88,0)),0),IFERROR(INDEX($M$6:$M$88,MATCH(H29,$A$6:$A$88,0)),0),IFERROR(INDEX($M$6:$M$88,MATCH(I29,$A$6:$A$88,0)),0),IFERROR(INDEX($M$6:$M$88,MATCH(J29,$A$6:$A$88,0)),0))</f>
        <v/>
      </c>
      <c r="L29" s="11">
        <f>IF(D29=0,IF(COUNTA(E29:J29)=0,$D$2,K29),WORKDAY.INTL(K29,1,$D$3))</f>
        <v/>
      </c>
      <c r="M29" s="11">
        <f>IF(D29=0,L29,WORKDAY.INTL(L29,D29-1,$D$3))</f>
        <v/>
      </c>
      <c r="N29" s="12" t="inlineStr">
        <is>
          <t>כן</t>
        </is>
      </c>
      <c r="O29" s="10" t="inlineStr">
        <is>
          <t>הנחה</t>
        </is>
      </c>
    </row>
    <row r="30">
      <c r="A30" s="9" t="inlineStr">
        <is>
          <t>D070</t>
        </is>
      </c>
      <c r="B30" s="10" t="inlineStr">
        <is>
          <t>אישור קונסטרוקטור ומתכננת למעבר לבנייה</t>
        </is>
      </c>
      <c r="C30" s="10" t="inlineStr">
        <is>
          <t>—</t>
        </is>
      </c>
      <c r="D30" s="9" t="n">
        <v>2</v>
      </c>
      <c r="E30" s="9" t="inlineStr">
        <is>
          <t>D065</t>
        </is>
      </c>
      <c r="F30" s="9" t="n"/>
      <c r="G30" s="9" t="n"/>
      <c r="H30" s="9" t="n"/>
      <c r="I30" s="9" t="n"/>
      <c r="J30" s="9" t="n"/>
      <c r="K30" s="11">
        <f>MAX($D$2-1,IFERROR(INDEX($M$6:$M$88,MATCH(E30,$A$6:$A$88,0)),0),IFERROR(INDEX($M$6:$M$88,MATCH(F30,$A$6:$A$88,0)),0),IFERROR(INDEX($M$6:$M$88,MATCH(G30,$A$6:$A$88,0)),0),IFERROR(INDEX($M$6:$M$88,MATCH(H30,$A$6:$A$88,0)),0),IFERROR(INDEX($M$6:$M$88,MATCH(I30,$A$6:$A$88,0)),0),IFERROR(INDEX($M$6:$M$88,MATCH(J30,$A$6:$A$88,0)),0))</f>
        <v/>
      </c>
      <c r="L30" s="11">
        <f>IF(D30=0,IF(COUNTA(E30:J30)=0,$D$2,K30),WORKDAY.INTL(K30,1,$D$3))</f>
        <v/>
      </c>
      <c r="M30" s="11">
        <f>IF(D30=0,L30,WORKDAY.INTL(L30,D30-1,$D$3))</f>
        <v/>
      </c>
      <c r="N30" s="12" t="inlineStr">
        <is>
          <t>כן</t>
        </is>
      </c>
      <c r="O30" s="10" t="inlineStr">
        <is>
          <t>מפרט פרק 2</t>
        </is>
      </c>
    </row>
    <row r="31">
      <c r="A31" s="7" t="inlineStr">
        <is>
          <t>3. שלד ותוספות מבניות (לפי קונסטרוקטור)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</row>
    <row r="32">
      <c r="A32" s="9" t="inlineStr">
        <is>
          <t>K010</t>
        </is>
      </c>
      <c r="B32" s="10" t="inlineStr">
        <is>
          <t>חיזוק גרם המדרגות הפנימי</t>
        </is>
      </c>
      <c r="C32" s="10" t="inlineStr">
        <is>
          <t>03.04</t>
        </is>
      </c>
      <c r="D32" s="9" t="n">
        <v>10</v>
      </c>
      <c r="E32" s="9" t="inlineStr">
        <is>
          <t>D070</t>
        </is>
      </c>
      <c r="F32" s="9" t="n"/>
      <c r="G32" s="9" t="n"/>
      <c r="H32" s="9" t="n"/>
      <c r="I32" s="9" t="n"/>
      <c r="J32" s="9" t="n"/>
      <c r="K32" s="11">
        <f>MAX($D$2-1,IFERROR(INDEX($M$6:$M$88,MATCH(E32,$A$6:$A$88,0)),0),IFERROR(INDEX($M$6:$M$88,MATCH(F32,$A$6:$A$88,0)),0),IFERROR(INDEX($M$6:$M$88,MATCH(G32,$A$6:$A$88,0)),0),IFERROR(INDEX($M$6:$M$88,MATCH(H32,$A$6:$A$88,0)),0),IFERROR(INDEX($M$6:$M$88,MATCH(I32,$A$6:$A$88,0)),0),IFERROR(INDEX($M$6:$M$88,MATCH(J32,$A$6:$A$88,0)),0))</f>
        <v/>
      </c>
      <c r="L32" s="11">
        <f>IF(D32=0,IF(COUNTA(E32:J32)=0,$D$2,K32),WORKDAY.INTL(K32,1,$D$3))</f>
        <v/>
      </c>
      <c r="M32" s="11">
        <f>IF(D32=0,L32,WORKDAY.INTL(L32,D32-1,$D$3))</f>
        <v/>
      </c>
      <c r="N32" s="9" t="n"/>
      <c r="O32" s="10" t="inlineStr">
        <is>
          <t>הנחה</t>
        </is>
      </c>
    </row>
    <row r="33">
      <c r="A33" s="9" t="inlineStr">
        <is>
          <t>K020</t>
        </is>
      </c>
      <c r="B33" s="10" t="inlineStr">
        <is>
          <t>כניסה חדשה וגרם מדרגות חדש</t>
        </is>
      </c>
      <c r="C33" s="10" t="inlineStr">
        <is>
          <t>03.03</t>
        </is>
      </c>
      <c r="D33" s="9" t="n">
        <v>15</v>
      </c>
      <c r="E33" s="9" t="inlineStr">
        <is>
          <t>D070</t>
        </is>
      </c>
      <c r="F33" s="9" t="n"/>
      <c r="G33" s="9" t="n"/>
      <c r="H33" s="9" t="n"/>
      <c r="I33" s="9" t="n"/>
      <c r="J33" s="9" t="n"/>
      <c r="K33" s="11">
        <f>MAX($D$2-1,IFERROR(INDEX($M$6:$M$88,MATCH(E33,$A$6:$A$88,0)),0),IFERROR(INDEX($M$6:$M$88,MATCH(F33,$A$6:$A$88,0)),0),IFERROR(INDEX($M$6:$M$88,MATCH(G33,$A$6:$A$88,0)),0),IFERROR(INDEX($M$6:$M$88,MATCH(H33,$A$6:$A$88,0)),0),IFERROR(INDEX($M$6:$M$88,MATCH(I33,$A$6:$A$88,0)),0),IFERROR(INDEX($M$6:$M$88,MATCH(J33,$A$6:$A$88,0)),0))</f>
        <v/>
      </c>
      <c r="L33" s="11">
        <f>IF(D33=0,IF(COUNTA(E33:J33)=0,$D$2,K33),WORKDAY.INTL(K33,1,$D$3))</f>
        <v/>
      </c>
      <c r="M33" s="11">
        <f>IF(D33=0,L33,WORKDAY.INTL(L33,D33-1,$D$3))</f>
        <v/>
      </c>
      <c r="N33" s="9" t="n"/>
      <c r="O33" s="10" t="inlineStr">
        <is>
          <t>הנחה</t>
        </is>
      </c>
    </row>
    <row r="34">
      <c r="A34" s="9" t="inlineStr">
        <is>
          <t>K030</t>
        </is>
      </c>
      <c r="B34" s="10" t="inlineStr">
        <is>
          <t>הגדלת מרפסת הסלון ותוספת פרגולה</t>
        </is>
      </c>
      <c r="C34" s="10" t="inlineStr">
        <is>
          <t>03.01</t>
        </is>
      </c>
      <c r="D34" s="9" t="n">
        <v>25</v>
      </c>
      <c r="E34" s="9" t="inlineStr">
        <is>
          <t>D070</t>
        </is>
      </c>
      <c r="F34" s="9" t="n"/>
      <c r="G34" s="9" t="n"/>
      <c r="H34" s="9" t="n"/>
      <c r="I34" s="9" t="n"/>
      <c r="J34" s="9" t="n"/>
      <c r="K34" s="11">
        <f>MAX($D$2-1,IFERROR(INDEX($M$6:$M$88,MATCH(E34,$A$6:$A$88,0)),0),IFERROR(INDEX($M$6:$M$88,MATCH(F34,$A$6:$A$88,0)),0),IFERROR(INDEX($M$6:$M$88,MATCH(G34,$A$6:$A$88,0)),0),IFERROR(INDEX($M$6:$M$88,MATCH(H34,$A$6:$A$88,0)),0),IFERROR(INDEX($M$6:$M$88,MATCH(I34,$A$6:$A$88,0)),0),IFERROR(INDEX($M$6:$M$88,MATCH(J34,$A$6:$A$88,0)),0))</f>
        <v/>
      </c>
      <c r="L34" s="11">
        <f>IF(D34=0,IF(COUNTA(E34:J34)=0,$D$2,K34),WORKDAY.INTL(K34,1,$D$3))</f>
        <v/>
      </c>
      <c r="M34" s="11">
        <f>IF(D34=0,L34,WORKDAY.INTL(L34,D34-1,$D$3))</f>
        <v/>
      </c>
      <c r="N34" s="9" t="n"/>
      <c r="O34" s="10" t="inlineStr">
        <is>
          <t>הנחה</t>
        </is>
      </c>
    </row>
    <row r="35">
      <c r="A35" s="9" t="inlineStr">
        <is>
          <t>K040</t>
        </is>
      </c>
      <c r="B35" s="10" t="inlineStr">
        <is>
          <t>תוספת חדר בקומת הגלריה</t>
        </is>
      </c>
      <c r="C35" s="10" t="inlineStr">
        <is>
          <t>03.02</t>
        </is>
      </c>
      <c r="D35" s="9" t="n">
        <v>35</v>
      </c>
      <c r="E35" s="9" t="inlineStr">
        <is>
          <t>D070</t>
        </is>
      </c>
      <c r="F35" s="9" t="n"/>
      <c r="G35" s="9" t="n"/>
      <c r="H35" s="9" t="n"/>
      <c r="I35" s="9" t="n"/>
      <c r="J35" s="9" t="n"/>
      <c r="K35" s="11">
        <f>MAX($D$2-1,IFERROR(INDEX($M$6:$M$88,MATCH(E35,$A$6:$A$88,0)),0),IFERROR(INDEX($M$6:$M$88,MATCH(F35,$A$6:$A$88,0)),0),IFERROR(INDEX($M$6:$M$88,MATCH(G35,$A$6:$A$88,0)),0),IFERROR(INDEX($M$6:$M$88,MATCH(H35,$A$6:$A$88,0)),0),IFERROR(INDEX($M$6:$M$88,MATCH(I35,$A$6:$A$88,0)),0),IFERROR(INDEX($M$6:$M$88,MATCH(J35,$A$6:$A$88,0)),0))</f>
        <v/>
      </c>
      <c r="L35" s="11">
        <f>IF(D35=0,IF(COUNTA(E35:J35)=0,$D$2,K35),WORKDAY.INTL(K35,1,$D$3))</f>
        <v/>
      </c>
      <c r="M35" s="11">
        <f>IF(D35=0,L35,WORKDAY.INTL(L35,D35-1,$D$3))</f>
        <v/>
      </c>
      <c r="N35" s="12" t="inlineStr">
        <is>
          <t>כן</t>
        </is>
      </c>
      <c r="O35" s="10" t="inlineStr">
        <is>
          <t>הנחה: כולל התקשות בטון</t>
        </is>
      </c>
    </row>
    <row r="36">
      <c r="A36" s="9" t="inlineStr">
        <is>
          <t>K050</t>
        </is>
      </c>
      <c r="B36" s="10" t="inlineStr">
        <is>
          <t>אישור קונסטרוקטור: השלד הושלם</t>
        </is>
      </c>
      <c r="C36" s="10" t="inlineStr">
        <is>
          <t>—</t>
        </is>
      </c>
      <c r="D36" s="9" t="n">
        <v>2</v>
      </c>
      <c r="E36" s="9" t="inlineStr">
        <is>
          <t>K010</t>
        </is>
      </c>
      <c r="F36" s="9" t="inlineStr">
        <is>
          <t>K020</t>
        </is>
      </c>
      <c r="G36" s="9" t="inlineStr">
        <is>
          <t>K030</t>
        </is>
      </c>
      <c r="H36" s="9" t="inlineStr">
        <is>
          <t>K040</t>
        </is>
      </c>
      <c r="I36" s="9" t="n"/>
      <c r="J36" s="9" t="n"/>
      <c r="K36" s="11">
        <f>MAX($D$2-1,IFERROR(INDEX($M$6:$M$88,MATCH(E36,$A$6:$A$88,0)),0),IFERROR(INDEX($M$6:$M$88,MATCH(F36,$A$6:$A$88,0)),0),IFERROR(INDEX($M$6:$M$88,MATCH(G36,$A$6:$A$88,0)),0),IFERROR(INDEX($M$6:$M$88,MATCH(H36,$A$6:$A$88,0)),0),IFERROR(INDEX($M$6:$M$88,MATCH(I36,$A$6:$A$88,0)),0),IFERROR(INDEX($M$6:$M$88,MATCH(J36,$A$6:$A$88,0)),0))</f>
        <v/>
      </c>
      <c r="L36" s="11">
        <f>IF(D36=0,IF(COUNTA(E36:J36)=0,$D$2,K36),WORKDAY.INTL(K36,1,$D$3))</f>
        <v/>
      </c>
      <c r="M36" s="11">
        <f>IF(D36=0,L36,WORKDAY.INTL(L36,D36-1,$D$3))</f>
        <v/>
      </c>
      <c r="N36" s="12" t="inlineStr">
        <is>
          <t>כן</t>
        </is>
      </c>
      <c r="O36" s="10" t="inlineStr">
        <is>
          <t>מפרט פרק 3</t>
        </is>
      </c>
    </row>
    <row r="37">
      <c r="A37" s="7" t="inlineStr">
        <is>
          <t>4. גג ופרפט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</row>
    <row r="38">
      <c r="A38" s="9" t="inlineStr">
        <is>
          <t>R010</t>
        </is>
      </c>
      <c r="B38" s="10" t="inlineStr">
        <is>
          <t>בניית פרפט חדש בהיקף הגג</t>
        </is>
      </c>
      <c r="C38" s="10" t="inlineStr">
        <is>
          <t>11.02</t>
        </is>
      </c>
      <c r="D38" s="9" t="n">
        <v>10</v>
      </c>
      <c r="E38" s="9" t="inlineStr">
        <is>
          <t>D070</t>
        </is>
      </c>
      <c r="F38" s="9" t="n"/>
      <c r="G38" s="9" t="n"/>
      <c r="H38" s="9" t="n"/>
      <c r="I38" s="9" t="n"/>
      <c r="J38" s="9" t="n"/>
      <c r="K38" s="11">
        <f>MAX($D$2-1,IFERROR(INDEX($M$6:$M$88,MATCH(E38,$A$6:$A$88,0)),0),IFERROR(INDEX($M$6:$M$88,MATCH(F38,$A$6:$A$88,0)),0),IFERROR(INDEX($M$6:$M$88,MATCH(G38,$A$6:$A$88,0)),0),IFERROR(INDEX($M$6:$M$88,MATCH(H38,$A$6:$A$88,0)),0),IFERROR(INDEX($M$6:$M$88,MATCH(I38,$A$6:$A$88,0)),0),IFERROR(INDEX($M$6:$M$88,MATCH(J38,$A$6:$A$88,0)),0))</f>
        <v/>
      </c>
      <c r="L38" s="11">
        <f>IF(D38=0,IF(COUNTA(E38:J38)=0,$D$2,K38),WORKDAY.INTL(K38,1,$D$3))</f>
        <v/>
      </c>
      <c r="M38" s="11">
        <f>IF(D38=0,L38,WORKDAY.INTL(L38,D38-1,$D$3))</f>
        <v/>
      </c>
      <c r="N38" s="9" t="n"/>
      <c r="O38" s="10" t="inlineStr">
        <is>
          <t>הנחה; כמות לפי מדידה</t>
        </is>
      </c>
    </row>
    <row r="39">
      <c r="A39" s="9" t="inlineStr">
        <is>
          <t>R020</t>
        </is>
      </c>
      <c r="B39" s="10" t="inlineStr">
        <is>
          <t>איטום גג ופרפט</t>
        </is>
      </c>
      <c r="C39" s="10" t="inlineStr">
        <is>
          <t>11.03</t>
        </is>
      </c>
      <c r="D39" s="9" t="n">
        <v>8</v>
      </c>
      <c r="E39" s="9" t="inlineStr">
        <is>
          <t>R010</t>
        </is>
      </c>
      <c r="F39" s="9" t="n"/>
      <c r="G39" s="9" t="n"/>
      <c r="H39" s="9" t="n"/>
      <c r="I39" s="9" t="n"/>
      <c r="J39" s="9" t="n"/>
      <c r="K39" s="11">
        <f>MAX($D$2-1,IFERROR(INDEX($M$6:$M$88,MATCH(E39,$A$6:$A$88,0)),0),IFERROR(INDEX($M$6:$M$88,MATCH(F39,$A$6:$A$88,0)),0),IFERROR(INDEX($M$6:$M$88,MATCH(G39,$A$6:$A$88,0)),0),IFERROR(INDEX($M$6:$M$88,MATCH(H39,$A$6:$A$88,0)),0),IFERROR(INDEX($M$6:$M$88,MATCH(I39,$A$6:$A$88,0)),0),IFERROR(INDEX($M$6:$M$88,MATCH(J39,$A$6:$A$88,0)),0))</f>
        <v/>
      </c>
      <c r="L39" s="11">
        <f>IF(D39=0,IF(COUNTA(E39:J39)=0,$D$2,K39),WORKDAY.INTL(K39,1,$D$3))</f>
        <v/>
      </c>
      <c r="M39" s="11">
        <f>IF(D39=0,L39,WORKDAY.INTL(L39,D39-1,$D$3))</f>
        <v/>
      </c>
      <c r="N39" s="9" t="n"/>
      <c r="O39" s="10" t="inlineStr">
        <is>
          <t>הנחה</t>
        </is>
      </c>
    </row>
    <row r="40">
      <c r="A40" s="9" t="inlineStr">
        <is>
          <t>R030</t>
        </is>
      </c>
      <c r="B40" s="10" t="inlineStr">
        <is>
          <t>בדיקת הצפה לגג (48–72 שעות) ואישור יועץ איטום</t>
        </is>
      </c>
      <c r="C40" s="10" t="inlineStr">
        <is>
          <t>11.03</t>
        </is>
      </c>
      <c r="D40" s="9" t="n">
        <v>3</v>
      </c>
      <c r="E40" s="9" t="inlineStr">
        <is>
          <t>R020</t>
        </is>
      </c>
      <c r="F40" s="9" t="n"/>
      <c r="G40" s="9" t="n"/>
      <c r="H40" s="9" t="n"/>
      <c r="I40" s="9" t="n"/>
      <c r="J40" s="9" t="n"/>
      <c r="K40" s="11">
        <f>MAX($D$2-1,IFERROR(INDEX($M$6:$M$88,MATCH(E40,$A$6:$A$88,0)),0),IFERROR(INDEX($M$6:$M$88,MATCH(F40,$A$6:$A$88,0)),0),IFERROR(INDEX($M$6:$M$88,MATCH(G40,$A$6:$A$88,0)),0),IFERROR(INDEX($M$6:$M$88,MATCH(H40,$A$6:$A$88,0)),0),IFERROR(INDEX($M$6:$M$88,MATCH(I40,$A$6:$A$88,0)),0),IFERROR(INDEX($M$6:$M$88,MATCH(J40,$A$6:$A$88,0)),0))</f>
        <v/>
      </c>
      <c r="L40" s="11">
        <f>IF(D40=0,IF(COUNTA(E40:J40)=0,$D$2,K40),WORKDAY.INTL(K40,1,$D$3))</f>
        <v/>
      </c>
      <c r="M40" s="11">
        <f>IF(D40=0,L40,WORKDAY.INTL(L40,D40-1,$D$3))</f>
        <v/>
      </c>
      <c r="N40" s="9" t="n"/>
      <c r="O40" s="10" t="inlineStr">
        <is>
          <t>מפרט פרק 11</t>
        </is>
      </c>
    </row>
    <row r="41">
      <c r="A41" s="9" t="inlineStr">
        <is>
          <t>R040</t>
        </is>
      </c>
      <c r="B41" s="10" t="inlineStr">
        <is>
          <t>פח קופינג וגימור פרפט</t>
        </is>
      </c>
      <c r="C41" s="10" t="inlineStr">
        <is>
          <t>11.04, 14.02</t>
        </is>
      </c>
      <c r="D41" s="9" t="n">
        <v>5</v>
      </c>
      <c r="E41" s="9" t="inlineStr">
        <is>
          <t>R030</t>
        </is>
      </c>
      <c r="F41" s="9" t="n"/>
      <c r="G41" s="9" t="n"/>
      <c r="H41" s="9" t="n"/>
      <c r="I41" s="9" t="n"/>
      <c r="J41" s="9" t="n"/>
      <c r="K41" s="11">
        <f>MAX($D$2-1,IFERROR(INDEX($M$6:$M$88,MATCH(E41,$A$6:$A$88,0)),0),IFERROR(INDEX($M$6:$M$88,MATCH(F41,$A$6:$A$88,0)),0),IFERROR(INDEX($M$6:$M$88,MATCH(G41,$A$6:$A$88,0)),0),IFERROR(INDEX($M$6:$M$88,MATCH(H41,$A$6:$A$88,0)),0),IFERROR(INDEX($M$6:$M$88,MATCH(I41,$A$6:$A$88,0)),0),IFERROR(INDEX($M$6:$M$88,MATCH(J41,$A$6:$A$88,0)),0))</f>
        <v/>
      </c>
      <c r="L41" s="11">
        <f>IF(D41=0,IF(COUNTA(E41:J41)=0,$D$2,K41),WORKDAY.INTL(K41,1,$D$3))</f>
        <v/>
      </c>
      <c r="M41" s="11">
        <f>IF(D41=0,L41,WORKDAY.INTL(L41,D41-1,$D$3))</f>
        <v/>
      </c>
      <c r="N41" s="9" t="n"/>
      <c r="O41" s="10" t="inlineStr">
        <is>
          <t>הנחה</t>
        </is>
      </c>
    </row>
    <row r="42">
      <c r="A42" s="7" t="inlineStr">
        <is>
          <t>5. בלוקים ותשתיות מוסתרות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</row>
    <row r="43">
      <c r="A43" s="9" t="inlineStr">
        <is>
          <t>B010</t>
        </is>
      </c>
      <c r="B43" s="10" t="inlineStr">
        <is>
          <t>קירות בלוקים (26 מ״ר)</t>
        </is>
      </c>
      <c r="C43" s="10" t="inlineStr">
        <is>
          <t>04.01–04.03</t>
        </is>
      </c>
      <c r="D43" s="9" t="n">
        <v>4</v>
      </c>
      <c r="E43" s="9" t="inlineStr">
        <is>
          <t>D070</t>
        </is>
      </c>
      <c r="F43" s="9" t="n"/>
      <c r="G43" s="9" t="n"/>
      <c r="H43" s="9" t="n"/>
      <c r="I43" s="9" t="n"/>
      <c r="J43" s="9" t="n"/>
      <c r="K43" s="11">
        <f>MAX($D$2-1,IFERROR(INDEX($M$6:$M$88,MATCH(E43,$A$6:$A$88,0)),0),IFERROR(INDEX($M$6:$M$88,MATCH(F43,$A$6:$A$88,0)),0),IFERROR(INDEX($M$6:$M$88,MATCH(G43,$A$6:$A$88,0)),0),IFERROR(INDEX($M$6:$M$88,MATCH(H43,$A$6:$A$88,0)),0),IFERROR(INDEX($M$6:$M$88,MATCH(I43,$A$6:$A$88,0)),0),IFERROR(INDEX($M$6:$M$88,MATCH(J43,$A$6:$A$88,0)),0))</f>
        <v/>
      </c>
      <c r="L43" s="11">
        <f>IF(D43=0,IF(COUNTA(E43:J43)=0,$D$2,K43),WORKDAY.INTL(K43,1,$D$3))</f>
        <v/>
      </c>
      <c r="M43" s="11">
        <f>IF(D43=0,L43,WORKDAY.INTL(L43,D43-1,$D$3))</f>
        <v/>
      </c>
      <c r="N43" s="9" t="n"/>
      <c r="O43" s="10" t="inlineStr">
        <is>
          <t>הנחה</t>
        </is>
      </c>
    </row>
    <row r="44">
      <c r="A44" s="9" t="inlineStr">
        <is>
          <t>P010</t>
        </is>
      </c>
      <c r="B44" s="10" t="inlineStr">
        <is>
          <t>אינסטלציה – נקודות, צנרת ראשית וביוב</t>
        </is>
      </c>
      <c r="C44" s="10" t="inlineStr">
        <is>
          <t>05.25–05.33</t>
        </is>
      </c>
      <c r="D44" s="9" t="n">
        <v>20</v>
      </c>
      <c r="E44" s="9" t="inlineStr">
        <is>
          <t>D070</t>
        </is>
      </c>
      <c r="F44" s="9" t="inlineStr">
        <is>
          <t>B010</t>
        </is>
      </c>
      <c r="G44" s="9" t="n"/>
      <c r="H44" s="9" t="n"/>
      <c r="I44" s="9" t="n"/>
      <c r="J44" s="9" t="n"/>
      <c r="K44" s="11">
        <f>MAX($D$2-1,IFERROR(INDEX($M$6:$M$88,MATCH(E44,$A$6:$A$88,0)),0),IFERROR(INDEX($M$6:$M$88,MATCH(F44,$A$6:$A$88,0)),0),IFERROR(INDEX($M$6:$M$88,MATCH(G44,$A$6:$A$88,0)),0),IFERROR(INDEX($M$6:$M$88,MATCH(H44,$A$6:$A$88,0)),0),IFERROR(INDEX($M$6:$M$88,MATCH(I44,$A$6:$A$88,0)),0),IFERROR(INDEX($M$6:$M$88,MATCH(J44,$A$6:$A$88,0)),0))</f>
        <v/>
      </c>
      <c r="L44" s="11">
        <f>IF(D44=0,IF(COUNTA(E44:J44)=0,$D$2,K44),WORKDAY.INTL(K44,1,$D$3))</f>
        <v/>
      </c>
      <c r="M44" s="11">
        <f>IF(D44=0,L44,WORKDAY.INTL(L44,D44-1,$D$3))</f>
        <v/>
      </c>
      <c r="N44" s="9" t="n"/>
      <c r="O44" s="10" t="inlineStr">
        <is>
          <t>הנחה</t>
        </is>
      </c>
    </row>
    <row r="45">
      <c r="A45" s="9" t="inlineStr">
        <is>
          <t>E010</t>
        </is>
      </c>
      <c r="B45" s="10" t="inlineStr">
        <is>
          <t>חשמל ותאורה – צנרת, שרוולים, נקודות ולוחות</t>
        </is>
      </c>
      <c r="C45" s="10" t="inlineStr">
        <is>
          <t>06, 07.20</t>
        </is>
      </c>
      <c r="D45" s="9" t="n">
        <v>20</v>
      </c>
      <c r="E45" s="9" t="inlineStr">
        <is>
          <t>D070</t>
        </is>
      </c>
      <c r="F45" s="9" t="inlineStr">
        <is>
          <t>B010</t>
        </is>
      </c>
      <c r="G45" s="9" t="n"/>
      <c r="H45" s="9" t="n"/>
      <c r="I45" s="9" t="n"/>
      <c r="J45" s="9" t="n"/>
      <c r="K45" s="11">
        <f>MAX($D$2-1,IFERROR(INDEX($M$6:$M$88,MATCH(E45,$A$6:$A$88,0)),0),IFERROR(INDEX($M$6:$M$88,MATCH(F45,$A$6:$A$88,0)),0),IFERROR(INDEX($M$6:$M$88,MATCH(G45,$A$6:$A$88,0)),0),IFERROR(INDEX($M$6:$M$88,MATCH(H45,$A$6:$A$88,0)),0),IFERROR(INDEX($M$6:$M$88,MATCH(I45,$A$6:$A$88,0)),0),IFERROR(INDEX($M$6:$M$88,MATCH(J45,$A$6:$A$88,0)),0))</f>
        <v/>
      </c>
      <c r="L45" s="11">
        <f>IF(D45=0,IF(COUNTA(E45:J45)=0,$D$2,K45),WORKDAY.INTL(K45,1,$D$3))</f>
        <v/>
      </c>
      <c r="M45" s="11">
        <f>IF(D45=0,L45,WORKDAY.INTL(L45,D45-1,$D$3))</f>
        <v/>
      </c>
      <c r="N45" s="9" t="n"/>
      <c r="O45" s="10" t="inlineStr">
        <is>
          <t>הנחה</t>
        </is>
      </c>
    </row>
    <row r="46">
      <c r="A46" s="9" t="inlineStr">
        <is>
          <t>M010</t>
        </is>
      </c>
      <c r="B46" s="10" t="inlineStr">
        <is>
          <t>צנרת קירור וניקוז למיזוג</t>
        </is>
      </c>
      <c r="C46" s="10" t="inlineStr">
        <is>
          <t>08.02</t>
        </is>
      </c>
      <c r="D46" s="9" t="n">
        <v>10</v>
      </c>
      <c r="E46" s="9" t="inlineStr">
        <is>
          <t>B010</t>
        </is>
      </c>
      <c r="F46" s="9" t="inlineStr">
        <is>
          <t>A065</t>
        </is>
      </c>
      <c r="G46" s="9" t="n"/>
      <c r="H46" s="9" t="n"/>
      <c r="I46" s="9" t="n"/>
      <c r="J46" s="9" t="n"/>
      <c r="K46" s="11">
        <f>MAX($D$2-1,IFERROR(INDEX($M$6:$M$88,MATCH(E46,$A$6:$A$88,0)),0),IFERROR(INDEX($M$6:$M$88,MATCH(F46,$A$6:$A$88,0)),0),IFERROR(INDEX($M$6:$M$88,MATCH(G46,$A$6:$A$88,0)),0),IFERROR(INDEX($M$6:$M$88,MATCH(H46,$A$6:$A$88,0)),0),IFERROR(INDEX($M$6:$M$88,MATCH(I46,$A$6:$A$88,0)),0),IFERROR(INDEX($M$6:$M$88,MATCH(J46,$A$6:$A$88,0)),0))</f>
        <v/>
      </c>
      <c r="L46" s="11">
        <f>IF(D46=0,IF(COUNTA(E46:J46)=0,$D$2,K46),WORKDAY.INTL(K46,1,$D$3))</f>
        <v/>
      </c>
      <c r="M46" s="11">
        <f>IF(D46=0,L46,WORKDAY.INTL(L46,D46-1,$D$3))</f>
        <v/>
      </c>
      <c r="N46" s="9" t="n"/>
      <c r="O46" s="10" t="inlineStr">
        <is>
          <t>הנחה</t>
        </is>
      </c>
    </row>
    <row r="47">
      <c r="A47" s="9" t="inlineStr">
        <is>
          <t>C010</t>
        </is>
      </c>
      <c r="B47" s="10" t="inlineStr">
        <is>
          <t>צנרת ושרוולים לתקשורת, מיגון ושמע</t>
        </is>
      </c>
      <c r="C47" s="10" t="inlineStr">
        <is>
          <t>18.01</t>
        </is>
      </c>
      <c r="D47" s="9" t="n">
        <v>6</v>
      </c>
      <c r="E47" s="9" t="inlineStr">
        <is>
          <t>B010</t>
        </is>
      </c>
      <c r="F47" s="9" t="n"/>
      <c r="G47" s="9" t="n"/>
      <c r="H47" s="9" t="n"/>
      <c r="I47" s="9" t="n"/>
      <c r="J47" s="9" t="n"/>
      <c r="K47" s="11">
        <f>MAX($D$2-1,IFERROR(INDEX($M$6:$M$88,MATCH(E47,$A$6:$A$88,0)),0),IFERROR(INDEX($M$6:$M$88,MATCH(F47,$A$6:$A$88,0)),0),IFERROR(INDEX($M$6:$M$88,MATCH(G47,$A$6:$A$88,0)),0),IFERROR(INDEX($M$6:$M$88,MATCH(H47,$A$6:$A$88,0)),0),IFERROR(INDEX($M$6:$M$88,MATCH(I47,$A$6:$A$88,0)),0),IFERROR(INDEX($M$6:$M$88,MATCH(J47,$A$6:$A$88,0)),0))</f>
        <v/>
      </c>
      <c r="L47" s="11">
        <f>IF(D47=0,IF(COUNTA(E47:J47)=0,$D$2,K47),WORKDAY.INTL(K47,1,$D$3))</f>
        <v/>
      </c>
      <c r="M47" s="11">
        <f>IF(D47=0,L47,WORKDAY.INTL(L47,D47-1,$D$3))</f>
        <v/>
      </c>
      <c r="N47" s="9" t="n"/>
      <c r="O47" s="10" t="inlineStr">
        <is>
          <t>הנחה</t>
        </is>
      </c>
    </row>
    <row r="48">
      <c r="A48" s="9" t="inlineStr">
        <is>
          <t>Q010</t>
        </is>
      </c>
      <c r="B48" s="10" t="inlineStr">
        <is>
          <t>בדיקות לחץ ואטימות אינסטלציה ואישור מתכננת</t>
        </is>
      </c>
      <c r="C48" s="10" t="inlineStr">
        <is>
          <t>05.35</t>
        </is>
      </c>
      <c r="D48" s="9" t="n">
        <v>3</v>
      </c>
      <c r="E48" s="9" t="inlineStr">
        <is>
          <t>P010</t>
        </is>
      </c>
      <c r="F48" s="9" t="n"/>
      <c r="G48" s="9" t="n"/>
      <c r="H48" s="9" t="n"/>
      <c r="I48" s="9" t="n"/>
      <c r="J48" s="9" t="n"/>
      <c r="K48" s="11">
        <f>MAX($D$2-1,IFERROR(INDEX($M$6:$M$88,MATCH(E48,$A$6:$A$88,0)),0),IFERROR(INDEX($M$6:$M$88,MATCH(F48,$A$6:$A$88,0)),0),IFERROR(INDEX($M$6:$M$88,MATCH(G48,$A$6:$A$88,0)),0),IFERROR(INDEX($M$6:$M$88,MATCH(H48,$A$6:$A$88,0)),0),IFERROR(INDEX($M$6:$M$88,MATCH(I48,$A$6:$A$88,0)),0),IFERROR(INDEX($M$6:$M$88,MATCH(J48,$A$6:$A$88,0)),0))</f>
        <v/>
      </c>
      <c r="L48" s="11">
        <f>IF(D48=0,IF(COUNTA(E48:J48)=0,$D$2,K48),WORKDAY.INTL(K48,1,$D$3))</f>
        <v/>
      </c>
      <c r="M48" s="11">
        <f>IF(D48=0,L48,WORKDAY.INTL(L48,D48-1,$D$3))</f>
        <v/>
      </c>
      <c r="N48" s="9" t="n"/>
      <c r="O48" s="10" t="inlineStr">
        <is>
          <t>מפרט פרק 5</t>
        </is>
      </c>
    </row>
    <row r="49">
      <c r="A49" s="9" t="inlineStr">
        <is>
          <t>Q020</t>
        </is>
      </c>
      <c r="B49" s="10" t="inlineStr">
        <is>
          <t>בדיקת חשמלאי בודק לתשתיות, הארקה ופחת</t>
        </is>
      </c>
      <c r="C49" s="10" t="inlineStr">
        <is>
          <t>06.09</t>
        </is>
      </c>
      <c r="D49" s="9" t="n">
        <v>3</v>
      </c>
      <c r="E49" s="9" t="inlineStr">
        <is>
          <t>E010</t>
        </is>
      </c>
      <c r="F49" s="9" t="n"/>
      <c r="G49" s="9" t="n"/>
      <c r="H49" s="9" t="n"/>
      <c r="I49" s="9" t="n"/>
      <c r="J49" s="9" t="n"/>
      <c r="K49" s="11">
        <f>MAX($D$2-1,IFERROR(INDEX($M$6:$M$88,MATCH(E49,$A$6:$A$88,0)),0),IFERROR(INDEX($M$6:$M$88,MATCH(F49,$A$6:$A$88,0)),0),IFERROR(INDEX($M$6:$M$88,MATCH(G49,$A$6:$A$88,0)),0),IFERROR(INDEX($M$6:$M$88,MATCH(H49,$A$6:$A$88,0)),0),IFERROR(INDEX($M$6:$M$88,MATCH(I49,$A$6:$A$88,0)),0),IFERROR(INDEX($M$6:$M$88,MATCH(J49,$A$6:$A$88,0)),0))</f>
        <v/>
      </c>
      <c r="L49" s="11">
        <f>IF(D49=0,IF(COUNTA(E49:J49)=0,$D$2,K49),WORKDAY.INTL(K49,1,$D$3))</f>
        <v/>
      </c>
      <c r="M49" s="11">
        <f>IF(D49=0,L49,WORKDAY.INTL(L49,D49-1,$D$3))</f>
        <v/>
      </c>
      <c r="N49" s="9" t="n"/>
      <c r="O49" s="10" t="inlineStr">
        <is>
          <t>מפרט פרק 6</t>
        </is>
      </c>
    </row>
    <row r="50">
      <c r="A50" s="7" t="inlineStr">
        <is>
          <t>6. גבס ואיטום פנים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</row>
    <row r="51">
      <c r="A51" s="9" t="inlineStr">
        <is>
          <t>G010</t>
        </is>
      </c>
      <c r="B51" s="10" t="inlineStr">
        <is>
          <t>מחיצות גבס כולל בידוד אקוסטי (133 מ״ר)</t>
        </is>
      </c>
      <c r="C51" s="10" t="inlineStr">
        <is>
          <t>09.01–09.03</t>
        </is>
      </c>
      <c r="D51" s="9" t="n">
        <v>12</v>
      </c>
      <c r="E51" s="9" t="inlineStr">
        <is>
          <t>Q010</t>
        </is>
      </c>
      <c r="F51" s="9" t="inlineStr">
        <is>
          <t>Q020</t>
        </is>
      </c>
      <c r="G51" s="9" t="inlineStr">
        <is>
          <t>M010</t>
        </is>
      </c>
      <c r="H51" s="9" t="inlineStr">
        <is>
          <t>C010</t>
        </is>
      </c>
      <c r="I51" s="9" t="inlineStr">
        <is>
          <t>K050</t>
        </is>
      </c>
      <c r="J51" s="9" t="n"/>
      <c r="K51" s="11">
        <f>MAX($D$2-1,IFERROR(INDEX($M$6:$M$88,MATCH(E51,$A$6:$A$88,0)),0),IFERROR(INDEX($M$6:$M$88,MATCH(F51,$A$6:$A$88,0)),0),IFERROR(INDEX($M$6:$M$88,MATCH(G51,$A$6:$A$88,0)),0),IFERROR(INDEX($M$6:$M$88,MATCH(H51,$A$6:$A$88,0)),0),IFERROR(INDEX($M$6:$M$88,MATCH(I51,$A$6:$A$88,0)),0),IFERROR(INDEX($M$6:$M$88,MATCH(J51,$A$6:$A$88,0)),0))</f>
        <v/>
      </c>
      <c r="L51" s="11">
        <f>IF(D51=0,IF(COUNTA(E51:J51)=0,$D$2,K51),WORKDAY.INTL(K51,1,$D$3))</f>
        <v/>
      </c>
      <c r="M51" s="11">
        <f>IF(D51=0,L51,WORKDAY.INTL(L51,D51-1,$D$3))</f>
        <v/>
      </c>
      <c r="N51" s="12" t="inlineStr">
        <is>
          <t>כן</t>
        </is>
      </c>
      <c r="O51" s="10" t="inlineStr">
        <is>
          <t>הנחה: ~11 מ״ר ליום</t>
        </is>
      </c>
    </row>
    <row r="52">
      <c r="A52" s="9" t="inlineStr">
        <is>
          <t>G020</t>
        </is>
      </c>
      <c r="B52" s="10" t="inlineStr">
        <is>
          <t>תקרות גבס תלויות (33.3 מ״ר) ופתחי תאורה</t>
        </is>
      </c>
      <c r="C52" s="10" t="inlineStr">
        <is>
          <t>09.04</t>
        </is>
      </c>
      <c r="D52" s="9" t="n">
        <v>6</v>
      </c>
      <c r="E52" s="9" t="inlineStr">
        <is>
          <t>G010</t>
        </is>
      </c>
      <c r="F52" s="9" t="n"/>
      <c r="G52" s="9" t="n"/>
      <c r="H52" s="9" t="n"/>
      <c r="I52" s="9" t="n"/>
      <c r="J52" s="9" t="n"/>
      <c r="K52" s="11">
        <f>MAX($D$2-1,IFERROR(INDEX($M$6:$M$88,MATCH(E52,$A$6:$A$88,0)),0),IFERROR(INDEX($M$6:$M$88,MATCH(F52,$A$6:$A$88,0)),0),IFERROR(INDEX($M$6:$M$88,MATCH(G52,$A$6:$A$88,0)),0),IFERROR(INDEX($M$6:$M$88,MATCH(H52,$A$6:$A$88,0)),0),IFERROR(INDEX($M$6:$M$88,MATCH(I52,$A$6:$A$88,0)),0),IFERROR(INDEX($M$6:$M$88,MATCH(J52,$A$6:$A$88,0)),0))</f>
        <v/>
      </c>
      <c r="L52" s="11">
        <f>IF(D52=0,IF(COUNTA(E52:J52)=0,$D$2,K52),WORKDAY.INTL(K52,1,$D$3))</f>
        <v/>
      </c>
      <c r="M52" s="11">
        <f>IF(D52=0,L52,WORKDAY.INTL(L52,D52-1,$D$3))</f>
        <v/>
      </c>
      <c r="N52" s="12" t="inlineStr">
        <is>
          <t>כן</t>
        </is>
      </c>
      <c r="O52" s="10" t="inlineStr">
        <is>
          <t>הנחה</t>
        </is>
      </c>
    </row>
    <row r="53">
      <c r="A53" s="9" t="inlineStr">
        <is>
          <t>G030</t>
        </is>
      </c>
      <c r="B53" s="10" t="inlineStr">
        <is>
          <t>בדיקת גבס ואישור לניצבות ותשתיות</t>
        </is>
      </c>
      <c r="C53" s="10" t="inlineStr">
        <is>
          <t>—</t>
        </is>
      </c>
      <c r="D53" s="9" t="n">
        <v>2</v>
      </c>
      <c r="E53" s="9" t="inlineStr">
        <is>
          <t>G020</t>
        </is>
      </c>
      <c r="F53" s="9" t="n"/>
      <c r="G53" s="9" t="n"/>
      <c r="H53" s="9" t="n"/>
      <c r="I53" s="9" t="n"/>
      <c r="J53" s="9" t="n"/>
      <c r="K53" s="11">
        <f>MAX($D$2-1,IFERROR(INDEX($M$6:$M$88,MATCH(E53,$A$6:$A$88,0)),0),IFERROR(INDEX($M$6:$M$88,MATCH(F53,$A$6:$A$88,0)),0),IFERROR(INDEX($M$6:$M$88,MATCH(G53,$A$6:$A$88,0)),0),IFERROR(INDEX($M$6:$M$88,MATCH(H53,$A$6:$A$88,0)),0),IFERROR(INDEX($M$6:$M$88,MATCH(I53,$A$6:$A$88,0)),0),IFERROR(INDEX($M$6:$M$88,MATCH(J53,$A$6:$A$88,0)),0))</f>
        <v/>
      </c>
      <c r="L53" s="11">
        <f>IF(D53=0,IF(COUNTA(E53:J53)=0,$D$2,K53),WORKDAY.INTL(K53,1,$D$3))</f>
        <v/>
      </c>
      <c r="M53" s="11">
        <f>IF(D53=0,L53,WORKDAY.INTL(L53,D53-1,$D$3))</f>
        <v/>
      </c>
      <c r="N53" s="12" t="inlineStr">
        <is>
          <t>כן</t>
        </is>
      </c>
      <c r="O53" s="10" t="inlineStr">
        <is>
          <t>מפרט פרק 9</t>
        </is>
      </c>
    </row>
    <row r="54">
      <c r="A54" s="9" t="inlineStr">
        <is>
          <t>W010</t>
        </is>
      </c>
      <c r="B54" s="10" t="inlineStr">
        <is>
          <t>איטום רצפות וקירות חדרים רטובים (226 מ״ר)</t>
        </is>
      </c>
      <c r="C54" s="10" t="inlineStr">
        <is>
          <t>10.01, 10.02</t>
        </is>
      </c>
      <c r="D54" s="9" t="n">
        <v>8</v>
      </c>
      <c r="E54" s="9" t="inlineStr">
        <is>
          <t>Q010</t>
        </is>
      </c>
      <c r="F54" s="9" t="inlineStr">
        <is>
          <t>B010</t>
        </is>
      </c>
      <c r="G54" s="9" t="n"/>
      <c r="H54" s="9" t="n"/>
      <c r="I54" s="9" t="n"/>
      <c r="J54" s="9" t="n"/>
      <c r="K54" s="11">
        <f>MAX($D$2-1,IFERROR(INDEX($M$6:$M$88,MATCH(E54,$A$6:$A$88,0)),0),IFERROR(INDEX($M$6:$M$88,MATCH(F54,$A$6:$A$88,0)),0),IFERROR(INDEX($M$6:$M$88,MATCH(G54,$A$6:$A$88,0)),0),IFERROR(INDEX($M$6:$M$88,MATCH(H54,$A$6:$A$88,0)),0),IFERROR(INDEX($M$6:$M$88,MATCH(I54,$A$6:$A$88,0)),0),IFERROR(INDEX($M$6:$M$88,MATCH(J54,$A$6:$A$88,0)),0))</f>
        <v/>
      </c>
      <c r="L54" s="11">
        <f>IF(D54=0,IF(COUNTA(E54:J54)=0,$D$2,K54),WORKDAY.INTL(K54,1,$D$3))</f>
        <v/>
      </c>
      <c r="M54" s="11">
        <f>IF(D54=0,L54,WORKDAY.INTL(L54,D54-1,$D$3))</f>
        <v/>
      </c>
      <c r="N54" s="9" t="n"/>
      <c r="O54" s="10" t="inlineStr">
        <is>
          <t>הנחה</t>
        </is>
      </c>
    </row>
    <row r="55">
      <c r="A55" s="9" t="inlineStr">
        <is>
          <t>W020</t>
        </is>
      </c>
      <c r="B55" s="10" t="inlineStr">
        <is>
          <t>איטום מרפסות (52.7 מ״ר)</t>
        </is>
      </c>
      <c r="C55" s="10" t="inlineStr">
        <is>
          <t>10.04</t>
        </is>
      </c>
      <c r="D55" s="9" t="n">
        <v>5</v>
      </c>
      <c r="E55" s="9" t="inlineStr">
        <is>
          <t>K030</t>
        </is>
      </c>
      <c r="F55" s="9" t="inlineStr">
        <is>
          <t>Q010</t>
        </is>
      </c>
      <c r="G55" s="9" t="n"/>
      <c r="H55" s="9" t="n"/>
      <c r="I55" s="9" t="n"/>
      <c r="J55" s="9" t="n"/>
      <c r="K55" s="11">
        <f>MAX($D$2-1,IFERROR(INDEX($M$6:$M$88,MATCH(E55,$A$6:$A$88,0)),0),IFERROR(INDEX($M$6:$M$88,MATCH(F55,$A$6:$A$88,0)),0),IFERROR(INDEX($M$6:$M$88,MATCH(G55,$A$6:$A$88,0)),0),IFERROR(INDEX($M$6:$M$88,MATCH(H55,$A$6:$A$88,0)),0),IFERROR(INDEX($M$6:$M$88,MATCH(I55,$A$6:$A$88,0)),0),IFERROR(INDEX($M$6:$M$88,MATCH(J55,$A$6:$A$88,0)),0))</f>
        <v/>
      </c>
      <c r="L55" s="11">
        <f>IF(D55=0,IF(COUNTA(E55:J55)=0,$D$2,K55),WORKDAY.INTL(K55,1,$D$3))</f>
        <v/>
      </c>
      <c r="M55" s="11">
        <f>IF(D55=0,L55,WORKDAY.INTL(L55,D55-1,$D$3))</f>
        <v/>
      </c>
      <c r="N55" s="9" t="n"/>
      <c r="O55" s="10" t="inlineStr">
        <is>
          <t>הנחה</t>
        </is>
      </c>
    </row>
    <row r="56">
      <c r="A56" s="9" t="inlineStr">
        <is>
          <t>W030</t>
        </is>
      </c>
      <c r="B56" s="10" t="inlineStr">
        <is>
          <t>בדיקות הצפה לחדרים רטובים ולמרפסות (48–72 שעות)</t>
        </is>
      </c>
      <c r="C56" s="10" t="inlineStr">
        <is>
          <t>10.03</t>
        </is>
      </c>
      <c r="D56" s="9" t="n">
        <v>3</v>
      </c>
      <c r="E56" s="9" t="inlineStr">
        <is>
          <t>W010</t>
        </is>
      </c>
      <c r="F56" s="9" t="inlineStr">
        <is>
          <t>W020</t>
        </is>
      </c>
      <c r="G56" s="9" t="n"/>
      <c r="H56" s="9" t="n"/>
      <c r="I56" s="9" t="n"/>
      <c r="J56" s="9" t="n"/>
      <c r="K56" s="11">
        <f>MAX($D$2-1,IFERROR(INDEX($M$6:$M$88,MATCH(E56,$A$6:$A$88,0)),0),IFERROR(INDEX($M$6:$M$88,MATCH(F56,$A$6:$A$88,0)),0),IFERROR(INDEX($M$6:$M$88,MATCH(G56,$A$6:$A$88,0)),0),IFERROR(INDEX($M$6:$M$88,MATCH(H56,$A$6:$A$88,0)),0),IFERROR(INDEX($M$6:$M$88,MATCH(I56,$A$6:$A$88,0)),0),IFERROR(INDEX($M$6:$M$88,MATCH(J56,$A$6:$A$88,0)),0))</f>
        <v/>
      </c>
      <c r="L56" s="11">
        <f>IF(D56=0,IF(COUNTA(E56:J56)=0,$D$2,K56),WORKDAY.INTL(K56,1,$D$3))</f>
        <v/>
      </c>
      <c r="M56" s="11">
        <f>IF(D56=0,L56,WORKDAY.INTL(L56,D56-1,$D$3))</f>
        <v/>
      </c>
      <c r="N56" s="9" t="n"/>
      <c r="O56" s="10" t="inlineStr">
        <is>
          <t>מפרט פרק 10</t>
        </is>
      </c>
    </row>
    <row r="57">
      <c r="A57" s="9" t="inlineStr">
        <is>
          <t>W040</t>
        </is>
      </c>
      <c r="B57" s="10" t="inlineStr">
        <is>
          <t>אישור יועץ האיטום בכתב</t>
        </is>
      </c>
      <c r="C57" s="10" t="inlineStr">
        <is>
          <t>—</t>
        </is>
      </c>
      <c r="D57" s="9" t="n">
        <v>1</v>
      </c>
      <c r="E57" s="9" t="inlineStr">
        <is>
          <t>W030</t>
        </is>
      </c>
      <c r="F57" s="9" t="n"/>
      <c r="G57" s="9" t="n"/>
      <c r="H57" s="9" t="n"/>
      <c r="I57" s="9" t="n"/>
      <c r="J57" s="9" t="n"/>
      <c r="K57" s="11">
        <f>MAX($D$2-1,IFERROR(INDEX($M$6:$M$88,MATCH(E57,$A$6:$A$88,0)),0),IFERROR(INDEX($M$6:$M$88,MATCH(F57,$A$6:$A$88,0)),0),IFERROR(INDEX($M$6:$M$88,MATCH(G57,$A$6:$A$88,0)),0),IFERROR(INDEX($M$6:$M$88,MATCH(H57,$A$6:$A$88,0)),0),IFERROR(INDEX($M$6:$M$88,MATCH(I57,$A$6:$A$88,0)),0),IFERROR(INDEX($M$6:$M$88,MATCH(J57,$A$6:$A$88,0)),0))</f>
        <v/>
      </c>
      <c r="L57" s="11">
        <f>IF(D57=0,IF(COUNTA(E57:J57)=0,$D$2,K57),WORKDAY.INTL(K57,1,$D$3))</f>
        <v/>
      </c>
      <c r="M57" s="11">
        <f>IF(D57=0,L57,WORKDAY.INTL(L57,D57-1,$D$3))</f>
        <v/>
      </c>
      <c r="N57" s="9" t="n"/>
      <c r="O57" s="10" t="inlineStr">
        <is>
          <t>מפרט פרק 10</t>
        </is>
      </c>
    </row>
    <row r="58">
      <c r="A58" s="7" t="inlineStr">
        <is>
          <t>7. חזית ושלד חיצוני (במקביל)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</row>
    <row r="59">
      <c r="A59" s="9" t="inlineStr">
        <is>
          <t>L010</t>
        </is>
      </c>
      <c r="B59" s="10" t="inlineStr">
        <is>
          <t>התקנת אלומיניום – חלונות ודלתות חוץ (26 יח׳)</t>
        </is>
      </c>
      <c r="C59" s="10" t="inlineStr">
        <is>
          <t>16.01</t>
        </is>
      </c>
      <c r="D59" s="9" t="n">
        <v>10</v>
      </c>
      <c r="E59" s="9" t="inlineStr">
        <is>
          <t>A045</t>
        </is>
      </c>
      <c r="F59" s="9" t="inlineStr">
        <is>
          <t>K050</t>
        </is>
      </c>
      <c r="G59" s="9" t="n"/>
      <c r="H59" s="9" t="n"/>
      <c r="I59" s="9" t="n"/>
      <c r="J59" s="9" t="n"/>
      <c r="K59" s="11">
        <f>MAX($D$2-1,IFERROR(INDEX($M$6:$M$88,MATCH(E59,$A$6:$A$88,0)),0),IFERROR(INDEX($M$6:$M$88,MATCH(F59,$A$6:$A$88,0)),0),IFERROR(INDEX($M$6:$M$88,MATCH(G59,$A$6:$A$88,0)),0),IFERROR(INDEX($M$6:$M$88,MATCH(H59,$A$6:$A$88,0)),0),IFERROR(INDEX($M$6:$M$88,MATCH(I59,$A$6:$A$88,0)),0),IFERROR(INDEX($M$6:$M$88,MATCH(J59,$A$6:$A$88,0)),0))</f>
        <v/>
      </c>
      <c r="L59" s="11">
        <f>IF(D59=0,IF(COUNTA(E59:J59)=0,$D$2,K59),WORKDAY.INTL(K59,1,$D$3))</f>
        <v/>
      </c>
      <c r="M59" s="11">
        <f>IF(D59=0,L59,WORKDAY.INTL(L59,D59-1,$D$3))</f>
        <v/>
      </c>
      <c r="N59" s="9" t="n"/>
      <c r="O59" s="10" t="inlineStr">
        <is>
          <t>הנחה</t>
        </is>
      </c>
    </row>
    <row r="60">
      <c r="A60" s="9" t="inlineStr">
        <is>
          <t>X020</t>
        </is>
      </c>
      <c r="B60" s="10" t="inlineStr">
        <is>
          <t>הכנת תשתית וטיח צבעוני לחזיתות (225 מ״ר)</t>
        </is>
      </c>
      <c r="C60" s="10" t="inlineStr">
        <is>
          <t>14.01</t>
        </is>
      </c>
      <c r="D60" s="9" t="n">
        <v>18</v>
      </c>
      <c r="E60" s="9" t="inlineStr">
        <is>
          <t>X010</t>
        </is>
      </c>
      <c r="F60" s="9" t="inlineStr">
        <is>
          <t>L010</t>
        </is>
      </c>
      <c r="G60" s="9" t="inlineStr">
        <is>
          <t>R020</t>
        </is>
      </c>
      <c r="H60" s="9" t="inlineStr">
        <is>
          <t>D070</t>
        </is>
      </c>
      <c r="I60" s="9" t="n"/>
      <c r="J60" s="9" t="n"/>
      <c r="K60" s="11">
        <f>MAX($D$2-1,IFERROR(INDEX($M$6:$M$88,MATCH(E60,$A$6:$A$88,0)),0),IFERROR(INDEX($M$6:$M$88,MATCH(F60,$A$6:$A$88,0)),0),IFERROR(INDEX($M$6:$M$88,MATCH(G60,$A$6:$A$88,0)),0),IFERROR(INDEX($M$6:$M$88,MATCH(H60,$A$6:$A$88,0)),0),IFERROR(INDEX($M$6:$M$88,MATCH(I60,$A$6:$A$88,0)),0),IFERROR(INDEX($M$6:$M$88,MATCH(J60,$A$6:$A$88,0)),0))</f>
        <v/>
      </c>
      <c r="L60" s="11">
        <f>IF(D60=0,IF(COUNTA(E60:J60)=0,$D$2,K60),WORKDAY.INTL(K60,1,$D$3))</f>
        <v/>
      </c>
      <c r="M60" s="11">
        <f>IF(D60=0,L60,WORKDAY.INTL(L60,D60-1,$D$3))</f>
        <v/>
      </c>
      <c r="N60" s="9" t="n"/>
      <c r="O60" s="10" t="inlineStr">
        <is>
          <t>הנחה: ~12 מ״ר ליום</t>
        </is>
      </c>
    </row>
    <row r="61">
      <c r="A61" s="9" t="inlineStr">
        <is>
          <t>Z010</t>
        </is>
      </c>
      <c r="B61" s="10" t="inlineStr">
        <is>
          <t>אדני חלונות וספי דלתות ואיטום סביבם</t>
        </is>
      </c>
      <c r="C61" s="10" t="inlineStr">
        <is>
          <t>12.01–12.04</t>
        </is>
      </c>
      <c r="D61" s="9" t="n">
        <v>8</v>
      </c>
      <c r="E61" s="9" t="inlineStr">
        <is>
          <t>L010</t>
        </is>
      </c>
      <c r="F61" s="9" t="inlineStr">
        <is>
          <t>X020</t>
        </is>
      </c>
      <c r="G61" s="9" t="n"/>
      <c r="H61" s="9" t="n"/>
      <c r="I61" s="9" t="n"/>
      <c r="J61" s="9" t="n"/>
      <c r="K61" s="11">
        <f>MAX($D$2-1,IFERROR(INDEX($M$6:$M$88,MATCH(E61,$A$6:$A$88,0)),0),IFERROR(INDEX($M$6:$M$88,MATCH(F61,$A$6:$A$88,0)),0),IFERROR(INDEX($M$6:$M$88,MATCH(G61,$A$6:$A$88,0)),0),IFERROR(INDEX($M$6:$M$88,MATCH(H61,$A$6:$A$88,0)),0),IFERROR(INDEX($M$6:$M$88,MATCH(I61,$A$6:$A$88,0)),0),IFERROR(INDEX($M$6:$M$88,MATCH(J61,$A$6:$A$88,0)),0))</f>
        <v/>
      </c>
      <c r="L61" s="11">
        <f>IF(D61=0,IF(COUNTA(E61:J61)=0,$D$2,K61),WORKDAY.INTL(K61,1,$D$3))</f>
        <v/>
      </c>
      <c r="M61" s="11">
        <f>IF(D61=0,L61,WORKDAY.INTL(L61,D61-1,$D$3))</f>
        <v/>
      </c>
      <c r="N61" s="9" t="n"/>
      <c r="O61" s="10" t="inlineStr">
        <is>
          <t>הנחה</t>
        </is>
      </c>
    </row>
    <row r="62">
      <c r="A62" s="9" t="inlineStr">
        <is>
          <t>X030</t>
        </is>
      </c>
      <c r="B62" s="10" t="inlineStr">
        <is>
          <t>פירוק פיגום חיצוני</t>
        </is>
      </c>
      <c r="C62" s="10" t="inlineStr">
        <is>
          <t>01.09</t>
        </is>
      </c>
      <c r="D62" s="9" t="n">
        <v>3</v>
      </c>
      <c r="E62" s="9" t="inlineStr">
        <is>
          <t>X020</t>
        </is>
      </c>
      <c r="F62" s="9" t="inlineStr">
        <is>
          <t>R040</t>
        </is>
      </c>
      <c r="G62" s="9" t="inlineStr">
        <is>
          <t>Z010</t>
        </is>
      </c>
      <c r="H62" s="9" t="n"/>
      <c r="I62" s="9" t="n"/>
      <c r="J62" s="9" t="n"/>
      <c r="K62" s="11">
        <f>MAX($D$2-1,IFERROR(INDEX($M$6:$M$88,MATCH(E62,$A$6:$A$88,0)),0),IFERROR(INDEX($M$6:$M$88,MATCH(F62,$A$6:$A$88,0)),0),IFERROR(INDEX($M$6:$M$88,MATCH(G62,$A$6:$A$88,0)),0),IFERROR(INDEX($M$6:$M$88,MATCH(H62,$A$6:$A$88,0)),0),IFERROR(INDEX($M$6:$M$88,MATCH(I62,$A$6:$A$88,0)),0),IFERROR(INDEX($M$6:$M$88,MATCH(J62,$A$6:$A$88,0)),0))</f>
        <v/>
      </c>
      <c r="L62" s="11">
        <f>IF(D62=0,IF(COUNTA(E62:J62)=0,$D$2,K62),WORKDAY.INTL(K62,1,$D$3))</f>
        <v/>
      </c>
      <c r="M62" s="11">
        <f>IF(D62=0,L62,WORKDAY.INTL(L62,D62-1,$D$3))</f>
        <v/>
      </c>
      <c r="N62" s="9" t="n"/>
      <c r="O62" s="10" t="inlineStr">
        <is>
          <t>הנחה</t>
        </is>
      </c>
    </row>
    <row r="63">
      <c r="A63" s="7" t="inlineStr">
        <is>
          <t>8. גמרים פנים</t>
        </is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</row>
    <row r="64">
      <c r="A64" s="9" t="inlineStr">
        <is>
          <t>M020</t>
        </is>
      </c>
      <c r="B64" s="10" t="inlineStr">
        <is>
          <t>התקנת יחידות מיזוג, בדיקות ואקום ולחץ</t>
        </is>
      </c>
      <c r="C64" s="10" t="inlineStr">
        <is>
          <t>08.01, 08.03, 08.04</t>
        </is>
      </c>
      <c r="D64" s="9" t="n">
        <v>8</v>
      </c>
      <c r="E64" s="9" t="inlineStr">
        <is>
          <t>G030</t>
        </is>
      </c>
      <c r="F64" s="9" t="inlineStr">
        <is>
          <t>M010</t>
        </is>
      </c>
      <c r="G64" s="9" t="inlineStr">
        <is>
          <t>A065</t>
        </is>
      </c>
      <c r="H64" s="9" t="n"/>
      <c r="I64" s="9" t="n"/>
      <c r="J64" s="9" t="n"/>
      <c r="K64" s="11">
        <f>MAX($D$2-1,IFERROR(INDEX($M$6:$M$88,MATCH(E64,$A$6:$A$88,0)),0),IFERROR(INDEX($M$6:$M$88,MATCH(F64,$A$6:$A$88,0)),0),IFERROR(INDEX($M$6:$M$88,MATCH(G64,$A$6:$A$88,0)),0),IFERROR(INDEX($M$6:$M$88,MATCH(H64,$A$6:$A$88,0)),0),IFERROR(INDEX($M$6:$M$88,MATCH(I64,$A$6:$A$88,0)),0),IFERROR(INDEX($M$6:$M$88,MATCH(J64,$A$6:$A$88,0)),0))</f>
        <v/>
      </c>
      <c r="L64" s="11">
        <f>IF(D64=0,IF(COUNTA(E64:J64)=0,$D$2,K64),WORKDAY.INTL(K64,1,$D$3))</f>
        <v/>
      </c>
      <c r="M64" s="11">
        <f>IF(D64=0,L64,WORKDAY.INTL(L64,D64-1,$D$3))</f>
        <v/>
      </c>
      <c r="N64" s="12" t="inlineStr">
        <is>
          <t>כן</t>
        </is>
      </c>
      <c r="O64" s="10" t="inlineStr">
        <is>
          <t>הנחה; מפרט: מיזוג נבדק לפני טיח וצבע</t>
        </is>
      </c>
    </row>
    <row r="65">
      <c r="A65" s="9" t="inlineStr">
        <is>
          <t>F010</t>
        </is>
      </c>
      <c r="B65" s="10" t="inlineStr">
        <is>
          <t>תיקוני טיח ושפכטל, ידיים ראשונות (576 מ״ר)</t>
        </is>
      </c>
      <c r="C65" s="10" t="inlineStr">
        <is>
          <t>15.01–15.03</t>
        </is>
      </c>
      <c r="D65" s="9" t="n">
        <v>12</v>
      </c>
      <c r="E65" s="9" t="inlineStr">
        <is>
          <t>G030</t>
        </is>
      </c>
      <c r="F65" s="9" t="inlineStr">
        <is>
          <t>M020</t>
        </is>
      </c>
      <c r="G65" s="9" t="n"/>
      <c r="H65" s="9" t="n"/>
      <c r="I65" s="9" t="n"/>
      <c r="J65" s="9" t="n"/>
      <c r="K65" s="11">
        <f>MAX($D$2-1,IFERROR(INDEX($M$6:$M$88,MATCH(E65,$A$6:$A$88,0)),0),IFERROR(INDEX($M$6:$M$88,MATCH(F65,$A$6:$A$88,0)),0),IFERROR(INDEX($M$6:$M$88,MATCH(G65,$A$6:$A$88,0)),0),IFERROR(INDEX($M$6:$M$88,MATCH(H65,$A$6:$A$88,0)),0),IFERROR(INDEX($M$6:$M$88,MATCH(I65,$A$6:$A$88,0)),0),IFERROR(INDEX($M$6:$M$88,MATCH(J65,$A$6:$A$88,0)),0))</f>
        <v/>
      </c>
      <c r="L65" s="11">
        <f>IF(D65=0,IF(COUNTA(E65:J65)=0,$D$2,K65),WORKDAY.INTL(K65,1,$D$3))</f>
        <v/>
      </c>
      <c r="M65" s="11">
        <f>IF(D65=0,L65,WORKDAY.INTL(L65,D65-1,$D$3))</f>
        <v/>
      </c>
      <c r="N65" s="12" t="inlineStr">
        <is>
          <t>כן</t>
        </is>
      </c>
      <c r="O65" s="10" t="inlineStr">
        <is>
          <t>הנחה</t>
        </is>
      </c>
    </row>
    <row r="66">
      <c r="A66" s="9" t="inlineStr">
        <is>
          <t>T010</t>
        </is>
      </c>
      <c r="B66" s="10" t="inlineStr">
        <is>
          <t>ריצוף פנים 120×120 (219.9 מ״ר) ו-120×60 מרתף (105 מ״ר)</t>
        </is>
      </c>
      <c r="C66" s="10" t="inlineStr">
        <is>
          <t>13.01, 13.02</t>
        </is>
      </c>
      <c r="D66" s="9" t="n">
        <v>14</v>
      </c>
      <c r="E66" s="9" t="inlineStr">
        <is>
          <t>W040</t>
        </is>
      </c>
      <c r="F66" s="9" t="inlineStr">
        <is>
          <t>G030</t>
        </is>
      </c>
      <c r="G66" s="9" t="inlineStr">
        <is>
          <t>A055</t>
        </is>
      </c>
      <c r="H66" s="9" t="n"/>
      <c r="I66" s="9" t="n"/>
      <c r="J66" s="9" t="n"/>
      <c r="K66" s="11">
        <f>MAX($D$2-1,IFERROR(INDEX($M$6:$M$88,MATCH(E66,$A$6:$A$88,0)),0),IFERROR(INDEX($M$6:$M$88,MATCH(F66,$A$6:$A$88,0)),0),IFERROR(INDEX($M$6:$M$88,MATCH(G66,$A$6:$A$88,0)),0),IFERROR(INDEX($M$6:$M$88,MATCH(H66,$A$6:$A$88,0)),0),IFERROR(INDEX($M$6:$M$88,MATCH(I66,$A$6:$A$88,0)),0),IFERROR(INDEX($M$6:$M$88,MATCH(J66,$A$6:$A$88,0)),0))</f>
        <v/>
      </c>
      <c r="L66" s="11">
        <f>IF(D66=0,IF(COUNTA(E66:J66)=0,$D$2,K66),WORKDAY.INTL(K66,1,$D$3))</f>
        <v/>
      </c>
      <c r="M66" s="11">
        <f>IF(D66=0,L66,WORKDAY.INTL(L66,D66-1,$D$3))</f>
        <v/>
      </c>
      <c r="N66" s="9" t="n"/>
      <c r="O66" s="10" t="inlineStr">
        <is>
          <t>הנחה: ~25 מ״ר ליום</t>
        </is>
      </c>
    </row>
    <row r="67">
      <c r="A67" s="9" t="inlineStr">
        <is>
          <t>T020</t>
        </is>
      </c>
      <c r="B67" s="10" t="inlineStr">
        <is>
          <t>חיפוי קירות מקלחות (121.2 מ״ר)</t>
        </is>
      </c>
      <c r="C67" s="10" t="inlineStr">
        <is>
          <t>13.03</t>
        </is>
      </c>
      <c r="D67" s="9" t="n">
        <v>8</v>
      </c>
      <c r="E67" s="9" t="inlineStr">
        <is>
          <t>W040</t>
        </is>
      </c>
      <c r="F67" s="9" t="inlineStr">
        <is>
          <t>A055</t>
        </is>
      </c>
      <c r="G67" s="9" t="n"/>
      <c r="H67" s="9" t="n"/>
      <c r="I67" s="9" t="n"/>
      <c r="J67" s="9" t="n"/>
      <c r="K67" s="11">
        <f>MAX($D$2-1,IFERROR(INDEX($M$6:$M$88,MATCH(E67,$A$6:$A$88,0)),0),IFERROR(INDEX($M$6:$M$88,MATCH(F67,$A$6:$A$88,0)),0),IFERROR(INDEX($M$6:$M$88,MATCH(G67,$A$6:$A$88,0)),0),IFERROR(INDEX($M$6:$M$88,MATCH(H67,$A$6:$A$88,0)),0),IFERROR(INDEX($M$6:$M$88,MATCH(I67,$A$6:$A$88,0)),0),IFERROR(INDEX($M$6:$M$88,MATCH(J67,$A$6:$A$88,0)),0))</f>
        <v/>
      </c>
      <c r="L67" s="11">
        <f>IF(D67=0,IF(COUNTA(E67:J67)=0,$D$2,K67),WORKDAY.INTL(K67,1,$D$3))</f>
        <v/>
      </c>
      <c r="M67" s="11">
        <f>IF(D67=0,L67,WORKDAY.INTL(L67,D67-1,$D$3))</f>
        <v/>
      </c>
      <c r="N67" s="9" t="n"/>
      <c r="O67" s="10" t="inlineStr">
        <is>
          <t>הנחה</t>
        </is>
      </c>
    </row>
    <row r="68">
      <c r="A68" s="9" t="inlineStr">
        <is>
          <t>T030</t>
        </is>
      </c>
      <c r="B68" s="10" t="inlineStr">
        <is>
          <t>ריצוף חוץ ומרפסות R11 (263.7 מ״ר)</t>
        </is>
      </c>
      <c r="C68" s="10" t="inlineStr">
        <is>
          <t>13.05</t>
        </is>
      </c>
      <c r="D68" s="9" t="n">
        <v>14</v>
      </c>
      <c r="E68" s="9" t="inlineStr">
        <is>
          <t>W030</t>
        </is>
      </c>
      <c r="F68" s="9" t="inlineStr">
        <is>
          <t>A055</t>
        </is>
      </c>
      <c r="G68" s="9" t="n"/>
      <c r="H68" s="9" t="n"/>
      <c r="I68" s="9" t="n"/>
      <c r="J68" s="9" t="n"/>
      <c r="K68" s="11">
        <f>MAX($D$2-1,IFERROR(INDEX($M$6:$M$88,MATCH(E68,$A$6:$A$88,0)),0),IFERROR(INDEX($M$6:$M$88,MATCH(F68,$A$6:$A$88,0)),0),IFERROR(INDEX($M$6:$M$88,MATCH(G68,$A$6:$A$88,0)),0),IFERROR(INDEX($M$6:$M$88,MATCH(H68,$A$6:$A$88,0)),0),IFERROR(INDEX($M$6:$M$88,MATCH(I68,$A$6:$A$88,0)),0),IFERROR(INDEX($M$6:$M$88,MATCH(J68,$A$6:$A$88,0)),0))</f>
        <v/>
      </c>
      <c r="L68" s="11">
        <f>IF(D68=0,IF(COUNTA(E68:J68)=0,$D$2,K68),WORKDAY.INTL(K68,1,$D$3))</f>
        <v/>
      </c>
      <c r="M68" s="11">
        <f>IF(D68=0,L68,WORKDAY.INTL(L68,D68-1,$D$3))</f>
        <v/>
      </c>
      <c r="N68" s="9" t="n"/>
      <c r="O68" s="10" t="inlineStr">
        <is>
          <t>הנחה</t>
        </is>
      </c>
    </row>
    <row r="69">
      <c r="A69" s="9" t="inlineStr">
        <is>
          <t>T040</t>
        </is>
      </c>
      <c r="B69" s="10" t="inlineStr">
        <is>
          <t>חיפוי מדרגות פנים (50 מ״א) והתקנת פנלים (285 מ״א)</t>
        </is>
      </c>
      <c r="C69" s="10" t="inlineStr">
        <is>
          <t>13.04, 13.07</t>
        </is>
      </c>
      <c r="D69" s="9" t="n">
        <v>8</v>
      </c>
      <c r="E69" s="9" t="inlineStr">
        <is>
          <t>T010</t>
        </is>
      </c>
      <c r="F69" s="9" t="inlineStr">
        <is>
          <t>K050</t>
        </is>
      </c>
      <c r="G69" s="9" t="n"/>
      <c r="H69" s="9" t="n"/>
      <c r="I69" s="9" t="n"/>
      <c r="J69" s="9" t="n"/>
      <c r="K69" s="11">
        <f>MAX($D$2-1,IFERROR(INDEX($M$6:$M$88,MATCH(E69,$A$6:$A$88,0)),0),IFERROR(INDEX($M$6:$M$88,MATCH(F69,$A$6:$A$88,0)),0),IFERROR(INDEX($M$6:$M$88,MATCH(G69,$A$6:$A$88,0)),0),IFERROR(INDEX($M$6:$M$88,MATCH(H69,$A$6:$A$88,0)),0),IFERROR(INDEX($M$6:$M$88,MATCH(I69,$A$6:$A$88,0)),0),IFERROR(INDEX($M$6:$M$88,MATCH(J69,$A$6:$A$88,0)),0))</f>
        <v/>
      </c>
      <c r="L69" s="11">
        <f>IF(D69=0,IF(COUNTA(E69:J69)=0,$D$2,K69),WORKDAY.INTL(K69,1,$D$3))</f>
        <v/>
      </c>
      <c r="M69" s="11">
        <f>IF(D69=0,L69,WORKDAY.INTL(L69,D69-1,$D$3))</f>
        <v/>
      </c>
      <c r="N69" s="9" t="n"/>
      <c r="O69" s="10" t="inlineStr">
        <is>
          <t>הנחה</t>
        </is>
      </c>
    </row>
    <row r="70">
      <c r="A70" s="9" t="inlineStr">
        <is>
          <t>E030</t>
        </is>
      </c>
      <c r="B70" s="10" t="inlineStr">
        <is>
          <t>התקנת גופי תאורה, ספוטים ומאווררים</t>
        </is>
      </c>
      <c r="C70" s="10" t="inlineStr">
        <is>
          <t>07.03–07.19</t>
        </is>
      </c>
      <c r="D70" s="9" t="n">
        <v>12</v>
      </c>
      <c r="E70" s="9" t="inlineStr">
        <is>
          <t>F010</t>
        </is>
      </c>
      <c r="F70" s="9" t="inlineStr">
        <is>
          <t>T010</t>
        </is>
      </c>
      <c r="G70" s="9" t="n"/>
      <c r="H70" s="9" t="n"/>
      <c r="I70" s="9" t="n"/>
      <c r="J70" s="9" t="n"/>
      <c r="K70" s="11">
        <f>MAX($D$2-1,IFERROR(INDEX($M$6:$M$88,MATCH(E70,$A$6:$A$88,0)),0),IFERROR(INDEX($M$6:$M$88,MATCH(F70,$A$6:$A$88,0)),0),IFERROR(INDEX($M$6:$M$88,MATCH(G70,$A$6:$A$88,0)),0),IFERROR(INDEX($M$6:$M$88,MATCH(H70,$A$6:$A$88,0)),0),IFERROR(INDEX($M$6:$M$88,MATCH(I70,$A$6:$A$88,0)),0),IFERROR(INDEX($M$6:$M$88,MATCH(J70,$A$6:$A$88,0)),0))</f>
        <v/>
      </c>
      <c r="L70" s="11">
        <f>IF(D70=0,IF(COUNTA(E70:J70)=0,$D$2,K70),WORKDAY.INTL(K70,1,$D$3))</f>
        <v/>
      </c>
      <c r="M70" s="11">
        <f>IF(D70=0,L70,WORKDAY.INTL(L70,D70-1,$D$3))</f>
        <v/>
      </c>
      <c r="N70" s="12" t="inlineStr">
        <is>
          <t>כן</t>
        </is>
      </c>
      <c r="O70" s="10" t="inlineStr">
        <is>
          <t>הנחה; מפרט: לפני הצבע הסופי</t>
        </is>
      </c>
    </row>
    <row r="71">
      <c r="A71" s="9" t="inlineStr">
        <is>
          <t>F020</t>
        </is>
      </c>
      <c r="B71" s="10" t="inlineStr">
        <is>
          <t>צבע פנים – ידיים סופיות</t>
        </is>
      </c>
      <c r="C71" s="10" t="inlineStr">
        <is>
          <t>15.01–15.03</t>
        </is>
      </c>
      <c r="D71" s="9" t="n">
        <v>15</v>
      </c>
      <c r="E71" s="9" t="inlineStr">
        <is>
          <t>E030</t>
        </is>
      </c>
      <c r="F71" s="9" t="inlineStr">
        <is>
          <t>T020</t>
        </is>
      </c>
      <c r="G71" s="9" t="inlineStr">
        <is>
          <t>T040</t>
        </is>
      </c>
      <c r="H71" s="9" t="inlineStr">
        <is>
          <t>F010</t>
        </is>
      </c>
      <c r="I71" s="9" t="n"/>
      <c r="J71" s="9" t="n"/>
      <c r="K71" s="11">
        <f>MAX($D$2-1,IFERROR(INDEX($M$6:$M$88,MATCH(E71,$A$6:$A$88,0)),0),IFERROR(INDEX($M$6:$M$88,MATCH(F71,$A$6:$A$88,0)),0),IFERROR(INDEX($M$6:$M$88,MATCH(G71,$A$6:$A$88,0)),0),IFERROR(INDEX($M$6:$M$88,MATCH(H71,$A$6:$A$88,0)),0),IFERROR(INDEX($M$6:$M$88,MATCH(I71,$A$6:$A$88,0)),0),IFERROR(INDEX($M$6:$M$88,MATCH(J71,$A$6:$A$88,0)),0))</f>
        <v/>
      </c>
      <c r="L71" s="11">
        <f>IF(D71=0,IF(COUNTA(E71:J71)=0,$D$2,K71),WORKDAY.INTL(K71,1,$D$3))</f>
        <v/>
      </c>
      <c r="M71" s="11">
        <f>IF(D71=0,L71,WORKDAY.INTL(L71,D71-1,$D$3))</f>
        <v/>
      </c>
      <c r="N71" s="12" t="inlineStr">
        <is>
          <t>כן</t>
        </is>
      </c>
      <c r="O71" s="10" t="inlineStr">
        <is>
          <t>הנחה</t>
        </is>
      </c>
    </row>
    <row r="72">
      <c r="A72" s="9" t="inlineStr">
        <is>
          <t>E020</t>
        </is>
      </c>
      <c r="B72" s="10" t="inlineStr">
        <is>
          <t>התקנת שקעים, מפסקים ואביזרים</t>
        </is>
      </c>
      <c r="C72" s="10" t="inlineStr">
        <is>
          <t>06.01–06.05, 06.10</t>
        </is>
      </c>
      <c r="D72" s="9" t="n">
        <v>8</v>
      </c>
      <c r="E72" s="9" t="inlineStr">
        <is>
          <t>F020</t>
        </is>
      </c>
      <c r="F72" s="9" t="n"/>
      <c r="G72" s="9" t="n"/>
      <c r="H72" s="9" t="n"/>
      <c r="I72" s="9" t="n"/>
      <c r="J72" s="9" t="n"/>
      <c r="K72" s="11">
        <f>MAX($D$2-1,IFERROR(INDEX($M$6:$M$88,MATCH(E72,$A$6:$A$88,0)),0),IFERROR(INDEX($M$6:$M$88,MATCH(F72,$A$6:$A$88,0)),0),IFERROR(INDEX($M$6:$M$88,MATCH(G72,$A$6:$A$88,0)),0),IFERROR(INDEX($M$6:$M$88,MATCH(H72,$A$6:$A$88,0)),0),IFERROR(INDEX($M$6:$M$88,MATCH(I72,$A$6:$A$88,0)),0),IFERROR(INDEX($M$6:$M$88,MATCH(J72,$A$6:$A$88,0)),0))</f>
        <v/>
      </c>
      <c r="L72" s="11">
        <f>IF(D72=0,IF(COUNTA(E72:J72)=0,$D$2,K72),WORKDAY.INTL(K72,1,$D$3))</f>
        <v/>
      </c>
      <c r="M72" s="11">
        <f>IF(D72=0,L72,WORKDAY.INTL(L72,D72-1,$D$3))</f>
        <v/>
      </c>
      <c r="N72" s="9" t="n"/>
      <c r="O72" s="10" t="inlineStr">
        <is>
          <t>הנחה</t>
        </is>
      </c>
    </row>
    <row r="73">
      <c r="A73" s="9" t="inlineStr">
        <is>
          <t>P020</t>
        </is>
      </c>
      <c r="B73" s="10" t="inlineStr">
        <is>
          <t>התקנת כלים סניטריים, ברזים ודוד</t>
        </is>
      </c>
      <c r="C73" s="10" t="inlineStr">
        <is>
          <t>05.01–05.24, 05.34</t>
        </is>
      </c>
      <c r="D73" s="9" t="n">
        <v>8</v>
      </c>
      <c r="E73" s="9" t="inlineStr">
        <is>
          <t>F020</t>
        </is>
      </c>
      <c r="F73" s="9" t="inlineStr">
        <is>
          <t>T020</t>
        </is>
      </c>
      <c r="G73" s="9" t="n"/>
      <c r="H73" s="9" t="n"/>
      <c r="I73" s="9" t="n"/>
      <c r="J73" s="9" t="n"/>
      <c r="K73" s="11">
        <f>MAX($D$2-1,IFERROR(INDEX($M$6:$M$88,MATCH(E73,$A$6:$A$88,0)),0),IFERROR(INDEX($M$6:$M$88,MATCH(F73,$A$6:$A$88,0)),0),IFERROR(INDEX($M$6:$M$88,MATCH(G73,$A$6:$A$88,0)),0),IFERROR(INDEX($M$6:$M$88,MATCH(H73,$A$6:$A$88,0)),0),IFERROR(INDEX($M$6:$M$88,MATCH(I73,$A$6:$A$88,0)),0),IFERROR(INDEX($M$6:$M$88,MATCH(J73,$A$6:$A$88,0)),0))</f>
        <v/>
      </c>
      <c r="L73" s="11">
        <f>IF(D73=0,IF(COUNTA(E73:J73)=0,$D$2,K73),WORKDAY.INTL(K73,1,$D$3))</f>
        <v/>
      </c>
      <c r="M73" s="11">
        <f>IF(D73=0,L73,WORKDAY.INTL(L73,D73-1,$D$3))</f>
        <v/>
      </c>
      <c r="N73" s="12" t="inlineStr">
        <is>
          <t>כן</t>
        </is>
      </c>
      <c r="O73" s="10" t="inlineStr">
        <is>
          <t>הנחה</t>
        </is>
      </c>
    </row>
    <row r="74">
      <c r="A74" s="9" t="inlineStr">
        <is>
          <t>L020</t>
        </is>
      </c>
      <c r="B74" s="10" t="inlineStr">
        <is>
          <t>דלתות פנים וכניסה (14 יח׳)</t>
        </is>
      </c>
      <c r="C74" s="10" t="inlineStr">
        <is>
          <t>16.02–16.04</t>
        </is>
      </c>
      <c r="D74" s="9" t="n">
        <v>5</v>
      </c>
      <c r="E74" s="9" t="inlineStr">
        <is>
          <t>F020</t>
        </is>
      </c>
      <c r="F74" s="9" t="inlineStr">
        <is>
          <t>A045</t>
        </is>
      </c>
      <c r="G74" s="9" t="n"/>
      <c r="H74" s="9" t="n"/>
      <c r="I74" s="9" t="n"/>
      <c r="J74" s="9" t="n"/>
      <c r="K74" s="11">
        <f>MAX($D$2-1,IFERROR(INDEX($M$6:$M$88,MATCH(E74,$A$6:$A$88,0)),0),IFERROR(INDEX($M$6:$M$88,MATCH(F74,$A$6:$A$88,0)),0),IFERROR(INDEX($M$6:$M$88,MATCH(G74,$A$6:$A$88,0)),0),IFERROR(INDEX($M$6:$M$88,MATCH(H74,$A$6:$A$88,0)),0),IFERROR(INDEX($M$6:$M$88,MATCH(I74,$A$6:$A$88,0)),0),IFERROR(INDEX($M$6:$M$88,MATCH(J74,$A$6:$A$88,0)),0))</f>
        <v/>
      </c>
      <c r="L74" s="11">
        <f>IF(D74=0,IF(COUNTA(E74:J74)=0,$D$2,K74),WORKDAY.INTL(K74,1,$D$3))</f>
        <v/>
      </c>
      <c r="M74" s="11">
        <f>IF(D74=0,L74,WORKDAY.INTL(L74,D74-1,$D$3))</f>
        <v/>
      </c>
      <c r="N74" s="9" t="n"/>
      <c r="O74" s="10" t="inlineStr">
        <is>
          <t>הנחה</t>
        </is>
      </c>
    </row>
    <row r="75">
      <c r="A75" s="9" t="inlineStr">
        <is>
          <t>L030</t>
        </is>
      </c>
      <c r="B75" s="10" t="inlineStr">
        <is>
          <t>שערים חשמליים ואינטרקום שער</t>
        </is>
      </c>
      <c r="C75" s="10" t="inlineStr">
        <is>
          <t>16.05–16.07, 18.03</t>
        </is>
      </c>
      <c r="D75" s="9" t="n">
        <v>8</v>
      </c>
      <c r="E75" s="9" t="inlineStr">
        <is>
          <t>A060</t>
        </is>
      </c>
      <c r="F75" s="9" t="inlineStr">
        <is>
          <t>X020</t>
        </is>
      </c>
      <c r="G75" s="9" t="n"/>
      <c r="H75" s="9" t="n"/>
      <c r="I75" s="9" t="n"/>
      <c r="J75" s="9" t="n"/>
      <c r="K75" s="11">
        <f>MAX($D$2-1,IFERROR(INDEX($M$6:$M$88,MATCH(E75,$A$6:$A$88,0)),0),IFERROR(INDEX($M$6:$M$88,MATCH(F75,$A$6:$A$88,0)),0),IFERROR(INDEX($M$6:$M$88,MATCH(G75,$A$6:$A$88,0)),0),IFERROR(INDEX($M$6:$M$88,MATCH(H75,$A$6:$A$88,0)),0),IFERROR(INDEX($M$6:$M$88,MATCH(I75,$A$6:$A$88,0)),0),IFERROR(INDEX($M$6:$M$88,MATCH(J75,$A$6:$A$88,0)),0))</f>
        <v/>
      </c>
      <c r="L75" s="11">
        <f>IF(D75=0,IF(COUNTA(E75:J75)=0,$D$2,K75),WORKDAY.INTL(K75,1,$D$3))</f>
        <v/>
      </c>
      <c r="M75" s="11">
        <f>IF(D75=0,L75,WORKDAY.INTL(L75,D75-1,$D$3))</f>
        <v/>
      </c>
      <c r="N75" s="9" t="n"/>
      <c r="O75" s="10" t="inlineStr">
        <is>
          <t>הנחה</t>
        </is>
      </c>
    </row>
    <row r="76">
      <c r="A76" s="9" t="inlineStr">
        <is>
          <t>L040</t>
        </is>
      </c>
      <c r="B76" s="10" t="inlineStr">
        <is>
          <t>תריסים חשמליים (18 יח׳)</t>
        </is>
      </c>
      <c r="C76" s="10" t="inlineStr">
        <is>
          <t>16.09</t>
        </is>
      </c>
      <c r="D76" s="9" t="n">
        <v>6</v>
      </c>
      <c r="E76" s="9" t="inlineStr">
        <is>
          <t>A060</t>
        </is>
      </c>
      <c r="F76" s="9" t="inlineStr">
        <is>
          <t>L010</t>
        </is>
      </c>
      <c r="G76" s="9" t="n"/>
      <c r="H76" s="9" t="n"/>
      <c r="I76" s="9" t="n"/>
      <c r="J76" s="9" t="n"/>
      <c r="K76" s="11">
        <f>MAX($D$2-1,IFERROR(INDEX($M$6:$M$88,MATCH(E76,$A$6:$A$88,0)),0),IFERROR(INDEX($M$6:$M$88,MATCH(F76,$A$6:$A$88,0)),0),IFERROR(INDEX($M$6:$M$88,MATCH(G76,$A$6:$A$88,0)),0),IFERROR(INDEX($M$6:$M$88,MATCH(H76,$A$6:$A$88,0)),0),IFERROR(INDEX($M$6:$M$88,MATCH(I76,$A$6:$A$88,0)),0),IFERROR(INDEX($M$6:$M$88,MATCH(J76,$A$6:$A$88,0)),0))</f>
        <v/>
      </c>
      <c r="L76" s="11">
        <f>IF(D76=0,IF(COUNTA(E76:J76)=0,$D$2,K76),WORKDAY.INTL(K76,1,$D$3))</f>
        <v/>
      </c>
      <c r="M76" s="11">
        <f>IF(D76=0,L76,WORKDAY.INTL(L76,D76-1,$D$3))</f>
        <v/>
      </c>
      <c r="N76" s="9" t="n"/>
      <c r="O76" s="10" t="inlineStr">
        <is>
          <t>הנחה; אופציה</t>
        </is>
      </c>
    </row>
    <row r="77">
      <c r="A77" s="9" t="inlineStr">
        <is>
          <t>C020</t>
        </is>
      </c>
      <c r="B77" s="10" t="inlineStr">
        <is>
          <t>נקודות תקשורת, לוח תקשורת ובדיקות רציפות</t>
        </is>
      </c>
      <c r="C77" s="10" t="inlineStr">
        <is>
          <t>18.02, 18.04, 18.05</t>
        </is>
      </c>
      <c r="D77" s="9" t="n">
        <v>6</v>
      </c>
      <c r="E77" s="9" t="inlineStr">
        <is>
          <t>F020</t>
        </is>
      </c>
      <c r="F77" s="9" t="n"/>
      <c r="G77" s="9" t="n"/>
      <c r="H77" s="9" t="n"/>
      <c r="I77" s="9" t="n"/>
      <c r="J77" s="9" t="n"/>
      <c r="K77" s="11">
        <f>MAX($D$2-1,IFERROR(INDEX($M$6:$M$88,MATCH(E77,$A$6:$A$88,0)),0),IFERROR(INDEX($M$6:$M$88,MATCH(F77,$A$6:$A$88,0)),0),IFERROR(INDEX($M$6:$M$88,MATCH(G77,$A$6:$A$88,0)),0),IFERROR(INDEX($M$6:$M$88,MATCH(H77,$A$6:$A$88,0)),0),IFERROR(INDEX($M$6:$M$88,MATCH(I77,$A$6:$A$88,0)),0),IFERROR(INDEX($M$6:$M$88,MATCH(J77,$A$6:$A$88,0)),0))</f>
        <v/>
      </c>
      <c r="L77" s="11">
        <f>IF(D77=0,IF(COUNTA(E77:J77)=0,$D$2,K77),WORKDAY.INTL(K77,1,$D$3))</f>
        <v/>
      </c>
      <c r="M77" s="11">
        <f>IF(D77=0,L77,WORKDAY.INTL(L77,D77-1,$D$3))</f>
        <v/>
      </c>
      <c r="N77" s="9" t="n"/>
      <c r="O77" s="10" t="inlineStr">
        <is>
          <t>הנחה</t>
        </is>
      </c>
    </row>
    <row r="78">
      <c r="A78" s="7" t="inlineStr">
        <is>
          <t>9. פיתוח וחשמל חוץ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</row>
    <row r="79">
      <c r="A79" s="9" t="inlineStr">
        <is>
          <t>E040</t>
        </is>
      </c>
      <c r="B79" s="10" t="inlineStr">
        <is>
          <t>התקנת פילר חברת החשמל והגדלת חיבור</t>
        </is>
      </c>
      <c r="C79" s="10" t="inlineStr">
        <is>
          <t>06.07, 06.08</t>
        </is>
      </c>
      <c r="D79" s="9" t="n">
        <v>5</v>
      </c>
      <c r="E79" s="9" t="inlineStr">
        <is>
          <t>A020</t>
        </is>
      </c>
      <c r="F79" s="9" t="inlineStr">
        <is>
          <t>S030</t>
        </is>
      </c>
      <c r="G79" s="9" t="n"/>
      <c r="H79" s="9" t="n"/>
      <c r="I79" s="9" t="n"/>
      <c r="J79" s="9" t="n"/>
      <c r="K79" s="11">
        <f>MAX($D$2-1,IFERROR(INDEX($M$6:$M$88,MATCH(E79,$A$6:$A$88,0)),0),IFERROR(INDEX($M$6:$M$88,MATCH(F79,$A$6:$A$88,0)),0),IFERROR(INDEX($M$6:$M$88,MATCH(G79,$A$6:$A$88,0)),0),IFERROR(INDEX($M$6:$M$88,MATCH(H79,$A$6:$A$88,0)),0),IFERROR(INDEX($M$6:$M$88,MATCH(I79,$A$6:$A$88,0)),0),IFERROR(INDEX($M$6:$M$88,MATCH(J79,$A$6:$A$88,0)),0))</f>
        <v/>
      </c>
      <c r="L79" s="11">
        <f>IF(D79=0,IF(COUNTA(E79:J79)=0,$D$2,K79),WORKDAY.INTL(K79,1,$D$3))</f>
        <v/>
      </c>
      <c r="M79" s="11">
        <f>IF(D79=0,L79,WORKDAY.INTL(L79,D79-1,$D$3))</f>
        <v/>
      </c>
      <c r="N79" s="9" t="n"/>
      <c r="O79" s="10" t="inlineStr">
        <is>
          <t>הנחה</t>
        </is>
      </c>
    </row>
    <row r="80">
      <c r="A80" s="9" t="inlineStr">
        <is>
          <t>V010</t>
        </is>
      </c>
      <c r="B80" s="10" t="inlineStr">
        <is>
          <t>עבודות עפר ופילוס (65 מ״ר) ומערכת ניקוז מי נגר</t>
        </is>
      </c>
      <c r="C80" s="10" t="inlineStr">
        <is>
          <t>17.01, 17.02</t>
        </is>
      </c>
      <c r="D80" s="9" t="n">
        <v>8</v>
      </c>
      <c r="E80" s="9" t="inlineStr">
        <is>
          <t>X020</t>
        </is>
      </c>
      <c r="F80" s="9" t="n"/>
      <c r="G80" s="9" t="n"/>
      <c r="H80" s="9" t="n"/>
      <c r="I80" s="9" t="n"/>
      <c r="J80" s="9" t="n"/>
      <c r="K80" s="11">
        <f>MAX($D$2-1,IFERROR(INDEX($M$6:$M$88,MATCH(E80,$A$6:$A$88,0)),0),IFERROR(INDEX($M$6:$M$88,MATCH(F80,$A$6:$A$88,0)),0),IFERROR(INDEX($M$6:$M$88,MATCH(G80,$A$6:$A$88,0)),0),IFERROR(INDEX($M$6:$M$88,MATCH(H80,$A$6:$A$88,0)),0),IFERROR(INDEX($M$6:$M$88,MATCH(I80,$A$6:$A$88,0)),0),IFERROR(INDEX($M$6:$M$88,MATCH(J80,$A$6:$A$88,0)),0))</f>
        <v/>
      </c>
      <c r="L80" s="11">
        <f>IF(D80=0,IF(COUNTA(E80:J80)=0,$D$2,K80),WORKDAY.INTL(K80,1,$D$3))</f>
        <v/>
      </c>
      <c r="M80" s="11">
        <f>IF(D80=0,L80,WORKDAY.INTL(L80,D80-1,$D$3))</f>
        <v/>
      </c>
      <c r="N80" s="9" t="n"/>
      <c r="O80" s="10" t="inlineStr">
        <is>
          <t>הנחה</t>
        </is>
      </c>
    </row>
    <row r="81">
      <c r="A81" s="9" t="inlineStr">
        <is>
          <t>V020</t>
        </is>
      </c>
      <c r="B81" s="10" t="inlineStr">
        <is>
          <t>גינון, השקיה, ברזי גינה ותאורת גן</t>
        </is>
      </c>
      <c r="C81" s="10" t="inlineStr">
        <is>
          <t>17.04, 17.05</t>
        </is>
      </c>
      <c r="D81" s="9" t="n">
        <v>10</v>
      </c>
      <c r="E81" s="9" t="inlineStr">
        <is>
          <t>V010</t>
        </is>
      </c>
      <c r="F81" s="9" t="inlineStr">
        <is>
          <t>T030</t>
        </is>
      </c>
      <c r="G81" s="9" t="n"/>
      <c r="H81" s="9" t="n"/>
      <c r="I81" s="9" t="n"/>
      <c r="J81" s="9" t="n"/>
      <c r="K81" s="11">
        <f>MAX($D$2-1,IFERROR(INDEX($M$6:$M$88,MATCH(E81,$A$6:$A$88,0)),0),IFERROR(INDEX($M$6:$M$88,MATCH(F81,$A$6:$A$88,0)),0),IFERROR(INDEX($M$6:$M$88,MATCH(G81,$A$6:$A$88,0)),0),IFERROR(INDEX($M$6:$M$88,MATCH(H81,$A$6:$A$88,0)),0),IFERROR(INDEX($M$6:$M$88,MATCH(I81,$A$6:$A$88,0)),0),IFERROR(INDEX($M$6:$M$88,MATCH(J81,$A$6:$A$88,0)),0))</f>
        <v/>
      </c>
      <c r="L81" s="11">
        <f>IF(D81=0,IF(COUNTA(E81:J81)=0,$D$2,K81),WORKDAY.INTL(K81,1,$D$3))</f>
        <v/>
      </c>
      <c r="M81" s="11">
        <f>IF(D81=0,L81,WORKDAY.INTL(L81,D81-1,$D$3))</f>
        <v/>
      </c>
      <c r="N81" s="9" t="n"/>
      <c r="O81" s="10" t="inlineStr">
        <is>
          <t>הנחה</t>
        </is>
      </c>
    </row>
    <row r="82">
      <c r="A82" s="7" t="inlineStr">
        <is>
          <t>10. בדיקות ומסירה</t>
        </is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</row>
    <row r="83">
      <c r="A83" s="9" t="inlineStr">
        <is>
          <t>H010</t>
        </is>
      </c>
      <c r="B83" s="10" t="inlineStr">
        <is>
          <t>בדיקת חשמלאי בודק סופית וטופס 4</t>
        </is>
      </c>
      <c r="C83" s="10" t="inlineStr">
        <is>
          <t>06.09</t>
        </is>
      </c>
      <c r="D83" s="9" t="n">
        <v>3</v>
      </c>
      <c r="E83" s="9" t="inlineStr">
        <is>
          <t>E020</t>
        </is>
      </c>
      <c r="F83" s="9" t="inlineStr">
        <is>
          <t>E030</t>
        </is>
      </c>
      <c r="G83" s="9" t="inlineStr">
        <is>
          <t>E040</t>
        </is>
      </c>
      <c r="H83" s="9" t="inlineStr">
        <is>
          <t>C020</t>
        </is>
      </c>
      <c r="I83" s="9" t="inlineStr">
        <is>
          <t>L030</t>
        </is>
      </c>
      <c r="J83" s="9" t="n"/>
      <c r="K83" s="11">
        <f>MAX($D$2-1,IFERROR(INDEX($M$6:$M$88,MATCH(E83,$A$6:$A$88,0)),0),IFERROR(INDEX($M$6:$M$88,MATCH(F83,$A$6:$A$88,0)),0),IFERROR(INDEX($M$6:$M$88,MATCH(G83,$A$6:$A$88,0)),0),IFERROR(INDEX($M$6:$M$88,MATCH(H83,$A$6:$A$88,0)),0),IFERROR(INDEX($M$6:$M$88,MATCH(I83,$A$6:$A$88,0)),0),IFERROR(INDEX($M$6:$M$88,MATCH(J83,$A$6:$A$88,0)),0))</f>
        <v/>
      </c>
      <c r="L83" s="11">
        <f>IF(D83=0,IF(COUNTA(E83:J83)=0,$D$2,K83),WORKDAY.INTL(K83,1,$D$3))</f>
        <v/>
      </c>
      <c r="M83" s="11">
        <f>IF(D83=0,L83,WORKDAY.INTL(L83,D83-1,$D$3))</f>
        <v/>
      </c>
      <c r="N83" s="9" t="n"/>
      <c r="O83" s="10" t="inlineStr">
        <is>
          <t>הנחה</t>
        </is>
      </c>
    </row>
    <row r="84">
      <c r="A84" s="9" t="inlineStr">
        <is>
          <t>H020</t>
        </is>
      </c>
      <c r="B84" s="10" t="inlineStr">
        <is>
          <t>בדיקות מערכות סופיות: מים, ניקוז, מיזוג</t>
        </is>
      </c>
      <c r="C84" s="10" t="inlineStr">
        <is>
          <t>—</t>
        </is>
      </c>
      <c r="D84" s="9" t="n">
        <v>4</v>
      </c>
      <c r="E84" s="9" t="inlineStr">
        <is>
          <t>P020</t>
        </is>
      </c>
      <c r="F84" s="9" t="inlineStr">
        <is>
          <t>M020</t>
        </is>
      </c>
      <c r="G84" s="9" t="n"/>
      <c r="H84" s="9" t="n"/>
      <c r="I84" s="9" t="n"/>
      <c r="J84" s="9" t="n"/>
      <c r="K84" s="11">
        <f>MAX($D$2-1,IFERROR(INDEX($M$6:$M$88,MATCH(E84,$A$6:$A$88,0)),0),IFERROR(INDEX($M$6:$M$88,MATCH(F84,$A$6:$A$88,0)),0),IFERROR(INDEX($M$6:$M$88,MATCH(G84,$A$6:$A$88,0)),0),IFERROR(INDEX($M$6:$M$88,MATCH(H84,$A$6:$A$88,0)),0),IFERROR(INDEX($M$6:$M$88,MATCH(I84,$A$6:$A$88,0)),0),IFERROR(INDEX($M$6:$M$88,MATCH(J84,$A$6:$A$88,0)),0))</f>
        <v/>
      </c>
      <c r="L84" s="11">
        <f>IF(D84=0,IF(COUNTA(E84:J84)=0,$D$2,K84),WORKDAY.INTL(K84,1,$D$3))</f>
        <v/>
      </c>
      <c r="M84" s="11">
        <f>IF(D84=0,L84,WORKDAY.INTL(L84,D84-1,$D$3))</f>
        <v/>
      </c>
      <c r="N84" s="12" t="inlineStr">
        <is>
          <t>כן</t>
        </is>
      </c>
      <c r="O84" s="10" t="inlineStr">
        <is>
          <t>הנחה</t>
        </is>
      </c>
    </row>
    <row r="85">
      <c r="A85" s="9" t="inlineStr">
        <is>
          <t>H030</t>
        </is>
      </c>
      <c r="B85" s="10" t="inlineStr">
        <is>
          <t>ניקיון סופי</t>
        </is>
      </c>
      <c r="C85" s="10" t="inlineStr">
        <is>
          <t>—</t>
        </is>
      </c>
      <c r="D85" s="9" t="n">
        <v>3</v>
      </c>
      <c r="E85" s="9" t="inlineStr">
        <is>
          <t>F020</t>
        </is>
      </c>
      <c r="F85" s="9" t="inlineStr">
        <is>
          <t>P020</t>
        </is>
      </c>
      <c r="G85" s="9" t="inlineStr">
        <is>
          <t>V020</t>
        </is>
      </c>
      <c r="H85" s="9" t="inlineStr">
        <is>
          <t>L040</t>
        </is>
      </c>
      <c r="I85" s="9" t="inlineStr">
        <is>
          <t>Z010</t>
        </is>
      </c>
      <c r="J85" s="9" t="inlineStr">
        <is>
          <t>L020</t>
        </is>
      </c>
      <c r="K85" s="11">
        <f>MAX($D$2-1,IFERROR(INDEX($M$6:$M$88,MATCH(E85,$A$6:$A$88,0)),0),IFERROR(INDEX($M$6:$M$88,MATCH(F85,$A$6:$A$88,0)),0),IFERROR(INDEX($M$6:$M$88,MATCH(G85,$A$6:$A$88,0)),0),IFERROR(INDEX($M$6:$M$88,MATCH(H85,$A$6:$A$88,0)),0),IFERROR(INDEX($M$6:$M$88,MATCH(I85,$A$6:$A$88,0)),0),IFERROR(INDEX($M$6:$M$88,MATCH(J85,$A$6:$A$88,0)),0))</f>
        <v/>
      </c>
      <c r="L85" s="11">
        <f>IF(D85=0,IF(COUNTA(E85:J85)=0,$D$2,K85),WORKDAY.INTL(K85,1,$D$3))</f>
        <v/>
      </c>
      <c r="M85" s="11">
        <f>IF(D85=0,L85,WORKDAY.INTL(L85,D85-1,$D$3))</f>
        <v/>
      </c>
      <c r="N85" s="9" t="n"/>
      <c r="O85" s="10" t="inlineStr">
        <is>
          <t>הנחה</t>
        </is>
      </c>
    </row>
    <row r="86">
      <c r="A86" s="9" t="inlineStr">
        <is>
          <t>H040</t>
        </is>
      </c>
      <c r="B86" s="10" t="inlineStr">
        <is>
          <t>סיור בדק מול המעצבת ורשימת ליקויים</t>
        </is>
      </c>
      <c r="C86" s="10" t="inlineStr">
        <is>
          <t>—</t>
        </is>
      </c>
      <c r="D86" s="9" t="n">
        <v>3</v>
      </c>
      <c r="E86" s="9" t="inlineStr">
        <is>
          <t>H010</t>
        </is>
      </c>
      <c r="F86" s="9" t="inlineStr">
        <is>
          <t>H020</t>
        </is>
      </c>
      <c r="G86" s="9" t="inlineStr">
        <is>
          <t>H030</t>
        </is>
      </c>
      <c r="H86" s="9" t="n"/>
      <c r="I86" s="9" t="n"/>
      <c r="J86" s="9" t="n"/>
      <c r="K86" s="11">
        <f>MAX($D$2-1,IFERROR(INDEX($M$6:$M$88,MATCH(E86,$A$6:$A$88,0)),0),IFERROR(INDEX($M$6:$M$88,MATCH(F86,$A$6:$A$88,0)),0),IFERROR(INDEX($M$6:$M$88,MATCH(G86,$A$6:$A$88,0)),0),IFERROR(INDEX($M$6:$M$88,MATCH(H86,$A$6:$A$88,0)),0),IFERROR(INDEX($M$6:$M$88,MATCH(I86,$A$6:$A$88,0)),0),IFERROR(INDEX($M$6:$M$88,MATCH(J86,$A$6:$A$88,0)),0))</f>
        <v/>
      </c>
      <c r="L86" s="11">
        <f>IF(D86=0,IF(COUNTA(E86:J86)=0,$D$2,K86),WORKDAY.INTL(K86,1,$D$3))</f>
        <v/>
      </c>
      <c r="M86" s="11">
        <f>IF(D86=0,L86,WORKDAY.INTL(L86,D86-1,$D$3))</f>
        <v/>
      </c>
      <c r="N86" s="12" t="inlineStr">
        <is>
          <t>כן</t>
        </is>
      </c>
      <c r="O86" s="10" t="inlineStr">
        <is>
          <t>הנחה</t>
        </is>
      </c>
    </row>
    <row r="87">
      <c r="A87" s="9" t="inlineStr">
        <is>
          <t>H050</t>
        </is>
      </c>
      <c r="B87" s="10" t="inlineStr">
        <is>
          <t>תיקון ליקויים</t>
        </is>
      </c>
      <c r="C87" s="10" t="inlineStr">
        <is>
          <t>—</t>
        </is>
      </c>
      <c r="D87" s="9" t="n">
        <v>8</v>
      </c>
      <c r="E87" s="9" t="inlineStr">
        <is>
          <t>H040</t>
        </is>
      </c>
      <c r="F87" s="9" t="n"/>
      <c r="G87" s="9" t="n"/>
      <c r="H87" s="9" t="n"/>
      <c r="I87" s="9" t="n"/>
      <c r="J87" s="9" t="n"/>
      <c r="K87" s="11">
        <f>MAX($D$2-1,IFERROR(INDEX($M$6:$M$88,MATCH(E87,$A$6:$A$88,0)),0),IFERROR(INDEX($M$6:$M$88,MATCH(F87,$A$6:$A$88,0)),0),IFERROR(INDEX($M$6:$M$88,MATCH(G87,$A$6:$A$88,0)),0),IFERROR(INDEX($M$6:$M$88,MATCH(H87,$A$6:$A$88,0)),0),IFERROR(INDEX($M$6:$M$88,MATCH(I87,$A$6:$A$88,0)),0),IFERROR(INDEX($M$6:$M$88,MATCH(J87,$A$6:$A$88,0)),0))</f>
        <v/>
      </c>
      <c r="L87" s="11">
        <f>IF(D87=0,IF(COUNTA(E87:J87)=0,$D$2,K87),WORKDAY.INTL(K87,1,$D$3))</f>
        <v/>
      </c>
      <c r="M87" s="11">
        <f>IF(D87=0,L87,WORKDAY.INTL(L87,D87-1,$D$3))</f>
        <v/>
      </c>
      <c r="N87" s="12" t="inlineStr">
        <is>
          <t>כן</t>
        </is>
      </c>
      <c r="O87" s="10" t="inlineStr">
        <is>
          <t>הנחה</t>
        </is>
      </c>
    </row>
    <row r="88">
      <c r="A88" s="9" t="inlineStr">
        <is>
          <t>H060</t>
        </is>
      </c>
      <c r="B88" s="10" t="inlineStr">
        <is>
          <t>מסירה למזמין</t>
        </is>
      </c>
      <c r="C88" s="10" t="inlineStr">
        <is>
          <t>—</t>
        </is>
      </c>
      <c r="D88" s="9" t="n">
        <v>0</v>
      </c>
      <c r="E88" s="9" t="inlineStr">
        <is>
          <t>H050</t>
        </is>
      </c>
      <c r="F88" s="9" t="n"/>
      <c r="G88" s="9" t="n"/>
      <c r="H88" s="9" t="n"/>
      <c r="I88" s="9" t="n"/>
      <c r="J88" s="9" t="n"/>
      <c r="K88" s="11">
        <f>MAX($D$2-1,IFERROR(INDEX($M$6:$M$88,MATCH(E88,$A$6:$A$88,0)),0),IFERROR(INDEX($M$6:$M$88,MATCH(F88,$A$6:$A$88,0)),0),IFERROR(INDEX($M$6:$M$88,MATCH(G88,$A$6:$A$88,0)),0),IFERROR(INDEX($M$6:$M$88,MATCH(H88,$A$6:$A$88,0)),0),IFERROR(INDEX($M$6:$M$88,MATCH(I88,$A$6:$A$88,0)),0),IFERROR(INDEX($M$6:$M$88,MATCH(J88,$A$6:$A$88,0)),0))</f>
        <v/>
      </c>
      <c r="L88" s="11">
        <f>IF(D88=0,IF(COUNTA(E88:J88)=0,$D$2,K88),WORKDAY.INTL(K88,1,$D$3))</f>
        <v/>
      </c>
      <c r="M88" s="11">
        <f>IF(D88=0,L88,WORKDAY.INTL(L88,D88-1,$D$3))</f>
        <v/>
      </c>
      <c r="N88" s="12" t="inlineStr">
        <is>
          <t>כן</t>
        </is>
      </c>
      <c r="O88" s="10" t="inlineStr">
        <is>
          <t>אבן דרך</t>
        </is>
      </c>
    </row>
    <row r="90">
      <c r="B90" s="13" t="inlineStr">
        <is>
          <t>סיום הפרויקט (מסירה)</t>
        </is>
      </c>
      <c r="M90" s="14">
        <f>MAX($M$6:$M$88)</f>
        <v/>
      </c>
    </row>
    <row r="91">
      <c r="B91" s="13" t="inlineStr">
        <is>
          <t>משך כולל בשבועות</t>
        </is>
      </c>
      <c r="M91" s="13">
        <f>ROUND((M90-$D$2)/7,1)</f>
        <v/>
      </c>
    </row>
    <row r="92">
      <c r="B92" t="inlineStr">
        <is>
          <t>* נתיב קריטי מחושב סטטית בעת יצירת הקובץ לפי המשכים והקודמות שהוגדרו. שינוי משכים לא יעדכן את העמודה.</t>
        </is>
      </c>
    </row>
  </sheetData>
  <mergeCells count="1">
    <mergeCell ref="F2:O3"/>
  </mergeCells>
  <conditionalFormatting sqref="P6:BO88">
    <cfRule type="expression" priority="1" dxfId="0" stopIfTrue="1">
      <formula>AND($D6=0,$A6&lt;&gt;"",$L6&gt;=P$5,$L6&lt;=P$5+6)</formula>
    </cfRule>
    <cfRule type="expression" priority="2" dxfId="1" stopIfTrue="1">
      <formula>AND($N6="כן",$D6&gt;0,$L6&lt;=P$5+6,$M6&gt;=P$5)</formula>
    </cfRule>
    <cfRule type="expression" priority="3" dxfId="2">
      <formula>AND($D6&gt;0,$L6&lt;=P$5+6,$M6&gt;=P$5)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90" customWidth="1" min="3" max="3"/>
    <col width="60" customWidth="1" min="4" max="4"/>
  </cols>
  <sheetData>
    <row r="1">
      <c r="A1" s="15" t="inlineStr">
        <is>
          <t>#</t>
        </is>
      </c>
      <c r="B1" s="15" t="inlineStr">
        <is>
          <t>סוג</t>
        </is>
      </c>
      <c r="C1" s="15" t="inlineStr">
        <is>
          <t>תיאור</t>
        </is>
      </c>
      <c r="D1" s="15" t="inlineStr">
        <is>
          <t>השפעה / פעולה</t>
        </is>
      </c>
    </row>
    <row r="2">
      <c r="A2" s="3" t="n">
        <v>1</v>
      </c>
      <c r="B2" s="3" t="inlineStr">
        <is>
          <t>הנחה</t>
        </is>
      </c>
      <c r="C2" s="3" t="inlineStr">
        <is>
          <t>תחילת עבודה 01/11/2026 (יום א׳), שבוע עבודה א׳–ה׳. אין התחשבות בחגים, מזג אוויר או ימי גשם</t>
        </is>
      </c>
      <c r="D2" s="3" t="inlineStr">
        <is>
          <t>להוסיף חגים כרשימת תאריכים; עבודות גג, חזית ופיתוח בחורף חיפה חשופות לעיכוב</t>
        </is>
      </c>
    </row>
    <row r="3">
      <c r="A3" s="3" t="n">
        <v>2</v>
      </c>
      <c r="B3" s="3" t="inlineStr">
        <is>
          <t>הנחה</t>
        </is>
      </c>
      <c r="C3" s="3" t="inlineStr">
        <is>
          <t>כל המשכים הם הנחות: לא התקבלו נתוני צוותים, קצבי ביצוע או לוח זמנים חוזי. סדר העבודה ותנאי המעבר נלקחו ממפרט פרקים 1–15</t>
        </is>
      </c>
      <c r="D3" s="3" t="inlineStr">
        <is>
          <t>לאמת מול מנהל העבודה ותנאי החוזה</t>
        </is>
      </c>
    </row>
    <row r="4">
      <c r="A4" s="3" t="n">
        <v>3</v>
      </c>
      <c r="B4" s="3" t="inlineStr">
        <is>
          <t>סיכון</t>
        </is>
      </c>
      <c r="C4" s="3" t="inlineStr">
        <is>
          <t>שלד: חדר גלריה, מרפסת, פרגולה ומדרגות כניסה בהיקף קומפלט לפי קונסטרוקטור, ותוכניות הקונסטרוקציה לא התקבלו במלואן</t>
        </is>
      </c>
      <c r="D4" s="3" t="inlineStr">
        <is>
          <t>משך 35 ימי עבודה הוא הערכה גסה; משפיע על כל הפרויקט</t>
        </is>
      </c>
    </row>
    <row r="5">
      <c r="A5" s="3" t="n">
        <v>4</v>
      </c>
      <c r="B5" s="3" t="inlineStr">
        <is>
          <t>סיכון</t>
        </is>
      </c>
      <c r="C5" s="3" t="inlineStr">
        <is>
          <t>חברת החשמל: פילר והגדלת חיבור ל-3×40 (40 ימי עבודה בהנחה) – לא בשליטת הקבלן</t>
        </is>
      </c>
      <c r="D5" s="3" t="inlineStr">
        <is>
          <t>להגיש מיד בתחילת הפרויקט; תנאי לחיבור סופי וטופס 4</t>
        </is>
      </c>
    </row>
    <row r="6">
      <c r="A6" s="3" t="n">
        <v>5</v>
      </c>
      <c r="B6" s="3" t="inlineStr">
        <is>
          <t>סיכון</t>
        </is>
      </c>
      <c r="C6" s="3" t="inlineStr">
        <is>
          <t>אספקה: אלומיניום ודלתות (30 ימים), שערים ותריסים (30), אריחי פורמט גדול (20) – תלויים באישור דגמים ובמדידת פתחים לאחר הריסה</t>
        </is>
      </c>
      <c r="D6" s="3" t="inlineStr">
        <is>
          <t>להקדים אישורי דגמים; מדידת פתחים רק לאחר הריסה</t>
        </is>
      </c>
    </row>
    <row r="7">
      <c r="A7" s="3" t="n">
        <v>6</v>
      </c>
      <c r="B7" s="3" t="inlineStr">
        <is>
          <t>סיכון</t>
        </is>
      </c>
      <c r="C7" s="3" t="inlineStr">
        <is>
          <t>סעיפים ללא כמות בכתב הכמויות (מיזוג, חשמל, תאורה, דודים, תקשורת) – משכי ההתקנה משוערים</t>
        </is>
      </c>
      <c r="D7" s="3" t="inlineStr">
        <is>
          <t>לעדכן לאחר קבלת תוכניות</t>
        </is>
      </c>
    </row>
    <row r="8">
      <c r="A8" s="3" t="n">
        <v>7</v>
      </c>
      <c r="B8" s="3" t="inlineStr">
        <is>
          <t>סיכון</t>
        </is>
      </c>
      <c r="C8" s="3" t="inlineStr">
        <is>
          <t>הערת מתכננת פתוחה ביחידת מיזוג במרתף: אין לבצע באזור זה לפני אישור בכתב</t>
        </is>
      </c>
      <c r="D8" s="3" t="inlineStr">
        <is>
          <t>לסגור לפני M010/M020</t>
        </is>
      </c>
    </row>
    <row r="9">
      <c r="A9" s="3" t="n">
        <v>8</v>
      </c>
      <c r="B9" s="3" t="inlineStr">
        <is>
          <t>אילוץ</t>
        </is>
      </c>
      <c r="C9" s="3" t="inlineStr">
        <is>
          <t>תנאי מעבר מחייבים בכתב: מתכננת (לפני הריסה), קונסטרוקטור (אחרי הריסה ואחרי שלד), חשמלאי בודק (לפני גבס וצבע), יועץ איטום (לפני ריצוף ברטוב), בדיקת הצפה 48–72 שעות</t>
        </is>
      </c>
      <c r="D9" s="3" t="inlineStr">
        <is>
          <t>כלולים כמשימות בלוח</t>
        </is>
      </c>
    </row>
    <row r="10">
      <c r="A10" s="3" t="n">
        <v>9</v>
      </c>
      <c r="B10" s="3" t="inlineStr">
        <is>
          <t>החרגה</t>
        </is>
      </c>
      <c r="C10" s="3" t="inlineStr">
        <is>
          <t>בריכה – מחוץ לטווח ולא מופיעה בלוח</t>
        </is>
      </c>
      <c r="D10" s="3" t="inlineStr">
        <is>
          <t>—</t>
        </is>
      </c>
    </row>
    <row r="11">
      <c r="A11" s="3" t="n">
        <v>10</v>
      </c>
      <c r="B11" s="3" t="inlineStr">
        <is>
          <t>החרגה</t>
        </is>
      </c>
      <c r="C11" s="3" t="inlineStr">
        <is>
          <t>נגרות (מטבחים, ארונות רחצה, הלבשה) – לא התקבלו תוכניות ולכן לא בלוח</t>
        </is>
      </c>
      <c r="D11" s="3" t="inlineStr">
        <is>
          <t>להוסיף כשתתקבל החלטה</t>
        </is>
      </c>
    </row>
    <row r="12">
      <c r="A12" s="3" t="n">
        <v>11</v>
      </c>
      <c r="B12" s="3" t="inlineStr">
        <is>
          <t>הערה</t>
        </is>
      </c>
      <c r="C12" s="3" t="inlineStr">
        <is>
          <t>דלתות פנים (L020) מותקנות אחרי צבע סופי; מפרט הפרק 16 לא מגדיר סדר. לאישור מול מנהל העבודה</t>
        </is>
      </c>
      <c r="D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2026-10-08T23:50:08Z</dcterms:created>
  <dcterms:modified xmlns:dcterms="http://purl.org/dc/terms/" xmlns:xsi="http://www.w3.org/2001/XMLSchema-instance" xsi:type="dcterms:W3CDTF">2026-10-08T23:50:08Z</dcterms:modified>
</cp:coreProperties>
</file>