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upuesto" sheetId="1" r:id="rId1"/>
    <sheet name="Resumen" sheetId="2" r:id="rId2"/>
    <sheet name="Condiciones y exclusiones" sheetId="3" r:id="rId3"/>
    <sheet name="Estudio de mercado (interno)" sheetId="4" r:id="rId4"/>
  </sheets>
  <definedNames>
    <definedName name="_xlnm.Print_Titles" localSheetId="0">Presupuesto!$5:$5</definedName>
  </definedNames>
  <calcPr calcId="124519" fullCalcOnLoad="1"/>
</workbook>
</file>

<file path=xl/sharedStrings.xml><?xml version="1.0" encoding="utf-8"?>
<sst xmlns="http://schemas.openxmlformats.org/spreadsheetml/2006/main" count="686" uniqueCount="491">
  <si>
    <t>PRESUPUESTO — Reforma y ampliación, calle Shlonsky 53, Haifa</t>
  </si>
  <si>
    <t>Propiedad: Zohar Mor Yosef y Rami Dana   |   Contratista: [Nombre del contratista]   |   Fecha: 14/10/2026   |   Presupuesto n.º: [__]</t>
  </si>
  <si>
    <t>Todos los importes en EUR (€), sin IVA, base de precios octubre 2026. Los precios unitarios incluyen gastos generales y beneficio del contratista (15 %).</t>
  </si>
  <si>
    <t>Partida</t>
  </si>
  <si>
    <t>Designación</t>
  </si>
  <si>
    <t>Descripción</t>
  </si>
  <si>
    <t>Unidad</t>
  </si>
  <si>
    <t>Cant.</t>
  </si>
  <si>
    <t>Precio unitario</t>
  </si>
  <si>
    <t>Importe</t>
  </si>
  <si>
    <t>Observaciones</t>
  </si>
  <si>
    <t>Capítulo 1 — Preparación e instalación de obra</t>
  </si>
  <si>
    <t>01.01</t>
  </si>
  <si>
    <t>Instalación de obra</t>
  </si>
  <si>
    <t>Habilitación de zonas de trabajo y acopio, instalaciones para operarios y coordinación de accesos.</t>
  </si>
  <si>
    <t>global</t>
  </si>
  <si>
    <t>01.02</t>
  </si>
  <si>
    <t>Vallado, señalización y seguridad de obra</t>
  </si>
  <si>
    <t>Vallado provisional, carteles de obra y de peligro y medidas de seguridad necesarias durante la obra.</t>
  </si>
  <si>
    <t>01.03</t>
  </si>
  <si>
    <t>Acometida provisional de agua</t>
  </si>
  <si>
    <t>Acometida provisional de agua desde el punto autorizado, con comprobación.</t>
  </si>
  <si>
    <t>01.04</t>
  </si>
  <si>
    <t>Acometida eléctrica provisional</t>
  </si>
  <si>
    <t>Acometida eléctrica provisional realizada por electricista autorizado, con protecciones y comprobación.</t>
  </si>
  <si>
    <t>01.05</t>
  </si>
  <si>
    <t>Protección de elementos existentes</t>
  </si>
  <si>
    <t>Protecciones de suelos, huecos, ventanas, escaleras, barandillas, paredes y plantas que se conservan.</t>
  </si>
  <si>
    <t>01.06</t>
  </si>
  <si>
    <t>Replanteo, verificación y marcado láser</t>
  </si>
  <si>
    <t>Medición del edificio existente, verificación con los planos de arquitectura e instalaciones y replanteo de posiciones y niveles.</t>
  </si>
  <si>
    <t>01.07</t>
  </si>
  <si>
    <t>Contenedor de residuos y zona de acopio</t>
  </si>
  <si>
    <t>Colocación de contenedor y zona de acopio; retirada de residuos a vertedero autorizado.</t>
  </si>
  <si>
    <t>01.08</t>
  </si>
  <si>
    <t>Limpieza periódica de obra</t>
  </si>
  <si>
    <t>Limpieza periódica de las zonas de trabajo y de paso durante toda la obra.</t>
  </si>
  <si>
    <t>01.09</t>
  </si>
  <si>
    <t>Andamio exterior</t>
  </si>
  <si>
    <t>Montaje, alquiler durante la obra (unos 4,5 meses), mantenimiento y desmontaje de andamio exterior homologado alrededor de las fachadas, para el corte de los marcos de hormigón decorativos y los trabajos de revoco de fachada.</t>
  </si>
  <si>
    <t>m²</t>
  </si>
  <si>
    <t>Cantidad provisional – se medirá en obra</t>
  </si>
  <si>
    <t>Total – Capítulo 1</t>
  </si>
  <si>
    <t>Capítulo 2 — Demoliciones, desmontajes y retirada de residuos</t>
  </si>
  <si>
    <t>02.01</t>
  </si>
  <si>
    <t>Demolición de muros y tabiques – sótano</t>
  </si>
  <si>
    <t>Demolición de muros y tabiques existentes según planos de demolición.</t>
  </si>
  <si>
    <t>02.02</t>
  </si>
  <si>
    <t>Demolición de muros y tabiques – planta baja</t>
  </si>
  <si>
    <t>02.03</t>
  </si>
  <si>
    <t>Demolición de muros y tabiques – primera planta</t>
  </si>
  <si>
    <t>02.04</t>
  </si>
  <si>
    <t>Desmontaje de falsos techos de yeso laminado</t>
  </si>
  <si>
    <t>Desmontaje de los falsos techos de yeso laminado existentes.</t>
  </si>
  <si>
    <t>02.05</t>
  </si>
  <si>
    <t>Levantado de pavimentos existentes</t>
  </si>
  <si>
    <t>Levantado de los pavimentos existentes.</t>
  </si>
  <si>
    <t>02.06</t>
  </si>
  <si>
    <t>Desmontaje de muebles de cocina existentes</t>
  </si>
  <si>
    <t>Desmontaje completo de los muebles de cocina existentes.</t>
  </si>
  <si>
    <t>02.07</t>
  </si>
  <si>
    <t>Desmontaje de otros armarios y carpintería</t>
  </si>
  <si>
    <t>Desmontaje de otros armarios y elementos de carpintería existentes.</t>
  </si>
  <si>
    <t>ud</t>
  </si>
  <si>
    <t>02.08</t>
  </si>
  <si>
    <t>Desmontaje de ventanas de aluminio y persianas existentes</t>
  </si>
  <si>
    <t>Desmontaje completo de las ventanas de aluminio y persianas existentes.</t>
  </si>
  <si>
    <t>02.09</t>
  </si>
  <si>
    <t>Desmontaje de puertas interiores y de entrada y sus marcos</t>
  </si>
  <si>
    <t>Desmontaje completo de las puertas interiores y de entrada y sus marcos.</t>
  </si>
  <si>
    <t>02.10</t>
  </si>
  <si>
    <t>Desmontaje de baños, aseos y aparatos sanitarios</t>
  </si>
  <si>
    <t>Desmontaje completo de baños, aseos y aparatos sanitarios existentes.</t>
  </si>
  <si>
    <t>02.11</t>
  </si>
  <si>
    <t>Desmontaje de puntos, mecanismos y luminarias eléctricas</t>
  </si>
  <si>
    <t>Desmontaje de los puntos, mecanismos y luminarias eléctricas existentes.</t>
  </si>
  <si>
    <t>02.12</t>
  </si>
  <si>
    <t>Desmontaje de fontanería vista existente</t>
  </si>
  <si>
    <t>Desmontaje de las tuberías de fontanería vistas existentes.</t>
  </si>
  <si>
    <t>02.13</t>
  </si>
  <si>
    <t>Desmontaje de unidades de aire acondicionado existentes</t>
  </si>
  <si>
    <t>Desmontaje de las unidades de aire acondicionado interiores y exteriores existentes.</t>
  </si>
  <si>
    <t>02.14</t>
  </si>
  <si>
    <t>Desmontaje de la barandilla de la escalera interior</t>
  </si>
  <si>
    <t>Desmontaje cuidadoso de la barandilla existente, previo a los trabajos de refuerzo.</t>
  </si>
  <si>
    <t>02.15</t>
  </si>
  <si>
    <t>Corte y retirada de marcos de hormigón decorativos</t>
  </si>
  <si>
    <t>Corte y retirada de los marcos de hormigón decorativos alrededor de las ventanas para obtener una fachada lisa y uniforme; desde andamio y con la aprobación escrita del ingeniero de estructuras.</t>
  </si>
  <si>
    <t>ml</t>
  </si>
  <si>
    <t>02.16</t>
  </si>
  <si>
    <t>Clasificación y retirada de residuos a vertedero autorizado</t>
  </si>
  <si>
    <t>Clasificación, carga y transporte de los escombros de demolición a vertedero autorizado, con justificantes.</t>
  </si>
  <si>
    <t>02.17</t>
  </si>
  <si>
    <t>Limpieza a fondo tras la demolición</t>
  </si>
  <si>
    <t>Limpieza a fondo de todas las zonas tras la demolición.</t>
  </si>
  <si>
    <t>02.18</t>
  </si>
  <si>
    <t>Desmontaje de paneles de pared existentes</t>
  </si>
  <si>
    <t>Desmontaje de los paneles de pared existentes en toda la vivienda.</t>
  </si>
  <si>
    <t>02.19</t>
  </si>
  <si>
    <t>Levantado de pavimento granolítico</t>
  </si>
  <si>
    <t>Levantado del pavimento granolítico en aparcamiento, entrada y caminos.</t>
  </si>
  <si>
    <t>02.20</t>
  </si>
  <si>
    <t>Demolición de la escalera de entrada existente</t>
  </si>
  <si>
    <t>Demolición de la escalera de entrada existente, incluido corte, carga y retirada, previa a los nuevos escalones volados.</t>
  </si>
  <si>
    <t>02.21</t>
  </si>
  <si>
    <t>Retirada de césped y plantas de jardín</t>
  </si>
  <si>
    <t>Retirada del césped, arbustos y plantas de jardín existentes en las zonas de urbanización, incluidas raíces, carga y retirada.</t>
  </si>
  <si>
    <t>Total – Capítulo 2</t>
  </si>
  <si>
    <t>Capítulo 3 — Obras de estructura y ampliaciones</t>
  </si>
  <si>
    <t>03.01</t>
  </si>
  <si>
    <t>Ampliación del balcón del salón y nueva pérgola</t>
  </si>
  <si>
    <t>Obra estructural completa según planos y especificaciones del ingeniero de estructuras.</t>
  </si>
  <si>
    <t>Importe global – se ajustará al recibir los planos de estructura</t>
  </si>
  <si>
    <t>03.02</t>
  </si>
  <si>
    <t>Nueva habitación en el nivel de galería</t>
  </si>
  <si>
    <t>Obra estructural completa de la habitación según planos de estructura y arquitectura, incluidas conexiones con la estructura existente y huecos. Acabados e instalaciones en sus capítulos.</t>
  </si>
  <si>
    <t>03.03</t>
  </si>
  <si>
    <t>Nueva entrada y nueva escalera</t>
  </si>
  <si>
    <t>Obra completa de la nueva entrada y escalera según el ingeniero de estructuras.</t>
  </si>
  <si>
    <t>03.04</t>
  </si>
  <si>
    <t>Refuerzo de la escalera interior existente</t>
  </si>
  <si>
    <t>Refuerzo según el ingeniero de estructuras, tras retirar la barandilla.</t>
  </si>
  <si>
    <t>03.05</t>
  </si>
  <si>
    <t>Escalones de entrada volados</t>
  </si>
  <si>
    <t>12 nuevos escalones volados (en voladizo) en la entrada, en sustitución de la escalera existente, de unos 1,15 m de ancho, con armado, anclajes y preparación para el revestimiento, según planos de estructura y arquitectura. Revestimiento en la partida 13.08.</t>
  </si>
  <si>
    <t>Importe global – se ajustará al recibir los planos de estructura; Medida definitiva según lo existente en obra</t>
  </si>
  <si>
    <t>Total – Capítulo 3</t>
  </si>
  <si>
    <t>Capítulo 4 — Nuevos muros de bloque</t>
  </si>
  <si>
    <t>04.01</t>
  </si>
  <si>
    <t>Nuevos muros de bloque (20 cm) – sótano</t>
  </si>
  <si>
    <t>Muros de bloque según planos.</t>
  </si>
  <si>
    <t>04.02</t>
  </si>
  <si>
    <t>Nuevos muros de bloque (20 cm) – planta baja</t>
  </si>
  <si>
    <t>04.03</t>
  </si>
  <si>
    <t>Nuevos muros de bloque (20 cm) – primera planta y galería</t>
  </si>
  <si>
    <t>Total – Capítulo 4</t>
  </si>
  <si>
    <t>Capítulo 5 — Fontanería, aparatos sanitarios y griferías</t>
  </si>
  <si>
    <t>05.01</t>
  </si>
  <si>
    <t>Inodoro suspendido</t>
  </si>
  <si>
    <t>Instalación, fijación al bastidor, conexión a descarga y desagüe, y pruebas.</t>
  </si>
  <si>
    <t>Solo instalación; suministro por la propiedad</t>
  </si>
  <si>
    <t>05.02</t>
  </si>
  <si>
    <t>Cisterna empotrada y bastidor soporte</t>
  </si>
  <si>
    <t>Instalación, anclaje, conexión de agua y al inodoro y prueba de estanqueidad antes de cerrar el revestimiento.</t>
  </si>
  <si>
    <t>05.03</t>
  </si>
  <si>
    <t>Pulsador de descarga</t>
  </si>
  <si>
    <t>Instalación del pulsador compatible con la cisterna empotrada y comprobación.</t>
  </si>
  <si>
    <t>05.04</t>
  </si>
  <si>
    <t>Asiento de inodoro de cierre amortiguado</t>
  </si>
  <si>
    <t>Instalación y ajuste.</t>
  </si>
  <si>
    <t>05.05</t>
  </si>
  <si>
    <t>Lavabo de pie</t>
  </si>
  <si>
    <t>Instalación, fijación, conexión al desagüe y sellado.</t>
  </si>
  <si>
    <t>05.06</t>
  </si>
  <si>
    <t>Grifo de pared</t>
  </si>
  <si>
    <t>Instalación y conexión.</t>
  </si>
  <si>
    <t>05.07</t>
  </si>
  <si>
    <t>Rociador de ducha tipo lluvia</t>
  </si>
  <si>
    <t>05.08</t>
  </si>
  <si>
    <t>Válvula desviadora de 3 vías</t>
  </si>
  <si>
    <t>Instalación de válvula desviadora de 3 vías (tipo Interpoz) y su acabado.</t>
  </si>
  <si>
    <t>05.09</t>
  </si>
  <si>
    <t>Válvula desviadora de 4 vías</t>
  </si>
  <si>
    <t>Instalación de válvula desviadora de 4 vías (tipo Interpoz) y su acabado.</t>
  </si>
  <si>
    <t>05.10</t>
  </si>
  <si>
    <t>Soporte de teleducha</t>
  </si>
  <si>
    <t>Instalación del soporte de teleducha.</t>
  </si>
  <si>
    <t>05.11</t>
  </si>
  <si>
    <t>Canaleta de desagüe lineal 10/10 (duchas)</t>
  </si>
  <si>
    <t>Instalación y conexión de la canaleta.</t>
  </si>
  <si>
    <t>05.12</t>
  </si>
  <si>
    <t>Rebosadero 110 para bañera</t>
  </si>
  <si>
    <t>Instalación del rebosadero.</t>
  </si>
  <si>
    <t>05.13</t>
  </si>
  <si>
    <t>Bañera exenta</t>
  </si>
  <si>
    <t>Instalación y conexión de la bañera exenta.</t>
  </si>
  <si>
    <t>05.15</t>
  </si>
  <si>
    <t>Grifo llenabañeras</t>
  </si>
  <si>
    <t>Instalación del grifo llenabañeras.</t>
  </si>
  <si>
    <t>05.16</t>
  </si>
  <si>
    <t>Fregadero de cocina</t>
  </si>
  <si>
    <t>Instalado por el proveedor de la encimera.</t>
  </si>
  <si>
    <t>Por el proveedor de la encimera</t>
  </si>
  <si>
    <t>05.17</t>
  </si>
  <si>
    <t>Grifo de cocina extraíble</t>
  </si>
  <si>
    <t>Instalación, conexión y prueba de funcionamiento.</t>
  </si>
  <si>
    <t>05.18</t>
  </si>
  <si>
    <t>Fregadero de cocina exterior</t>
  </si>
  <si>
    <t>05.19</t>
  </si>
  <si>
    <t>Grifo exterior extraíble</t>
  </si>
  <si>
    <t>05.20</t>
  </si>
  <si>
    <t>Lavabo sobre encimera / pila – aseo de invitados</t>
  </si>
  <si>
    <t>05.21</t>
  </si>
  <si>
    <t>Grifo tipo « Nil »</t>
  </si>
  <si>
    <t>Instalación del grifo.</t>
  </si>
  <si>
    <t>05.22</t>
  </si>
  <si>
    <t>Grifo con mueble de baño – conjunto</t>
  </si>
  <si>
    <t>Instalación del grifo y del mueble de baño como conjunto.</t>
  </si>
  <si>
    <t>05.23</t>
  </si>
  <si>
    <t>Rebosadero exterior 60</t>
  </si>
  <si>
    <t>Instalación del rebosadero exterior.</t>
  </si>
  <si>
    <t>05.24</t>
  </si>
  <si>
    <t>Fregadero de bar</t>
  </si>
  <si>
    <t>05.25</t>
  </si>
  <si>
    <t>Punto de agua fría y caliente</t>
  </si>
  <si>
    <t>Tubería de suministro y punto.</t>
  </si>
  <si>
    <t>pt</t>
  </si>
  <si>
    <t>05.26</t>
  </si>
  <si>
    <t>Punto de agua fría para cisterna</t>
  </si>
  <si>
    <t>05.27</t>
  </si>
  <si>
    <t>Punto de saneamiento para inodoro</t>
  </si>
  <si>
    <t>Tubería de desagüe y punto.</t>
  </si>
  <si>
    <t>05.28</t>
  </si>
  <si>
    <t>Punto de desagüe para lavabo y bañera</t>
  </si>
  <si>
    <t>05.29</t>
  </si>
  <si>
    <t>Punto de agua y desagüe para lavadora</t>
  </si>
  <si>
    <t>Puntos de suministro y desagüe.</t>
  </si>
  <si>
    <t>05.30</t>
  </si>
  <si>
    <t>Grifo de servicio</t>
  </si>
  <si>
    <t>Instalación del grifo de servicio.</t>
  </si>
  <si>
    <t>05.32</t>
  </si>
  <si>
    <t>Líneas generales de suministro y colectores por planta</t>
  </si>
  <si>
    <t>Líneas generales de agua y colectores a nivel de planta.</t>
  </si>
  <si>
    <t>05.33</t>
  </si>
  <si>
    <t>Red principal de saneamiento y drenaje</t>
  </si>
  <si>
    <t>Red principal de saneamiento y drenaje.</t>
  </si>
  <si>
    <t>05.34</t>
  </si>
  <si>
    <t>Termo de agua – instalación y conexión</t>
  </si>
  <si>
    <t>Instalación y conexión del termo de agua.</t>
  </si>
  <si>
    <t>05.35</t>
  </si>
  <si>
    <t>Pruebas de presión y estanqueidad, planos finales de obra</t>
  </si>
  <si>
    <t>Pruebas de las instalaciones de fontanería y documentación final de obra.</t>
  </si>
  <si>
    <t>Total – Capítulo 5</t>
  </si>
  <si>
    <t>Capítulo 6 — Instalación eléctrica</t>
  </si>
  <si>
    <t>06.01</t>
  </si>
  <si>
    <t>Punto de enchufe estándar</t>
  </si>
  <si>
    <t>Cableado al circuito correspondiente, mecanismo y comprobación.</t>
  </si>
  <si>
    <t>06.02</t>
  </si>
  <si>
    <t>Punto de enchufe estanco</t>
  </si>
  <si>
    <t>Punto de enchufe estanco (IP44 o superior).</t>
  </si>
  <si>
    <t>06.03</t>
  </si>
  <si>
    <t>Preinstalación para persiana eléctrica</t>
  </si>
  <si>
    <t>Canalización y cableado para el accionamiento de la persiana eléctrica.</t>
  </si>
  <si>
    <t>06.05</t>
  </si>
  <si>
    <t>Punto de enchufe trifásico</t>
  </si>
  <si>
    <t>Punto de enchufe trifásico.</t>
  </si>
  <si>
    <t>06.06</t>
  </si>
  <si>
    <t>Ampliación del cuadro eléctrico principal</t>
  </si>
  <si>
    <t>Ampliación del cuadro principal para la carga total añadida.</t>
  </si>
  <si>
    <t>06.07</t>
  </si>
  <si>
    <t>Pilar de la compañía eléctrica – suministro e instalación</t>
  </si>
  <si>
    <t>Suministro e instalación del nuevo pilar de la compañía eléctrica en la entrada de la parcela.</t>
  </si>
  <si>
    <t>06.09</t>
  </si>
  <si>
    <t>Inspección eléctrica final</t>
  </si>
  <si>
    <t>Inspección final por técnico autorizado, certificado e informe de pruebas.</t>
  </si>
  <si>
    <t>06.10</t>
  </si>
  <si>
    <t>Punto de toma de fuerza</t>
  </si>
  <si>
    <t>Punto de toma de fuerza.</t>
  </si>
  <si>
    <t>06.11</t>
  </si>
  <si>
    <t>Punto de alimentación para aire acondicionado</t>
  </si>
  <si>
    <t>Punto de alimentación dedicado para una unidad de aire acondicionado.</t>
  </si>
  <si>
    <t>06.12</t>
  </si>
  <si>
    <t>Conexión directa al cuadro – encimera, horno y electrodomésticos dedicados</t>
  </si>
  <si>
    <t>Conexión directa al cuadro en línea dedicada con protección independiente para cada aparato (encimera, horno, lavavajillas, secadora y otros), incluidos cable, canalización, conexión final y pruebas.</t>
  </si>
  <si>
    <t>06.13</t>
  </si>
  <si>
    <t>Interruptor de termo con piloto</t>
  </si>
  <si>
    <t>Interruptor de termo con piloto luminoso.</t>
  </si>
  <si>
    <t>Total – Capítulo 6</t>
  </si>
  <si>
    <t>Capítulo 7 — Iluminación e interruptores</t>
  </si>
  <si>
    <t>07.01</t>
  </si>
  <si>
    <t>Interruptores de alumbrado (simples)</t>
  </si>
  <si>
    <t>Instalación de interruptores de alumbrado.</t>
  </si>
  <si>
    <t>07.02</t>
  </si>
  <si>
    <t>Conmutadores</t>
  </si>
  <si>
    <t>Instalación de conmutadores.</t>
  </si>
  <si>
    <t>07.02a</t>
  </si>
  <si>
    <t>Conmutador de cruce</t>
  </si>
  <si>
    <t>Instalación de un conmutador de cruce en un circuito de alumbrado controlado desde tres o más puntos, entre los conmutadores, incluidos mecanismo, cableado intermedio y comprobación.</t>
  </si>
  <si>
    <t>07.03</t>
  </si>
  <si>
    <t>Luminaria de techo superficial</t>
  </si>
  <si>
    <t>Instalación, conexión eléctrica y comprobación.</t>
  </si>
  <si>
    <t>07.04</t>
  </si>
  <si>
    <t>Luminaria colgante</t>
  </si>
  <si>
    <t>Instalación, sistema de suspensión, ajuste de altura según plano, conexión y comprobación.</t>
  </si>
  <si>
    <t>07.05</t>
  </si>
  <si>
    <t>Aplique de pared protegido</t>
  </si>
  <si>
    <t>07.06</t>
  </si>
  <si>
    <t>Luminaria empotrada en pared protegida</t>
  </si>
  <si>
    <t>07.07</t>
  </si>
  <si>
    <t>Foco empotrado en techo de yeso laminado</t>
  </si>
  <si>
    <t>07.08</t>
  </si>
  <si>
    <t>Tira LED oculta</t>
  </si>
  <si>
    <t>Instalación de tira LED oculta.</t>
  </si>
  <si>
    <t>07.09</t>
  </si>
  <si>
    <t>Luminaria lineal empotrada en yeso laminado</t>
  </si>
  <si>
    <t>Instalación de luminaria lineal empotrada.</t>
  </si>
  <si>
    <t>07.10</t>
  </si>
  <si>
    <t>Luminaria lineal superficial</t>
  </si>
  <si>
    <t>Instalación de luminaria lineal en techo.</t>
  </si>
  <si>
    <t>07.11</t>
  </si>
  <si>
    <t>Punto de alimentación de tira LED</t>
  </si>
  <si>
    <t>Punto de alimentación para tira LED.</t>
  </si>
  <si>
    <t>07.12</t>
  </si>
  <si>
    <t>Luminaria estanca</t>
  </si>
  <si>
    <t>07.13</t>
  </si>
  <si>
    <t>Aplique de pared</t>
  </si>
  <si>
    <t>07.14</t>
  </si>
  <si>
    <t>Luminaria empotrada en pared</t>
  </si>
  <si>
    <t>07.15</t>
  </si>
  <si>
    <t>Ventilador de techo con luz</t>
  </si>
  <si>
    <t>07.17</t>
  </si>
  <si>
    <t>Foco cilíndrico superficial</t>
  </si>
  <si>
    <t>Instalación, conexión y comprobación.</t>
  </si>
  <si>
    <t>07.19</t>
  </si>
  <si>
    <t>Focos empotrados en yeso laminado (grupos)</t>
  </si>
  <si>
    <t>Instalación de grupos de focos empotrados.</t>
  </si>
  <si>
    <t>07.20</t>
  </si>
  <si>
    <t>Punto de alimentación de alumbrado general</t>
  </si>
  <si>
    <t>Punto de alimentación del alumbrado general.</t>
  </si>
  <si>
    <t>Total – Capítulo 7</t>
  </si>
  <si>
    <t>Capítulo 9 — Tabiques y techos de yeso laminado</t>
  </si>
  <si>
    <t>09.01</t>
  </si>
  <si>
    <t>Tabiques y paredes de yeso laminado – sótano</t>
  </si>
  <si>
    <t>Perfiles metálicos, placas, aislamiento acústico y placas resistentes a la humedad en zonas húmedas.</t>
  </si>
  <si>
    <t>09.02</t>
  </si>
  <si>
    <t>Tabiques y paredes de yeso laminado – planta baja</t>
  </si>
  <si>
    <t>09.03</t>
  </si>
  <si>
    <t>Tabiques y paredes de yeso laminado – primera planta y galería</t>
  </si>
  <si>
    <t>09.04</t>
  </si>
  <si>
    <t>Falsos techos suspendidos de yeso laminado</t>
  </si>
  <si>
    <t>Perfilería, cuelgues y placas, con huecos coordinados para iluminación y climatización. Alisado y pintura en el capítulo 14.</t>
  </si>
  <si>
    <t>Total – Capítulo 9</t>
  </si>
  <si>
    <t>Capítulo 10 — Impermeabilización interior</t>
  </si>
  <si>
    <t>10.01</t>
  </si>
  <si>
    <t>Impermeabilización de paramentos en zonas húmedas</t>
  </si>
  <si>
    <t>Impermeabilización de paredes en zonas húmedas, según las indicaciones del consultor de impermeabilización.</t>
  </si>
  <si>
    <t>10.03</t>
  </si>
  <si>
    <t>Pruebas de inundación – zonas húmedas</t>
  </si>
  <si>
    <t>Prueba de estanqueidad por inundación de cada zona húmeda.</t>
  </si>
  <si>
    <t>10.04</t>
  </si>
  <si>
    <t>Impermeabilización de balcones</t>
  </si>
  <si>
    <t>Impermeabilización de balcones.</t>
  </si>
  <si>
    <t>Total – Capítulo 10</t>
  </si>
  <si>
    <t>Capítulo 12 — Alféizares y sellado de ventanas</t>
  </si>
  <si>
    <t>12.01</t>
  </si>
  <si>
    <t>Alféizares interiores</t>
  </si>
  <si>
    <t>Alféizares de piedra / mármol, tras la medición definitiva.</t>
  </si>
  <si>
    <t>12.02</t>
  </si>
  <si>
    <t>Vierteaguas exteriores</t>
  </si>
  <si>
    <t>Vierteaguas exteriores.</t>
  </si>
  <si>
    <t>12.04</t>
  </si>
  <si>
    <t>Sellado de ventanas</t>
  </si>
  <si>
    <t>Sellado de ventanas en el perímetro de los marcos, incluida la preparación del hueco, relleno y sellado con material adecuado y comprobación de estanqueidad.</t>
  </si>
  <si>
    <t>Total – Capítulo 12</t>
  </si>
  <si>
    <t>Capítulo 13 — Pavimentos, alicatados y revestimientos</t>
  </si>
  <si>
    <t>13.01</t>
  </si>
  <si>
    <t>Pavimento interior 120×120 cm, incl. platos de ducha</t>
  </si>
  <si>
    <t>Colocación tras la aprobación de la impermeabilización, incluida preparación del soporte, adhesivo, cortes, pendientes a desagües y rejuntado. Baldosas suministradas por la propiedad.</t>
  </si>
  <si>
    <t>13.02</t>
  </si>
  <si>
    <t>Pavimento del sótano 120×60 cm</t>
  </si>
  <si>
    <t>Colocación, incluida preparación del soporte, adhesivo y rejuntado. Baldosas suministradas por la propiedad.</t>
  </si>
  <si>
    <t>13.03</t>
  </si>
  <si>
    <t>Alicatado de paredes de ducha 120×60 cm</t>
  </si>
  <si>
    <t>Alicatado de paredes, incluido adhesivo, cortes y rejuntado. Baldosas suministradas por la propiedad.</t>
  </si>
  <si>
    <t>13.04</t>
  </si>
  <si>
    <t>Rodapiés / paneles de baldosa de acabado</t>
  </si>
  <si>
    <t>Corte y fijación de paneles a partir de las baldosas de acabado seleccionadas.</t>
  </si>
  <si>
    <t>13.05</t>
  </si>
  <si>
    <t>Pavimento exterior y balcones 120×60 cm, R11</t>
  </si>
  <si>
    <t>Colocación de baldosas exteriores antideslizantes R11. Baldosas suministradas por la propiedad.</t>
  </si>
  <si>
    <t>13.07</t>
  </si>
  <si>
    <t>Revestimiento de escaleras interiores (huella y tabica)</t>
  </si>
  <si>
    <t>Revestimiento de peldaños interiores, huella y tabica.</t>
  </si>
  <si>
    <t>13.08</t>
  </si>
  <si>
    <t>Revestimiento de escalones de entrada</t>
  </si>
  <si>
    <t>Revestimiento de los nuevos escalones de entrada con baldosas exteriores R10, huella y tabica. Medida definitiva según lo existente en obra.</t>
  </si>
  <si>
    <t>Medida definitiva según lo existente en obra</t>
  </si>
  <si>
    <t>Total – Capítulo 13</t>
  </si>
  <si>
    <t>Capítulo 14 — Enlucidos, alisados y pintura</t>
  </si>
  <si>
    <t>14.01</t>
  </si>
  <si>
    <t>Preparación de fachada y revoco de color</t>
  </si>
  <si>
    <t>Preparación y reparación del soporte de fachada (incluidas las zonas de marcos retirados) y aplicación del sistema de revoco de color aprobado. Andamio en la partida 01.09.</t>
  </si>
  <si>
    <t>14.02</t>
  </si>
  <si>
    <t>Reparación de enlucidos, alisado y pintura interior</t>
  </si>
  <si>
    <t>Reparación de enlucidos en paredes y techos interiores, alisado y pintura acrílica de calidad, incluidas preparación, protecciones y limpieza, hasta la aprobación de la proyectista. Excluye zonas comunes.</t>
  </si>
  <si>
    <t>14.03</t>
  </si>
  <si>
    <t>Estuco americano y pintura – zonas comunes</t>
  </si>
  <si>
    <t>Acabado liso tipo americano en paredes de zonas comunes, incluidos preparación del soporte, lijado y pintura resistente. Se descuenta de la partida 14.02 en la medición.</t>
  </si>
  <si>
    <t>—</t>
  </si>
  <si>
    <t>Cantidad según medición en obra</t>
  </si>
  <si>
    <t>Total – Capítulo 14</t>
  </si>
  <si>
    <t>Capítulo 17 — Obras exteriores</t>
  </si>
  <si>
    <t>17.01</t>
  </si>
  <si>
    <t>Movimiento de tierras y nivelación de zonas exteriores</t>
  </si>
  <si>
    <t>Conformación de niveles y compactación del terreno según el plano aprobado.</t>
  </si>
  <si>
    <t>17.02</t>
  </si>
  <si>
    <t>Drenaje de aguas pluviales</t>
  </si>
  <si>
    <t>Red de drenaje de aguas pluviales.</t>
  </si>
  <si>
    <t>17.04</t>
  </si>
  <si>
    <t>Jardinería, riego automático y grifos de jardín</t>
  </si>
  <si>
    <t>Zonas ajardinadas, sistema de riego y 11 grifos de jardín; especies por definir.</t>
  </si>
  <si>
    <t>17.05</t>
  </si>
  <si>
    <t>Iluminación de jardín con conexión eléctrica</t>
  </si>
  <si>
    <t>Iluminación de jardín y conexión eléctrica.</t>
  </si>
  <si>
    <t>17.06</t>
  </si>
  <si>
    <t>Caminos de hormigón</t>
  </si>
  <si>
    <t>Ejecución de caminos de hormigón: excavación y nivelación, base compactada, encofrado, mallazo, hormigón de 10 cm de espesor, acabado fratasado o rayado, juntas de dilatación y curado, incluido todo lo necesario para la construcción del camino.</t>
  </si>
  <si>
    <t>Total – Capítulo 17</t>
  </si>
  <si>
    <t>Capítulo 21 — Piscina</t>
  </si>
  <si>
    <t>21.01</t>
  </si>
  <si>
    <t>Piscina 8,43×3,40×1,60 m – completa</t>
  </si>
  <si>
    <t>Piscina completa según el consultor de piscinas y el ingeniero de estructuras: estructura, impermeabilización y sistema de tratamiento del agua.</t>
  </si>
  <si>
    <t>21.02</t>
  </si>
  <si>
    <t>Conexión de agua y electricidad de la piscina</t>
  </si>
  <si>
    <t>Conexión de llenado y desagüe a la instalación de la vivienda y conexión eléctrica de iluminación subacuática y bombas en circuito diferencial dedicado.</t>
  </si>
  <si>
    <t>21.03</t>
  </si>
  <si>
    <t>Cerramiento perimetral de seguridad de la piscina</t>
  </si>
  <si>
    <t>Cerramiento perimetral de seguridad conforme a la norma de seguridad de piscinas.</t>
  </si>
  <si>
    <t>21.04</t>
  </si>
  <si>
    <t>Revestimiento de la piscina incl. paredes (R11)</t>
  </si>
  <si>
    <t>Colocación del revestimiento del vaso y paredes de la piscina, baldosas 120×60 cm R11. Baldosas suministradas por la propiedad.</t>
  </si>
  <si>
    <t>Total – Capítulo 21</t>
  </si>
  <si>
    <t>Total sin IVA</t>
  </si>
  <si>
    <t>IVA</t>
  </si>
  <si>
    <t>Tipo de IVA (a confirmar)</t>
  </si>
  <si>
    <t>TOTAL CON IVA</t>
  </si>
  <si>
    <t>Resumen del presupuesto</t>
  </si>
  <si>
    <t>Capítulo</t>
  </si>
  <si>
    <t>% del total</t>
  </si>
  <si>
    <t>1. Preparación e instalación de obra</t>
  </si>
  <si>
    <t>2. Demoliciones, desmontajes y retirada de residuos</t>
  </si>
  <si>
    <t>3. Obras de estructura y ampliaciones</t>
  </si>
  <si>
    <t>4. Nuevos muros de bloque</t>
  </si>
  <si>
    <t>5. Fontanería, aparatos sanitarios y griferías</t>
  </si>
  <si>
    <t>6. Instalación eléctrica</t>
  </si>
  <si>
    <t>7. Iluminación e interruptores</t>
  </si>
  <si>
    <t>9. Tabiques y techos de yeso laminado</t>
  </si>
  <si>
    <t>10. Impermeabilización interior</t>
  </si>
  <si>
    <t>12. Alféizares y sellado de ventanas</t>
  </si>
  <si>
    <t>13. Pavimentos, alicatados y revestimientos</t>
  </si>
  <si>
    <t>14. Enlucidos, alisados y pintura</t>
  </si>
  <si>
    <t>17. Obras exteriores</t>
  </si>
  <si>
    <t>21. Piscina</t>
  </si>
  <si>
    <t>IVA (21%)</t>
  </si>
  <si>
    <t>#</t>
  </si>
  <si>
    <t>Condiciones y exclusiones</t>
  </si>
  <si>
    <t>Base del presupuesto</t>
  </si>
  <si>
    <t>El presupuesto se basa en el Pliego Técnico (rev. 20, 06/07/2026), los planos de arquitectura «Obra nueva» – planta baja y primera planta (17/09/2026) y el cuadro de cantidades del contratista de 24/09/2026. En caso de discrepancia prevalece el cuadro del 24/09/2026.</t>
  </si>
  <si>
    <t>Cantidades</t>
  </si>
  <si>
    <t>Cantidades según los documentos anteriores. Las partidas «provisionales» o «según medición en obra» se medirán; la liquidación final seguirá las cantidades realmente ejecutadas.</t>
  </si>
  <si>
    <t>Estructura</t>
  </si>
  <si>
    <t>El capítulo 3 (balcón y pérgola, habitación en galería, entrada y escalera, refuerzo de la escalera interior) es un importe global según planos del ingeniero de estructuras; el precio se ajustará al recibir los planos completos.</t>
  </si>
  <si>
    <t>Suministro</t>
  </si>
  <si>
    <t>Aparatos sanitarios y griferías, luminarias, unidades de aire acondicionado, termos y baldosas de suelo y pared los suministra la propiedad; el contratista los instala. Los fregaderos de cocina los instala el proveedor de la encimera.</t>
  </si>
  <si>
    <t>Exclusiones</t>
  </si>
  <si>
    <t>Carpintería (muebles de cocina, baño y armarios); ventanas y puertas de aluminio, puertas interiores y de entrada, cancelas y persianas; trabajos de peto de cubierta; mobiliario; licencias y tasas; honorarios de consultores (estructura, impermeabilización, iluminación); cargos de la compañía eléctrica por ampliación de potencia. La piscina SÍ está incluida (capítulo 21).</t>
  </si>
  <si>
    <t>Pruebas</t>
  </si>
  <si>
    <t>Las pruebas y aprobaciones exigidas (ingeniero de estructuras, consultor de impermeabilización, inspector eléctrico autorizado, pruebas de inundación y presión) están incluidas.</t>
  </si>
  <si>
    <t>Precios</t>
  </si>
  <si>
    <t>Precios en EUR, sin IVA, base octubre 2026, sin revisión salvo pacto en contrario.</t>
  </si>
  <si>
    <t>Condiciones comerciales</t>
  </si>
  <si>
    <t>Validez: [__ días]   |   Forma de pago: [__]   |   Plazo: [__]</t>
  </si>
  <si>
    <t>Categoría</t>
  </si>
  <si>
    <t>Datos de mercado encontrados (2026)</t>
  </si>
  <si>
    <t>Fuentes</t>
  </si>
  <si>
    <t>Tabique de yeso laminado</t>
  </si>
  <si>
    <t>25–55 €/m² (media 30 €/m²), material y mano de obra</t>
  </si>
  <si>
    <t>habitissimo.es/presupuestos/pladur ; habitissimo.es/presupuestos/tabique-pladur</t>
  </si>
  <si>
    <t>Suelo porcelánico (colocación)</t>
  </si>
  <si>
    <t>28–60 €/m² (media 45 €/m², material incluido); baño rectificado 50 €/m²</t>
  </si>
  <si>
    <t>habitissimo.es/presupuestos/suelo-porcelanico</t>
  </si>
  <si>
    <t>Punto de luz / enchufe</t>
  </si>
  <si>
    <t>30–60 € por punto (referencia sin fecha); electricista ≈ 50 €/h</t>
  </si>
  <si>
    <t>cronoshare.com (prensa Valencia) ; sensorautomotriz.com/preguntas-frecuentes/cuanto-vale-poner-un-enchufe</t>
  </si>
  <si>
    <t>Pintura interior</t>
  </si>
  <si>
    <t>8–12 €/m² (referencia sin fecha)</t>
  </si>
  <si>
    <t>trustlocal.es/coste/pintor-coste/</t>
  </si>
  <si>
    <t>Andamio</t>
  </si>
  <si>
    <t>≈ 22 €/m² (partida de presupuesto público, Zaragoza, montaje y alquiler); otra partida ≈ 10 €/m² montaje y desmontaje</t>
  </si>
  <si>
    <t>zaragoza.es (anuncio 85085) ; caib.es (documento 485932)</t>
  </si>
  <si>
    <t>Piscina de obra</t>
  </si>
  <si>
    <t>8×4×1,6 m en hormigón armado ≈ 10.000 € (tabla sin fecha); proyectado ≈ 16.000 € (foro); estimación propia 14.000–20.000 € con revestimiento y equipos</t>
  </si>
  <si>
    <t>habitissimo.es/presupuestos/construccion-piscinas ; todoexpertos.com/categorias/casa-y-jardin/piscinas</t>
  </si>
  <si>
    <t>Mano de obra</t>
  </si>
  <si>
    <t>oficial de primera: 26–36 €/h tarifa de venta (zonas medias), 36–50 €/h País Vasco/Navarra</t>
  </si>
  <si>
    <t>presupix.com/blog/precio-hora-oficial-construccion ; caasa.es/precios/</t>
  </si>
  <si>
    <t>Tipo de cambio</t>
  </si>
  <si>
    <t>≈ 3,50 ILS por 1 EUR (≈ 3,46 a principios de agosto de 2026; octubre = previsiones)</t>
  </si>
  <si>
    <t>ofx.com ; b-sharpe.com</t>
  </si>
  <si>
    <t>Método: cada precio unitario = precio base israelí de reforma (ILS) × coeficiente de categoría ÷ tipo de cambio, más 15 % de gastos generales y beneficio. Los coeficientes se calibraron con las referencias siguientes (tabiques, solados, puntos eléctricos, pintura, andamio); los oficios sin referencia usan la media. Coeficientes: part=0.37, tile=0.35, elec=0.53, paint=0.56, conc=0.55, scaf=1.15, gen=0.54. FX 3.5 ILS/EUR.</t>
  </si>
  <si>
    <t>Salvedades: fuentes mayoritariamente comerciales, rangos amplios y algunos sin fecha; no se usó ninguna base de precios oficial. Faltan datos de 2026 para tabiques, solados, hormigón y andamio en parte de las fuentes (hay resultados de otros países que se descartaron). Piscina: estimación propia con datos antiguos; el cerramiento de seguridad es una estimación sin fuente. La obra está en Haifa (Israel) – precios de referencia del mercado español, sin ajustar a las condiciones locales. Verificar con presupuestos de proveedores antes de presentar.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</si>
</sst>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#,##0.00&quot; €&quot;"/>
    <numFmt numFmtId="166" formatCode="0%"/>
    <numFmt numFmtId="167" formatCode="0.0%"/>
  </numFmts>
  <fonts count="8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8EF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horizontal="center" vertical="top"/>
    </xf>
    <xf numFmtId="165" fontId="6" fillId="0" borderId="1" xfId="0" applyNumberFormat="1" applyFont="1" applyBorder="1" applyAlignment="1">
      <alignment horizontal="right" vertical="top"/>
    </xf>
    <xf numFmtId="0" fontId="7" fillId="3" borderId="1" xfId="0" applyFont="1" applyFill="1" applyBorder="1" applyAlignment="1">
      <alignment vertical="top"/>
    </xf>
    <xf numFmtId="165" fontId="7" fillId="3" borderId="1" xfId="0" applyNumberFormat="1" applyFont="1" applyFill="1" applyBorder="1" applyAlignment="1">
      <alignment horizontal="right" vertical="top"/>
    </xf>
    <xf numFmtId="0" fontId="6" fillId="0" borderId="1" xfId="0" applyFont="1" applyBorder="1" applyAlignment="1">
      <alignment horizontal="right" vertical="top"/>
    </xf>
    <xf numFmtId="166" fontId="6" fillId="4" borderId="1" xfId="0" applyNumberFormat="1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167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80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9.7109375" customWidth="1"/>
    <col min="2" max="2" width="32.7109375" customWidth="1"/>
    <col min="3" max="3" width="62.7109375" customWidth="1"/>
    <col min="4" max="4" width="8.7109375" customWidth="1"/>
    <col min="5" max="5" width="10.7109375" customWidth="1"/>
    <col min="6" max="6" width="14.7109375" customWidth="1"/>
    <col min="7" max="7" width="16.7109375" customWidth="1"/>
    <col min="8" max="8" width="3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3" t="s">
        <v>2</v>
      </c>
      <c r="B3" s="3"/>
      <c r="C3" s="3"/>
      <c r="D3" s="3"/>
      <c r="E3" s="3"/>
      <c r="F3" s="3"/>
      <c r="G3" s="3"/>
      <c r="H3" s="3"/>
    </row>
    <row r="5" spans="1:8" ht="24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ht="22" customHeight="1">
      <c r="A6" s="5" t="s">
        <v>11</v>
      </c>
      <c r="B6" s="5"/>
      <c r="C6" s="5"/>
      <c r="D6" s="5"/>
      <c r="E6" s="5"/>
      <c r="F6" s="5"/>
      <c r="G6" s="5"/>
      <c r="H6" s="5"/>
    </row>
    <row r="7" spans="1:8" ht="30" customHeight="1">
      <c r="A7" s="6" t="s">
        <v>12</v>
      </c>
      <c r="B7" s="7" t="s">
        <v>13</v>
      </c>
      <c r="C7" s="7" t="s">
        <v>14</v>
      </c>
      <c r="D7" s="6" t="s">
        <v>15</v>
      </c>
      <c r="E7" s="8">
        <v>1</v>
      </c>
      <c r="F7" s="9">
        <v>1420</v>
      </c>
      <c r="G7" s="9">
        <f>IF(AND(ISNUMBER(E7),ISNUMBER(F7)),ROUND(E7*F7,2),"")</f>
        <v>1420</v>
      </c>
      <c r="H7" s="7"/>
    </row>
    <row r="8" spans="1:8" ht="30" customHeight="1">
      <c r="A8" s="6" t="s">
        <v>16</v>
      </c>
      <c r="B8" s="7" t="s">
        <v>17</v>
      </c>
      <c r="C8" s="7" t="s">
        <v>18</v>
      </c>
      <c r="D8" s="6" t="s">
        <v>15</v>
      </c>
      <c r="E8" s="8">
        <v>1</v>
      </c>
      <c r="F8" s="9">
        <v>710</v>
      </c>
      <c r="G8" s="9">
        <f>IF(AND(ISNUMBER(E8),ISNUMBER(F8)),ROUND(E8*F8,2),"")</f>
        <v>710</v>
      </c>
      <c r="H8" s="7"/>
    </row>
    <row r="9" spans="1:8" ht="30" customHeight="1">
      <c r="A9" s="6" t="s">
        <v>19</v>
      </c>
      <c r="B9" s="7" t="s">
        <v>20</v>
      </c>
      <c r="C9" s="7" t="s">
        <v>21</v>
      </c>
      <c r="D9" s="6" t="s">
        <v>15</v>
      </c>
      <c r="E9" s="8">
        <v>1</v>
      </c>
      <c r="F9" s="9">
        <v>266</v>
      </c>
      <c r="G9" s="9">
        <f>IF(AND(ISNUMBER(E9),ISNUMBER(F9)),ROUND(E9*F9,2),"")</f>
        <v>266</v>
      </c>
      <c r="H9" s="7"/>
    </row>
    <row r="10" spans="1:8" ht="30" customHeight="1">
      <c r="A10" s="6" t="s">
        <v>22</v>
      </c>
      <c r="B10" s="7" t="s">
        <v>23</v>
      </c>
      <c r="C10" s="7" t="s">
        <v>24</v>
      </c>
      <c r="D10" s="6" t="s">
        <v>15</v>
      </c>
      <c r="E10" s="8">
        <v>1</v>
      </c>
      <c r="F10" s="9">
        <v>530</v>
      </c>
      <c r="G10" s="9">
        <f>IF(AND(ISNUMBER(E10),ISNUMBER(F10)),ROUND(E10*F10,2),"")</f>
        <v>530</v>
      </c>
      <c r="H10" s="7"/>
    </row>
    <row r="11" spans="1:8" ht="30" customHeight="1">
      <c r="A11" s="6" t="s">
        <v>25</v>
      </c>
      <c r="B11" s="7" t="s">
        <v>26</v>
      </c>
      <c r="C11" s="7" t="s">
        <v>27</v>
      </c>
      <c r="D11" s="6" t="s">
        <v>15</v>
      </c>
      <c r="E11" s="8">
        <v>1</v>
      </c>
      <c r="F11" s="9">
        <v>890</v>
      </c>
      <c r="G11" s="9">
        <f>IF(AND(ISNUMBER(E11),ISNUMBER(F11)),ROUND(E11*F11,2),"")</f>
        <v>890</v>
      </c>
      <c r="H11" s="7"/>
    </row>
    <row r="12" spans="1:8" ht="43" customHeight="1">
      <c r="A12" s="6" t="s">
        <v>28</v>
      </c>
      <c r="B12" s="7" t="s">
        <v>29</v>
      </c>
      <c r="C12" s="7" t="s">
        <v>30</v>
      </c>
      <c r="D12" s="6" t="s">
        <v>15</v>
      </c>
      <c r="E12" s="8">
        <v>1</v>
      </c>
      <c r="F12" s="9">
        <v>530</v>
      </c>
      <c r="G12" s="9">
        <f>IF(AND(ISNUMBER(E12),ISNUMBER(F12)),ROUND(E12*F12,2),"")</f>
        <v>530</v>
      </c>
      <c r="H12" s="7"/>
    </row>
    <row r="13" spans="1:8" ht="30" customHeight="1">
      <c r="A13" s="6" t="s">
        <v>31</v>
      </c>
      <c r="B13" s="7" t="s">
        <v>32</v>
      </c>
      <c r="C13" s="7" t="s">
        <v>33</v>
      </c>
      <c r="D13" s="6" t="s">
        <v>15</v>
      </c>
      <c r="E13" s="8">
        <v>1</v>
      </c>
      <c r="F13" s="9">
        <v>1600</v>
      </c>
      <c r="G13" s="9">
        <f>IF(AND(ISNUMBER(E13),ISNUMBER(F13)),ROUND(E13*F13,2),"")</f>
        <v>1600</v>
      </c>
      <c r="H13" s="7"/>
    </row>
    <row r="14" spans="1:8" ht="30" customHeight="1">
      <c r="A14" s="6" t="s">
        <v>34</v>
      </c>
      <c r="B14" s="7" t="s">
        <v>35</v>
      </c>
      <c r="C14" s="7" t="s">
        <v>36</v>
      </c>
      <c r="D14" s="6" t="s">
        <v>15</v>
      </c>
      <c r="E14" s="8">
        <v>1</v>
      </c>
      <c r="F14" s="9">
        <v>1600</v>
      </c>
      <c r="G14" s="9">
        <f>IF(AND(ISNUMBER(E14),ISNUMBER(F14)),ROUND(E14*F14,2),"")</f>
        <v>1600</v>
      </c>
      <c r="H14" s="7"/>
    </row>
    <row r="15" spans="1:8" ht="56" customHeight="1">
      <c r="A15" s="6" t="s">
        <v>37</v>
      </c>
      <c r="B15" s="7" t="s">
        <v>38</v>
      </c>
      <c r="C15" s="7" t="s">
        <v>39</v>
      </c>
      <c r="D15" s="6" t="s">
        <v>40</v>
      </c>
      <c r="E15" s="8">
        <v>225</v>
      </c>
      <c r="F15" s="9">
        <v>32</v>
      </c>
      <c r="G15" s="9">
        <f>IF(AND(ISNUMBER(E15),ISNUMBER(F15)),ROUND(E15*F15,2),"")</f>
        <v>7200.0</v>
      </c>
      <c r="H15" s="7" t="s">
        <v>41</v>
      </c>
    </row>
    <row r="16" spans="1:8">
      <c r="A16" s="10" t="s">
        <v>42</v>
      </c>
      <c r="B16" s="10"/>
      <c r="C16" s="10"/>
      <c r="D16" s="10"/>
      <c r="E16" s="10"/>
      <c r="F16" s="10"/>
      <c r="G16" s="11">
        <f>IF(COUNT(G7:G15)=0,"",SUM(G7:G15))</f>
        <v>14746.0</v>
      </c>
      <c r="H16" s="10"/>
    </row>
    <row r="18" spans="1:8" ht="22" customHeight="1">
      <c r="A18" s="5" t="s">
        <v>43</v>
      </c>
      <c r="B18" s="5"/>
      <c r="C18" s="5"/>
      <c r="D18" s="5"/>
      <c r="E18" s="5"/>
      <c r="F18" s="5"/>
      <c r="G18" s="5"/>
      <c r="H18" s="5"/>
    </row>
    <row r="19" spans="1:8" ht="30" customHeight="1">
      <c r="A19" s="6" t="s">
        <v>44</v>
      </c>
      <c r="B19" s="7" t="s">
        <v>45</v>
      </c>
      <c r="C19" s="7" t="s">
        <v>46</v>
      </c>
      <c r="D19" s="6" t="s">
        <v>40</v>
      </c>
      <c r="E19" s="8">
        <v>62</v>
      </c>
      <c r="F19" s="9">
        <v>21.5</v>
      </c>
      <c r="G19" s="9">
        <f>IF(AND(ISNUMBER(E19),ISNUMBER(F19)),ROUND(E19*F19,2),"")</f>
        <v>1333.0</v>
      </c>
      <c r="H19" s="7"/>
    </row>
    <row r="20" spans="1:8" ht="30" customHeight="1">
      <c r="A20" s="6" t="s">
        <v>47</v>
      </c>
      <c r="B20" s="7" t="s">
        <v>48</v>
      </c>
      <c r="C20" s="7" t="s">
        <v>46</v>
      </c>
      <c r="D20" s="6" t="s">
        <v>40</v>
      </c>
      <c r="E20" s="8">
        <v>51</v>
      </c>
      <c r="F20" s="9">
        <v>21.5</v>
      </c>
      <c r="G20" s="9">
        <f>IF(AND(ISNUMBER(E20),ISNUMBER(F20)),ROUND(E20*F20,2),"")</f>
        <v>1096.5</v>
      </c>
      <c r="H20" s="7"/>
    </row>
    <row r="21" spans="1:8" ht="30" customHeight="1">
      <c r="A21" s="6" t="s">
        <v>49</v>
      </c>
      <c r="B21" s="7" t="s">
        <v>50</v>
      </c>
      <c r="C21" s="7" t="s">
        <v>46</v>
      </c>
      <c r="D21" s="6" t="s">
        <v>40</v>
      </c>
      <c r="E21" s="8">
        <v>85</v>
      </c>
      <c r="F21" s="9">
        <v>21.5</v>
      </c>
      <c r="G21" s="9">
        <f>IF(AND(ISNUMBER(E21),ISNUMBER(F21)),ROUND(E21*F21,2),"")</f>
        <v>1827.5</v>
      </c>
      <c r="H21" s="7"/>
    </row>
    <row r="22" spans="1:8" ht="30" customHeight="1">
      <c r="A22" s="6" t="s">
        <v>51</v>
      </c>
      <c r="B22" s="7" t="s">
        <v>52</v>
      </c>
      <c r="C22" s="7" t="s">
        <v>53</v>
      </c>
      <c r="D22" s="6" t="s">
        <v>40</v>
      </c>
      <c r="E22" s="8">
        <v>10</v>
      </c>
      <c r="F22" s="9">
        <v>8.9</v>
      </c>
      <c r="G22" s="9">
        <f>IF(AND(ISNUMBER(E22),ISNUMBER(F22)),ROUND(E22*F22,2),"")</f>
        <v>89.0</v>
      </c>
      <c r="H22" s="7"/>
    </row>
    <row r="23" spans="1:8" ht="26" customHeight="1">
      <c r="A23" s="6" t="s">
        <v>54</v>
      </c>
      <c r="B23" s="7" t="s">
        <v>55</v>
      </c>
      <c r="C23" s="7" t="s">
        <v>56</v>
      </c>
      <c r="D23" s="6" t="s">
        <v>40</v>
      </c>
      <c r="E23" s="8">
        <v>40</v>
      </c>
      <c r="F23" s="9">
        <v>16</v>
      </c>
      <c r="G23" s="9">
        <f>IF(AND(ISNUMBER(E23),ISNUMBER(F23)),ROUND(E23*F23,2),"")</f>
        <v>640.0</v>
      </c>
      <c r="H23" s="7"/>
    </row>
    <row r="24" spans="1:8" ht="26" customHeight="1">
      <c r="A24" s="6" t="s">
        <v>57</v>
      </c>
      <c r="B24" s="7" t="s">
        <v>58</v>
      </c>
      <c r="C24" s="7" t="s">
        <v>59</v>
      </c>
      <c r="D24" s="6" t="s">
        <v>15</v>
      </c>
      <c r="E24" s="8">
        <v>1</v>
      </c>
      <c r="F24" s="9">
        <v>355</v>
      </c>
      <c r="G24" s="9">
        <f>IF(AND(ISNUMBER(E24),ISNUMBER(F24)),ROUND(E24*F24,2),"")</f>
        <v>355</v>
      </c>
      <c r="H24" s="7"/>
    </row>
    <row r="25" spans="1:8" ht="30" customHeight="1">
      <c r="A25" s="6" t="s">
        <v>60</v>
      </c>
      <c r="B25" s="7" t="s">
        <v>61</v>
      </c>
      <c r="C25" s="7" t="s">
        <v>62</v>
      </c>
      <c r="D25" s="6" t="s">
        <v>63</v>
      </c>
      <c r="E25" s="8">
        <v>1</v>
      </c>
      <c r="F25" s="9">
        <v>444</v>
      </c>
      <c r="G25" s="9">
        <f>IF(AND(ISNUMBER(E25),ISNUMBER(F25)),ROUND(E25*F25,2),"")</f>
        <v>444</v>
      </c>
      <c r="H25" s="7"/>
    </row>
    <row r="26" spans="1:8" ht="30" customHeight="1">
      <c r="A26" s="6" t="s">
        <v>64</v>
      </c>
      <c r="B26" s="7" t="s">
        <v>65</v>
      </c>
      <c r="C26" s="7" t="s">
        <v>66</v>
      </c>
      <c r="D26" s="6" t="s">
        <v>15</v>
      </c>
      <c r="E26" s="8">
        <v>1</v>
      </c>
      <c r="F26" s="9">
        <v>1060</v>
      </c>
      <c r="G26" s="9">
        <f>IF(AND(ISNUMBER(E26),ISNUMBER(F26)),ROUND(E26*F26,2),"")</f>
        <v>1060</v>
      </c>
      <c r="H26" s="7"/>
    </row>
    <row r="27" spans="1:8" ht="30" customHeight="1">
      <c r="A27" s="6" t="s">
        <v>67</v>
      </c>
      <c r="B27" s="7" t="s">
        <v>68</v>
      </c>
      <c r="C27" s="7" t="s">
        <v>69</v>
      </c>
      <c r="D27" s="6" t="s">
        <v>15</v>
      </c>
      <c r="E27" s="8">
        <v>1</v>
      </c>
      <c r="F27" s="9">
        <v>620</v>
      </c>
      <c r="G27" s="9">
        <f>IF(AND(ISNUMBER(E27),ISNUMBER(F27)),ROUND(E27*F27,2),"")</f>
        <v>620</v>
      </c>
      <c r="H27" s="7"/>
    </row>
    <row r="28" spans="1:8" ht="30" customHeight="1">
      <c r="A28" s="6" t="s">
        <v>70</v>
      </c>
      <c r="B28" s="7" t="s">
        <v>71</v>
      </c>
      <c r="C28" s="7" t="s">
        <v>72</v>
      </c>
      <c r="D28" s="6" t="s">
        <v>15</v>
      </c>
      <c r="E28" s="8">
        <v>1</v>
      </c>
      <c r="F28" s="9">
        <v>1420</v>
      </c>
      <c r="G28" s="9">
        <f>IF(AND(ISNUMBER(E28),ISNUMBER(F28)),ROUND(E28*F28,2),"")</f>
        <v>1420</v>
      </c>
      <c r="H28" s="7"/>
    </row>
    <row r="29" spans="1:8" ht="30" customHeight="1">
      <c r="A29" s="6" t="s">
        <v>73</v>
      </c>
      <c r="B29" s="7" t="s">
        <v>74</v>
      </c>
      <c r="C29" s="7" t="s">
        <v>75</v>
      </c>
      <c r="D29" s="6" t="s">
        <v>15</v>
      </c>
      <c r="E29" s="8">
        <v>1</v>
      </c>
      <c r="F29" s="9">
        <v>710</v>
      </c>
      <c r="G29" s="9">
        <f>IF(AND(ISNUMBER(E29),ISNUMBER(F29)),ROUND(E29*F29,2),"")</f>
        <v>710</v>
      </c>
      <c r="H29" s="7"/>
    </row>
    <row r="30" spans="1:8" ht="30" customHeight="1">
      <c r="A30" s="6" t="s">
        <v>76</v>
      </c>
      <c r="B30" s="7" t="s">
        <v>77</v>
      </c>
      <c r="C30" s="7" t="s">
        <v>78</v>
      </c>
      <c r="D30" s="6" t="s">
        <v>15</v>
      </c>
      <c r="E30" s="8">
        <v>1</v>
      </c>
      <c r="F30" s="9">
        <v>530</v>
      </c>
      <c r="G30" s="9">
        <f>IF(AND(ISNUMBER(E30),ISNUMBER(F30)),ROUND(E30*F30,2),"")</f>
        <v>530</v>
      </c>
      <c r="H30" s="7"/>
    </row>
    <row r="31" spans="1:8" ht="30" customHeight="1">
      <c r="A31" s="6" t="s">
        <v>79</v>
      </c>
      <c r="B31" s="7" t="s">
        <v>80</v>
      </c>
      <c r="C31" s="7" t="s">
        <v>81</v>
      </c>
      <c r="D31" s="6" t="s">
        <v>15</v>
      </c>
      <c r="E31" s="8">
        <v>1</v>
      </c>
      <c r="F31" s="9">
        <v>444</v>
      </c>
      <c r="G31" s="9">
        <f>IF(AND(ISNUMBER(E31),ISNUMBER(F31)),ROUND(E31*F31,2),"")</f>
        <v>444</v>
      </c>
      <c r="H31" s="7"/>
    </row>
    <row r="32" spans="1:8" ht="30" customHeight="1">
      <c r="A32" s="6" t="s">
        <v>82</v>
      </c>
      <c r="B32" s="7" t="s">
        <v>83</v>
      </c>
      <c r="C32" s="7" t="s">
        <v>84</v>
      </c>
      <c r="D32" s="6" t="s">
        <v>15</v>
      </c>
      <c r="E32" s="8">
        <v>1</v>
      </c>
      <c r="F32" s="9">
        <v>355</v>
      </c>
      <c r="G32" s="9">
        <f>IF(AND(ISNUMBER(E32),ISNUMBER(F32)),ROUND(E32*F32,2),"")</f>
        <v>355</v>
      </c>
      <c r="H32" s="7"/>
    </row>
    <row r="33" spans="1:8" ht="56" customHeight="1">
      <c r="A33" s="6" t="s">
        <v>85</v>
      </c>
      <c r="B33" s="7" t="s">
        <v>86</v>
      </c>
      <c r="C33" s="7" t="s">
        <v>87</v>
      </c>
      <c r="D33" s="6" t="s">
        <v>88</v>
      </c>
      <c r="E33" s="8">
        <v>47.3</v>
      </c>
      <c r="F33" s="9">
        <v>30</v>
      </c>
      <c r="G33" s="9">
        <f>IF(AND(ISNUMBER(E33),ISNUMBER(F33)),ROUND(E33*F33,2),"")</f>
        <v>1419.0</v>
      </c>
      <c r="H33" s="7"/>
    </row>
    <row r="34" spans="1:8" ht="30" customHeight="1">
      <c r="A34" s="6" t="s">
        <v>89</v>
      </c>
      <c r="B34" s="7" t="s">
        <v>90</v>
      </c>
      <c r="C34" s="7" t="s">
        <v>91</v>
      </c>
      <c r="D34" s="6" t="s">
        <v>15</v>
      </c>
      <c r="E34" s="8">
        <v>1</v>
      </c>
      <c r="F34" s="9">
        <v>4970</v>
      </c>
      <c r="G34" s="9">
        <f>IF(AND(ISNUMBER(E34),ISNUMBER(F34)),ROUND(E34*F34,2),"")</f>
        <v>4970</v>
      </c>
      <c r="H34" s="7"/>
    </row>
    <row r="35" spans="1:8" ht="26" customHeight="1">
      <c r="A35" s="6" t="s">
        <v>92</v>
      </c>
      <c r="B35" s="7" t="s">
        <v>93</v>
      </c>
      <c r="C35" s="7" t="s">
        <v>94</v>
      </c>
      <c r="D35" s="6" t="s">
        <v>15</v>
      </c>
      <c r="E35" s="8">
        <v>1</v>
      </c>
      <c r="F35" s="9">
        <v>530</v>
      </c>
      <c r="G35" s="9">
        <f>IF(AND(ISNUMBER(E35),ISNUMBER(F35)),ROUND(E35*F35,2),"")</f>
        <v>530</v>
      </c>
      <c r="H35" s="7"/>
    </row>
    <row r="36" spans="1:8" ht="30" customHeight="1">
      <c r="A36" s="6" t="s">
        <v>95</v>
      </c>
      <c r="B36" s="7" t="s">
        <v>96</v>
      </c>
      <c r="C36" s="7" t="s">
        <v>97</v>
      </c>
      <c r="D36" s="6" t="s">
        <v>15</v>
      </c>
      <c r="E36" s="8">
        <v>1</v>
      </c>
      <c r="F36" s="9">
        <v>800</v>
      </c>
      <c r="G36" s="9">
        <f>IF(AND(ISNUMBER(E36),ISNUMBER(F36)),ROUND(E36*F36,2),"")</f>
        <v>800</v>
      </c>
      <c r="H36" s="7"/>
    </row>
    <row r="37" spans="1:8" ht="30" customHeight="1">
      <c r="A37" s="6" t="s">
        <v>98</v>
      </c>
      <c r="B37" s="7" t="s">
        <v>99</v>
      </c>
      <c r="C37" s="7" t="s">
        <v>100</v>
      </c>
      <c r="D37" s="6" t="s">
        <v>40</v>
      </c>
      <c r="E37" s="8">
        <v>103.4</v>
      </c>
      <c r="F37" s="9">
        <v>17.5</v>
      </c>
      <c r="G37" s="9">
        <f>IF(AND(ISNUMBER(E37),ISNUMBER(F37)),ROUND(E37*F37,2),"")</f>
        <v>1809.5</v>
      </c>
      <c r="H37" s="7"/>
    </row>
    <row r="38" spans="1:8" ht="43" customHeight="1">
      <c r="A38" s="6" t="s">
        <v>101</v>
      </c>
      <c r="B38" s="7" t="s">
        <v>102</v>
      </c>
      <c r="C38" s="7" t="s">
        <v>103</v>
      </c>
      <c r="D38" s="6" t="s">
        <v>15</v>
      </c>
      <c r="E38" s="8">
        <v>1</v>
      </c>
      <c r="F38" s="9">
        <v>530</v>
      </c>
      <c r="G38" s="9">
        <f>IF(AND(ISNUMBER(E38),ISNUMBER(F38)),ROUND(E38*F38,2),"")</f>
        <v>530</v>
      </c>
      <c r="H38" s="7"/>
    </row>
    <row r="39" spans="1:8" ht="43" customHeight="1">
      <c r="A39" s="6" t="s">
        <v>104</v>
      </c>
      <c r="B39" s="7" t="s">
        <v>105</v>
      </c>
      <c r="C39" s="7" t="s">
        <v>106</v>
      </c>
      <c r="D39" s="6" t="s">
        <v>40</v>
      </c>
      <c r="E39" s="8">
        <v>65</v>
      </c>
      <c r="F39" s="9">
        <v>6.2</v>
      </c>
      <c r="G39" s="9">
        <f>IF(AND(ISNUMBER(E39),ISNUMBER(F39)),ROUND(E39*F39,2),"")</f>
        <v>403.0</v>
      </c>
      <c r="H39" s="7" t="s">
        <v>41</v>
      </c>
    </row>
    <row r="40" spans="1:8">
      <c r="A40" s="10" t="s">
        <v>107</v>
      </c>
      <c r="B40" s="10"/>
      <c r="C40" s="10"/>
      <c r="D40" s="10"/>
      <c r="E40" s="10"/>
      <c r="F40" s="10"/>
      <c r="G40" s="11">
        <f>IF(COUNT(G19:G39)=0,"",SUM(G19:G39))</f>
        <v>21385.5</v>
      </c>
      <c r="H40" s="10"/>
    </row>
    <row r="42" spans="1:8" ht="22" customHeight="1">
      <c r="A42" s="5" t="s">
        <v>108</v>
      </c>
      <c r="B42" s="5"/>
      <c r="C42" s="5"/>
      <c r="D42" s="5"/>
      <c r="E42" s="5"/>
      <c r="F42" s="5"/>
      <c r="G42" s="5"/>
      <c r="H42" s="5"/>
    </row>
    <row r="43" spans="1:8" ht="30" customHeight="1">
      <c r="A43" s="6" t="s">
        <v>109</v>
      </c>
      <c r="B43" s="7" t="s">
        <v>110</v>
      </c>
      <c r="C43" s="7" t="s">
        <v>111</v>
      </c>
      <c r="D43" s="6" t="s">
        <v>15</v>
      </c>
      <c r="E43" s="8">
        <v>1</v>
      </c>
      <c r="F43" s="9">
        <v>12400</v>
      </c>
      <c r="G43" s="9">
        <f>IF(AND(ISNUMBER(E43),ISNUMBER(F43)),ROUND(E43*F43,2),"")</f>
        <v>12400</v>
      </c>
      <c r="H43" s="7" t="s">
        <v>112</v>
      </c>
    </row>
    <row r="44" spans="1:8" ht="56" customHeight="1">
      <c r="A44" s="6" t="s">
        <v>113</v>
      </c>
      <c r="B44" s="7" t="s">
        <v>114</v>
      </c>
      <c r="C44" s="7" t="s">
        <v>115</v>
      </c>
      <c r="D44" s="6" t="s">
        <v>15</v>
      </c>
      <c r="E44" s="8">
        <v>1</v>
      </c>
      <c r="F44" s="9">
        <v>21300</v>
      </c>
      <c r="G44" s="9">
        <f>IF(AND(ISNUMBER(E44),ISNUMBER(F44)),ROUND(E44*F44,2),"")</f>
        <v>21300</v>
      </c>
      <c r="H44" s="7" t="s">
        <v>112</v>
      </c>
    </row>
    <row r="45" spans="1:8" ht="30" customHeight="1">
      <c r="A45" s="6" t="s">
        <v>116</v>
      </c>
      <c r="B45" s="7" t="s">
        <v>117</v>
      </c>
      <c r="C45" s="7" t="s">
        <v>118</v>
      </c>
      <c r="D45" s="6" t="s">
        <v>15</v>
      </c>
      <c r="E45" s="8">
        <v>1</v>
      </c>
      <c r="F45" s="9">
        <v>6700</v>
      </c>
      <c r="G45" s="9">
        <f>IF(AND(ISNUMBER(E45),ISNUMBER(F45)),ROUND(E45*F45,2),"")</f>
        <v>6700</v>
      </c>
      <c r="H45" s="7" t="s">
        <v>112</v>
      </c>
    </row>
    <row r="46" spans="1:8" ht="30" customHeight="1">
      <c r="A46" s="6" t="s">
        <v>119</v>
      </c>
      <c r="B46" s="7" t="s">
        <v>120</v>
      </c>
      <c r="C46" s="7" t="s">
        <v>121</v>
      </c>
      <c r="D46" s="6" t="s">
        <v>15</v>
      </c>
      <c r="E46" s="8">
        <v>1</v>
      </c>
      <c r="F46" s="9">
        <v>3190</v>
      </c>
      <c r="G46" s="9">
        <f>IF(AND(ISNUMBER(E46),ISNUMBER(F46)),ROUND(E46*F46,2),"")</f>
        <v>3190</v>
      </c>
      <c r="H46" s="7" t="s">
        <v>112</v>
      </c>
    </row>
    <row r="47" spans="1:8" ht="69" customHeight="1">
      <c r="A47" s="6" t="s">
        <v>122</v>
      </c>
      <c r="B47" s="7" t="s">
        <v>123</v>
      </c>
      <c r="C47" s="7" t="s">
        <v>124</v>
      </c>
      <c r="D47" s="6" t="s">
        <v>63</v>
      </c>
      <c r="E47" s="8">
        <v>12</v>
      </c>
      <c r="F47" s="9">
        <v>497</v>
      </c>
      <c r="G47" s="9">
        <f>IF(AND(ISNUMBER(E47),ISNUMBER(F47)),ROUND(E47*F47,2),"")</f>
        <v>5964</v>
      </c>
      <c r="H47" s="7" t="s">
        <v>125</v>
      </c>
    </row>
    <row r="48" spans="1:8">
      <c r="A48" s="10" t="s">
        <v>126</v>
      </c>
      <c r="B48" s="10"/>
      <c r="C48" s="10"/>
      <c r="D48" s="10"/>
      <c r="E48" s="10"/>
      <c r="F48" s="10"/>
      <c r="G48" s="11">
        <f>IF(COUNT(G43:G47)=0,"",SUM(G43:G47))</f>
        <v>49554.0</v>
      </c>
      <c r="H48" s="10"/>
    </row>
    <row r="50" spans="1:8" ht="22" customHeight="1">
      <c r="A50" s="5" t="s">
        <v>127</v>
      </c>
      <c r="B50" s="5"/>
      <c r="C50" s="5"/>
      <c r="D50" s="5"/>
      <c r="E50" s="5"/>
      <c r="F50" s="5"/>
      <c r="G50" s="5"/>
      <c r="H50" s="5"/>
    </row>
    <row r="51" spans="1:8" ht="26" customHeight="1">
      <c r="A51" s="6" t="s">
        <v>128</v>
      </c>
      <c r="B51" s="7" t="s">
        <v>129</v>
      </c>
      <c r="C51" s="7" t="s">
        <v>130</v>
      </c>
      <c r="D51" s="6" t="s">
        <v>40</v>
      </c>
      <c r="E51" s="8">
        <v>6.3</v>
      </c>
      <c r="F51" s="9">
        <v>53</v>
      </c>
      <c r="G51" s="9">
        <f>IF(AND(ISNUMBER(E51),ISNUMBER(F51)),ROUND(E51*F51,2),"")</f>
        <v>333.9</v>
      </c>
      <c r="H51" s="7"/>
    </row>
    <row r="52" spans="1:8" ht="26" customHeight="1">
      <c r="A52" s="6" t="s">
        <v>131</v>
      </c>
      <c r="B52" s="7" t="s">
        <v>132</v>
      </c>
      <c r="C52" s="7" t="s">
        <v>130</v>
      </c>
      <c r="D52" s="6" t="s">
        <v>40</v>
      </c>
      <c r="E52" s="8">
        <v>17.7</v>
      </c>
      <c r="F52" s="9">
        <v>53</v>
      </c>
      <c r="G52" s="9">
        <f>IF(AND(ISNUMBER(E52),ISNUMBER(F52)),ROUND(E52*F52,2),"")</f>
        <v>938.1</v>
      </c>
      <c r="H52" s="7"/>
    </row>
    <row r="53" spans="1:8" ht="26" customHeight="1">
      <c r="A53" s="6" t="s">
        <v>133</v>
      </c>
      <c r="B53" s="7" t="s">
        <v>134</v>
      </c>
      <c r="C53" s="7" t="s">
        <v>130</v>
      </c>
      <c r="D53" s="6" t="s">
        <v>40</v>
      </c>
      <c r="E53" s="8">
        <v>2.08</v>
      </c>
      <c r="F53" s="9">
        <v>53</v>
      </c>
      <c r="G53" s="9">
        <f>IF(AND(ISNUMBER(E53),ISNUMBER(F53)),ROUND(E53*F53,2),"")</f>
        <v>110.24</v>
      </c>
      <c r="H53" s="7"/>
    </row>
    <row r="54" spans="1:8">
      <c r="A54" s="10" t="s">
        <v>135</v>
      </c>
      <c r="B54" s="10"/>
      <c r="C54" s="10"/>
      <c r="D54" s="10"/>
      <c r="E54" s="10"/>
      <c r="F54" s="10"/>
      <c r="G54" s="11">
        <f>IF(COUNT(G51:G53)=0,"",SUM(G51:G53))</f>
        <v>1382.24</v>
      </c>
      <c r="H54" s="10"/>
    </row>
    <row r="56" spans="1:8" ht="22" customHeight="1">
      <c r="A56" s="5" t="s">
        <v>136</v>
      </c>
      <c r="B56" s="5"/>
      <c r="C56" s="5"/>
      <c r="D56" s="5"/>
      <c r="E56" s="5"/>
      <c r="F56" s="5"/>
      <c r="G56" s="5"/>
      <c r="H56" s="5"/>
    </row>
    <row r="57" spans="1:8" ht="30" customHeight="1">
      <c r="A57" s="6" t="s">
        <v>137</v>
      </c>
      <c r="B57" s="7" t="s">
        <v>138</v>
      </c>
      <c r="C57" s="7" t="s">
        <v>139</v>
      </c>
      <c r="D57" s="6" t="s">
        <v>63</v>
      </c>
      <c r="E57" s="8">
        <v>7</v>
      </c>
      <c r="F57" s="9">
        <v>142</v>
      </c>
      <c r="G57" s="9">
        <f>IF(AND(ISNUMBER(E57),ISNUMBER(F57)),ROUND(E57*F57,2),"")</f>
        <v>994</v>
      </c>
      <c r="H57" s="7" t="s">
        <v>140</v>
      </c>
    </row>
    <row r="58" spans="1:8" ht="30" customHeight="1">
      <c r="A58" s="6" t="s">
        <v>141</v>
      </c>
      <c r="B58" s="7" t="s">
        <v>142</v>
      </c>
      <c r="C58" s="7" t="s">
        <v>143</v>
      </c>
      <c r="D58" s="6" t="s">
        <v>63</v>
      </c>
      <c r="E58" s="8">
        <v>7</v>
      </c>
      <c r="F58" s="9">
        <v>195</v>
      </c>
      <c r="G58" s="9">
        <f>IF(AND(ISNUMBER(E58),ISNUMBER(F58)),ROUND(E58*F58,2),"")</f>
        <v>1365</v>
      </c>
      <c r="H58" s="7" t="s">
        <v>140</v>
      </c>
    </row>
    <row r="59" spans="1:8" ht="30" customHeight="1">
      <c r="A59" s="6" t="s">
        <v>144</v>
      </c>
      <c r="B59" s="7" t="s">
        <v>145</v>
      </c>
      <c r="C59" s="7" t="s">
        <v>146</v>
      </c>
      <c r="D59" s="6" t="s">
        <v>63</v>
      </c>
      <c r="E59" s="8">
        <v>7</v>
      </c>
      <c r="F59" s="9">
        <v>26.5</v>
      </c>
      <c r="G59" s="9">
        <f>IF(AND(ISNUMBER(E59),ISNUMBER(F59)),ROUND(E59*F59,2),"")</f>
        <v>185.5</v>
      </c>
      <c r="H59" s="7" t="s">
        <v>140</v>
      </c>
    </row>
    <row r="60" spans="1:8" ht="26" customHeight="1">
      <c r="A60" s="6" t="s">
        <v>147</v>
      </c>
      <c r="B60" s="7" t="s">
        <v>148</v>
      </c>
      <c r="C60" s="7" t="s">
        <v>149</v>
      </c>
      <c r="D60" s="6" t="s">
        <v>63</v>
      </c>
      <c r="E60" s="8">
        <v>7</v>
      </c>
      <c r="F60" s="9">
        <v>26.5</v>
      </c>
      <c r="G60" s="9">
        <f>IF(AND(ISNUMBER(E60),ISNUMBER(F60)),ROUND(E60*F60,2),"")</f>
        <v>185.5</v>
      </c>
      <c r="H60" s="7" t="s">
        <v>140</v>
      </c>
    </row>
    <row r="61" spans="1:8" ht="26" customHeight="1">
      <c r="A61" s="6" t="s">
        <v>150</v>
      </c>
      <c r="B61" s="7" t="s">
        <v>151</v>
      </c>
      <c r="C61" s="7" t="s">
        <v>152</v>
      </c>
      <c r="D61" s="6" t="s">
        <v>63</v>
      </c>
      <c r="E61" s="8">
        <v>1</v>
      </c>
      <c r="F61" s="9">
        <v>106</v>
      </c>
      <c r="G61" s="9">
        <f>IF(AND(ISNUMBER(E61),ISNUMBER(F61)),ROUND(E61*F61,2),"")</f>
        <v>106</v>
      </c>
      <c r="H61" s="7" t="s">
        <v>140</v>
      </c>
    </row>
    <row r="62" spans="1:8" ht="26" customHeight="1">
      <c r="A62" s="6" t="s">
        <v>153</v>
      </c>
      <c r="B62" s="7" t="s">
        <v>154</v>
      </c>
      <c r="C62" s="7" t="s">
        <v>155</v>
      </c>
      <c r="D62" s="6" t="s">
        <v>63</v>
      </c>
      <c r="E62" s="8">
        <v>6</v>
      </c>
      <c r="F62" s="9">
        <v>53</v>
      </c>
      <c r="G62" s="9">
        <f>IF(AND(ISNUMBER(E62),ISNUMBER(F62)),ROUND(E62*F62,2),"")</f>
        <v>318</v>
      </c>
      <c r="H62" s="7" t="s">
        <v>140</v>
      </c>
    </row>
    <row r="63" spans="1:8" ht="26" customHeight="1">
      <c r="A63" s="6" t="s">
        <v>156</v>
      </c>
      <c r="B63" s="7" t="s">
        <v>157</v>
      </c>
      <c r="C63" s="7" t="s">
        <v>155</v>
      </c>
      <c r="D63" s="6" t="s">
        <v>63</v>
      </c>
      <c r="E63" s="8">
        <v>6</v>
      </c>
      <c r="F63" s="9">
        <v>80</v>
      </c>
      <c r="G63" s="9">
        <f>IF(AND(ISNUMBER(E63),ISNUMBER(F63)),ROUND(E63*F63,2),"")</f>
        <v>480</v>
      </c>
      <c r="H63" s="7" t="s">
        <v>140</v>
      </c>
    </row>
    <row r="64" spans="1:8" ht="30" customHeight="1">
      <c r="A64" s="6" t="s">
        <v>158</v>
      </c>
      <c r="B64" s="7" t="s">
        <v>159</v>
      </c>
      <c r="C64" s="7" t="s">
        <v>160</v>
      </c>
      <c r="D64" s="6" t="s">
        <v>63</v>
      </c>
      <c r="E64" s="8">
        <v>10</v>
      </c>
      <c r="F64" s="9">
        <v>80</v>
      </c>
      <c r="G64" s="9">
        <f>IF(AND(ISNUMBER(E64),ISNUMBER(F64)),ROUND(E64*F64,2),"")</f>
        <v>800</v>
      </c>
      <c r="H64" s="7" t="s">
        <v>140</v>
      </c>
    </row>
    <row r="65" spans="1:8" ht="30" customHeight="1">
      <c r="A65" s="6" t="s">
        <v>161</v>
      </c>
      <c r="B65" s="7" t="s">
        <v>162</v>
      </c>
      <c r="C65" s="7" t="s">
        <v>163</v>
      </c>
      <c r="D65" s="6" t="s">
        <v>63</v>
      </c>
      <c r="E65" s="8">
        <v>2</v>
      </c>
      <c r="F65" s="9">
        <v>106</v>
      </c>
      <c r="G65" s="9">
        <f>IF(AND(ISNUMBER(E65),ISNUMBER(F65)),ROUND(E65*F65,2),"")</f>
        <v>212</v>
      </c>
      <c r="H65" s="7" t="s">
        <v>140</v>
      </c>
    </row>
    <row r="66" spans="1:8" ht="26" customHeight="1">
      <c r="A66" s="6" t="s">
        <v>164</v>
      </c>
      <c r="B66" s="7" t="s">
        <v>165</v>
      </c>
      <c r="C66" s="7" t="s">
        <v>166</v>
      </c>
      <c r="D66" s="6" t="s">
        <v>63</v>
      </c>
      <c r="E66" s="8">
        <v>7</v>
      </c>
      <c r="F66" s="9">
        <v>44.5</v>
      </c>
      <c r="G66" s="9">
        <f>IF(AND(ISNUMBER(E66),ISNUMBER(F66)),ROUND(E66*F66,2),"")</f>
        <v>311.5</v>
      </c>
      <c r="H66" s="7" t="s">
        <v>140</v>
      </c>
    </row>
    <row r="67" spans="1:8" ht="26" customHeight="1">
      <c r="A67" s="6" t="s">
        <v>167</v>
      </c>
      <c r="B67" s="7" t="s">
        <v>168</v>
      </c>
      <c r="C67" s="7" t="s">
        <v>169</v>
      </c>
      <c r="D67" s="6" t="s">
        <v>63</v>
      </c>
      <c r="E67" s="8">
        <v>5</v>
      </c>
      <c r="F67" s="9">
        <v>115</v>
      </c>
      <c r="G67" s="9">
        <f>IF(AND(ISNUMBER(E67),ISNUMBER(F67)),ROUND(E67*F67,2),"")</f>
        <v>575</v>
      </c>
      <c r="H67" s="7" t="s">
        <v>140</v>
      </c>
    </row>
    <row r="68" spans="1:8" ht="26" customHeight="1">
      <c r="A68" s="6" t="s">
        <v>170</v>
      </c>
      <c r="B68" s="7" t="s">
        <v>171</v>
      </c>
      <c r="C68" s="7" t="s">
        <v>172</v>
      </c>
      <c r="D68" s="6" t="s">
        <v>63</v>
      </c>
      <c r="E68" s="8">
        <v>1</v>
      </c>
      <c r="F68" s="9">
        <v>266</v>
      </c>
      <c r="G68" s="9">
        <f>IF(AND(ISNUMBER(E68),ISNUMBER(F68)),ROUND(E68*F68,2),"")</f>
        <v>266</v>
      </c>
      <c r="H68" s="7" t="s">
        <v>140</v>
      </c>
    </row>
    <row r="69" spans="1:8" ht="26" customHeight="1">
      <c r="A69" s="6" t="s">
        <v>173</v>
      </c>
      <c r="B69" s="7" t="s">
        <v>174</v>
      </c>
      <c r="C69" s="7" t="s">
        <v>175</v>
      </c>
      <c r="D69" s="6" t="s">
        <v>63</v>
      </c>
      <c r="E69" s="8">
        <v>1</v>
      </c>
      <c r="F69" s="9">
        <v>390</v>
      </c>
      <c r="G69" s="9">
        <f>IF(AND(ISNUMBER(E69),ISNUMBER(F69)),ROUND(E69*F69,2),"")</f>
        <v>390</v>
      </c>
      <c r="H69" s="7" t="s">
        <v>140</v>
      </c>
    </row>
    <row r="70" spans="1:8" ht="26" customHeight="1">
      <c r="A70" s="6" t="s">
        <v>176</v>
      </c>
      <c r="B70" s="7" t="s">
        <v>177</v>
      </c>
      <c r="C70" s="7" t="s">
        <v>178</v>
      </c>
      <c r="D70" s="6" t="s">
        <v>63</v>
      </c>
      <c r="E70" s="8">
        <v>1</v>
      </c>
      <c r="F70" s="9">
        <v>177</v>
      </c>
      <c r="G70" s="9">
        <f>IF(AND(ISNUMBER(E70),ISNUMBER(F70)),ROUND(E70*F70,2),"")</f>
        <v>177</v>
      </c>
      <c r="H70" s="7" t="s">
        <v>140</v>
      </c>
    </row>
    <row r="71" spans="1:8" ht="26" customHeight="1">
      <c r="A71" s="6" t="s">
        <v>179</v>
      </c>
      <c r="B71" s="7" t="s">
        <v>180</v>
      </c>
      <c r="C71" s="7" t="s">
        <v>181</v>
      </c>
      <c r="D71" s="6" t="s">
        <v>63</v>
      </c>
      <c r="E71" s="8">
        <v>3</v>
      </c>
      <c r="F71" s="7" t="s">
        <v>182</v>
      </c>
      <c r="G71" s="9">
        <f>IF(AND(ISNUMBER(E71),ISNUMBER(F71)),ROUND(E71*F71,2),"")</f>
        <v/>
      </c>
      <c r="H71" s="7"/>
    </row>
    <row r="72" spans="1:8" ht="26" customHeight="1">
      <c r="A72" s="6" t="s">
        <v>183</v>
      </c>
      <c r="B72" s="7" t="s">
        <v>184</v>
      </c>
      <c r="C72" s="7" t="s">
        <v>185</v>
      </c>
      <c r="D72" s="6" t="s">
        <v>63</v>
      </c>
      <c r="E72" s="8">
        <v>5</v>
      </c>
      <c r="F72" s="9">
        <v>80</v>
      </c>
      <c r="G72" s="9">
        <f>IF(AND(ISNUMBER(E72),ISNUMBER(F72)),ROUND(E72*F72,2),"")</f>
        <v>400</v>
      </c>
      <c r="H72" s="7" t="s">
        <v>140</v>
      </c>
    </row>
    <row r="73" spans="1:8" ht="26" customHeight="1">
      <c r="A73" s="6" t="s">
        <v>186</v>
      </c>
      <c r="B73" s="7" t="s">
        <v>187</v>
      </c>
      <c r="C73" s="7" t="s">
        <v>181</v>
      </c>
      <c r="D73" s="6" t="s">
        <v>63</v>
      </c>
      <c r="E73" s="8">
        <v>2</v>
      </c>
      <c r="F73" s="7" t="s">
        <v>182</v>
      </c>
      <c r="G73" s="9">
        <f>IF(AND(ISNUMBER(E73),ISNUMBER(F73)),ROUND(E73*F73,2),"")</f>
        <v/>
      </c>
      <c r="H73" s="7"/>
    </row>
    <row r="74" spans="1:8" ht="26" customHeight="1">
      <c r="A74" s="6" t="s">
        <v>188</v>
      </c>
      <c r="B74" s="7" t="s">
        <v>189</v>
      </c>
      <c r="C74" s="7" t="s">
        <v>155</v>
      </c>
      <c r="D74" s="6" t="s">
        <v>63</v>
      </c>
      <c r="E74" s="8">
        <v>2</v>
      </c>
      <c r="F74" s="9">
        <v>80</v>
      </c>
      <c r="G74" s="9">
        <f>IF(AND(ISNUMBER(E74),ISNUMBER(F74)),ROUND(E74*F74,2),"")</f>
        <v>160</v>
      </c>
      <c r="H74" s="7" t="s">
        <v>140</v>
      </c>
    </row>
    <row r="75" spans="1:8" ht="26" customHeight="1">
      <c r="A75" s="6" t="s">
        <v>190</v>
      </c>
      <c r="B75" s="7" t="s">
        <v>191</v>
      </c>
      <c r="C75" s="7" t="s">
        <v>155</v>
      </c>
      <c r="D75" s="6" t="s">
        <v>63</v>
      </c>
      <c r="E75" s="8">
        <v>1</v>
      </c>
      <c r="F75" s="9">
        <v>115</v>
      </c>
      <c r="G75" s="9">
        <f>IF(AND(ISNUMBER(E75),ISNUMBER(F75)),ROUND(E75*F75,2),"")</f>
        <v>115</v>
      </c>
      <c r="H75" s="7" t="s">
        <v>140</v>
      </c>
    </row>
    <row r="76" spans="1:8" ht="26" customHeight="1">
      <c r="A76" s="6" t="s">
        <v>192</v>
      </c>
      <c r="B76" s="7" t="s">
        <v>193</v>
      </c>
      <c r="C76" s="7" t="s">
        <v>194</v>
      </c>
      <c r="D76" s="6" t="s">
        <v>63</v>
      </c>
      <c r="E76" s="8">
        <v>11</v>
      </c>
      <c r="F76" s="9">
        <v>32</v>
      </c>
      <c r="G76" s="9">
        <f>IF(AND(ISNUMBER(E76),ISNUMBER(F76)),ROUND(E76*F76,2),"")</f>
        <v>352.0</v>
      </c>
      <c r="H76" s="7" t="s">
        <v>140</v>
      </c>
    </row>
    <row r="77" spans="1:8" ht="26" customHeight="1">
      <c r="A77" s="6" t="s">
        <v>195</v>
      </c>
      <c r="B77" s="7" t="s">
        <v>196</v>
      </c>
      <c r="C77" s="7" t="s">
        <v>197</v>
      </c>
      <c r="D77" s="6" t="s">
        <v>63</v>
      </c>
      <c r="E77" s="8">
        <v>1</v>
      </c>
      <c r="F77" s="9">
        <v>319</v>
      </c>
      <c r="G77" s="9">
        <f>IF(AND(ISNUMBER(E77),ISNUMBER(F77)),ROUND(E77*F77,2),"")</f>
        <v>319</v>
      </c>
      <c r="H77" s="7" t="s">
        <v>140</v>
      </c>
    </row>
    <row r="78" spans="1:8" ht="26" customHeight="1">
      <c r="A78" s="6" t="s">
        <v>198</v>
      </c>
      <c r="B78" s="7" t="s">
        <v>199</v>
      </c>
      <c r="C78" s="7" t="s">
        <v>200</v>
      </c>
      <c r="D78" s="6" t="s">
        <v>63</v>
      </c>
      <c r="E78" s="8">
        <v>1</v>
      </c>
      <c r="F78" s="9">
        <v>213</v>
      </c>
      <c r="G78" s="9">
        <f>IF(AND(ISNUMBER(E78),ISNUMBER(F78)),ROUND(E78*F78,2),"")</f>
        <v>213</v>
      </c>
      <c r="H78" s="7" t="s">
        <v>140</v>
      </c>
    </row>
    <row r="79" spans="1:8" ht="26" customHeight="1">
      <c r="A79" s="6" t="s">
        <v>201</v>
      </c>
      <c r="B79" s="7" t="s">
        <v>202</v>
      </c>
      <c r="C79" s="7" t="s">
        <v>155</v>
      </c>
      <c r="D79" s="6" t="s">
        <v>63</v>
      </c>
      <c r="E79" s="8">
        <v>2</v>
      </c>
      <c r="F79" s="9">
        <v>98</v>
      </c>
      <c r="G79" s="9">
        <f>IF(AND(ISNUMBER(E79),ISNUMBER(F79)),ROUND(E79*F79,2),"")</f>
        <v>196</v>
      </c>
      <c r="H79" s="7" t="s">
        <v>140</v>
      </c>
    </row>
    <row r="80" spans="1:8" ht="26" customHeight="1">
      <c r="A80" s="6" t="s">
        <v>203</v>
      </c>
      <c r="B80" s="7" t="s">
        <v>204</v>
      </c>
      <c r="C80" s="7" t="s">
        <v>205</v>
      </c>
      <c r="D80" s="6" t="s">
        <v>206</v>
      </c>
      <c r="E80" s="8">
        <v>23</v>
      </c>
      <c r="F80" s="9">
        <v>213</v>
      </c>
      <c r="G80" s="9">
        <f>IF(AND(ISNUMBER(E80),ISNUMBER(F80)),ROUND(E80*F80,2),"")</f>
        <v>4899</v>
      </c>
      <c r="H80" s="7"/>
    </row>
    <row r="81" spans="1:8" ht="26" customHeight="1">
      <c r="A81" s="6" t="s">
        <v>207</v>
      </c>
      <c r="B81" s="7" t="s">
        <v>208</v>
      </c>
      <c r="C81" s="7" t="s">
        <v>205</v>
      </c>
      <c r="D81" s="6" t="s">
        <v>206</v>
      </c>
      <c r="E81" s="8">
        <v>7</v>
      </c>
      <c r="F81" s="9">
        <v>89</v>
      </c>
      <c r="G81" s="9">
        <f>IF(AND(ISNUMBER(E81),ISNUMBER(F81)),ROUND(E81*F81,2),"")</f>
        <v>623</v>
      </c>
      <c r="H81" s="7"/>
    </row>
    <row r="82" spans="1:8" ht="26" customHeight="1">
      <c r="A82" s="6" t="s">
        <v>209</v>
      </c>
      <c r="B82" s="7" t="s">
        <v>210</v>
      </c>
      <c r="C82" s="7" t="s">
        <v>211</v>
      </c>
      <c r="D82" s="6" t="s">
        <v>206</v>
      </c>
      <c r="E82" s="8">
        <v>7</v>
      </c>
      <c r="F82" s="9">
        <v>124</v>
      </c>
      <c r="G82" s="9">
        <f>IF(AND(ISNUMBER(E82),ISNUMBER(F82)),ROUND(E82*F82,2),"")</f>
        <v>868</v>
      </c>
      <c r="H82" s="7"/>
    </row>
    <row r="83" spans="1:8" ht="26" customHeight="1">
      <c r="A83" s="6" t="s">
        <v>212</v>
      </c>
      <c r="B83" s="7" t="s">
        <v>213</v>
      </c>
      <c r="C83" s="7" t="s">
        <v>211</v>
      </c>
      <c r="D83" s="6" t="s">
        <v>206</v>
      </c>
      <c r="E83" s="8">
        <v>15</v>
      </c>
      <c r="F83" s="9">
        <v>80</v>
      </c>
      <c r="G83" s="9">
        <f>IF(AND(ISNUMBER(E83),ISNUMBER(F83)),ROUND(E83*F83,2),"")</f>
        <v>1200</v>
      </c>
      <c r="H83" s="7"/>
    </row>
    <row r="84" spans="1:8" ht="26" customHeight="1">
      <c r="A84" s="6" t="s">
        <v>214</v>
      </c>
      <c r="B84" s="7" t="s">
        <v>215</v>
      </c>
      <c r="C84" s="7" t="s">
        <v>216</v>
      </c>
      <c r="D84" s="6" t="s">
        <v>206</v>
      </c>
      <c r="E84" s="8">
        <v>2</v>
      </c>
      <c r="F84" s="9">
        <v>160</v>
      </c>
      <c r="G84" s="9">
        <f>IF(AND(ISNUMBER(E84),ISNUMBER(F84)),ROUND(E84*F84,2),"")</f>
        <v>320</v>
      </c>
      <c r="H84" s="7"/>
    </row>
    <row r="85" spans="1:8" ht="26" customHeight="1">
      <c r="A85" s="6" t="s">
        <v>217</v>
      </c>
      <c r="B85" s="7" t="s">
        <v>218</v>
      </c>
      <c r="C85" s="7" t="s">
        <v>219</v>
      </c>
      <c r="D85" s="6" t="s">
        <v>63</v>
      </c>
      <c r="E85" s="8">
        <v>2</v>
      </c>
      <c r="F85" s="9">
        <v>32</v>
      </c>
      <c r="G85" s="9">
        <f>IF(AND(ISNUMBER(E85),ISNUMBER(F85)),ROUND(E85*F85,2),"")</f>
        <v>64.0</v>
      </c>
      <c r="H85" s="7"/>
    </row>
    <row r="86" spans="1:8" ht="26" customHeight="1">
      <c r="A86" s="6" t="s">
        <v>220</v>
      </c>
      <c r="B86" s="7" t="s">
        <v>221</v>
      </c>
      <c r="C86" s="7" t="s">
        <v>222</v>
      </c>
      <c r="D86" s="6" t="s">
        <v>15</v>
      </c>
      <c r="E86" s="8">
        <v>1</v>
      </c>
      <c r="F86" s="9">
        <v>3550</v>
      </c>
      <c r="G86" s="9">
        <f>IF(AND(ISNUMBER(E86),ISNUMBER(F86)),ROUND(E86*F86,2),"")</f>
        <v>3550</v>
      </c>
      <c r="H86" s="7"/>
    </row>
    <row r="87" spans="1:8" ht="26" customHeight="1">
      <c r="A87" s="6" t="s">
        <v>223</v>
      </c>
      <c r="B87" s="7" t="s">
        <v>224</v>
      </c>
      <c r="C87" s="7" t="s">
        <v>225</v>
      </c>
      <c r="D87" s="6" t="s">
        <v>15</v>
      </c>
      <c r="E87" s="8">
        <v>1</v>
      </c>
      <c r="F87" s="9">
        <v>3190</v>
      </c>
      <c r="G87" s="9">
        <f>IF(AND(ISNUMBER(E87),ISNUMBER(F87)),ROUND(E87*F87,2),"")</f>
        <v>3190</v>
      </c>
      <c r="H87" s="7"/>
    </row>
    <row r="88" spans="1:8" ht="26" customHeight="1">
      <c r="A88" s="6" t="s">
        <v>226</v>
      </c>
      <c r="B88" s="7" t="s">
        <v>227</v>
      </c>
      <c r="C88" s="7" t="s">
        <v>228</v>
      </c>
      <c r="D88" s="6" t="s">
        <v>63</v>
      </c>
      <c r="E88" s="8">
        <v>1</v>
      </c>
      <c r="F88" s="9">
        <v>213</v>
      </c>
      <c r="G88" s="9">
        <f>IF(AND(ISNUMBER(E88),ISNUMBER(F88)),ROUND(E88*F88,2),"")</f>
        <v>213</v>
      </c>
      <c r="H88" s="7" t="s">
        <v>140</v>
      </c>
    </row>
    <row r="89" spans="1:8" ht="30" customHeight="1">
      <c r="A89" s="6" t="s">
        <v>229</v>
      </c>
      <c r="B89" s="7" t="s">
        <v>230</v>
      </c>
      <c r="C89" s="7" t="s">
        <v>231</v>
      </c>
      <c r="D89" s="6" t="s">
        <v>15</v>
      </c>
      <c r="E89" s="8">
        <v>1</v>
      </c>
      <c r="F89" s="9">
        <v>444</v>
      </c>
      <c r="G89" s="9">
        <f>IF(AND(ISNUMBER(E89),ISNUMBER(F89)),ROUND(E89*F89,2),"")</f>
        <v>444</v>
      </c>
      <c r="H89" s="7"/>
    </row>
    <row r="90" spans="1:8">
      <c r="A90" s="10" t="s">
        <v>232</v>
      </c>
      <c r="B90" s="10"/>
      <c r="C90" s="10"/>
      <c r="D90" s="10"/>
      <c r="E90" s="10"/>
      <c r="F90" s="10"/>
      <c r="G90" s="11">
        <f>IF(COUNT(G57:G89)=0,"",SUM(G57:G89))</f>
        <v>23491.5</v>
      </c>
      <c r="H90" s="10"/>
    </row>
    <row r="92" spans="1:8" ht="22" customHeight="1">
      <c r="A92" s="5" t="s">
        <v>233</v>
      </c>
      <c r="B92" s="5"/>
      <c r="C92" s="5"/>
      <c r="D92" s="5"/>
      <c r="E92" s="5"/>
      <c r="F92" s="5"/>
      <c r="G92" s="5"/>
      <c r="H92" s="5"/>
    </row>
    <row r="93" spans="1:8" ht="30" customHeight="1">
      <c r="A93" s="6" t="s">
        <v>234</v>
      </c>
      <c r="B93" s="7" t="s">
        <v>235</v>
      </c>
      <c r="C93" s="7" t="s">
        <v>236</v>
      </c>
      <c r="D93" s="6" t="s">
        <v>63</v>
      </c>
      <c r="E93" s="8">
        <v>119</v>
      </c>
      <c r="F93" s="9">
        <v>47</v>
      </c>
      <c r="G93" s="9">
        <f>IF(AND(ISNUMBER(E93),ISNUMBER(F93)),ROUND(E93*F93,2),"")</f>
        <v>5593.0</v>
      </c>
      <c r="H93" s="7"/>
    </row>
    <row r="94" spans="1:8" ht="26" customHeight="1">
      <c r="A94" s="6" t="s">
        <v>237</v>
      </c>
      <c r="B94" s="7" t="s">
        <v>238</v>
      </c>
      <c r="C94" s="7" t="s">
        <v>239</v>
      </c>
      <c r="D94" s="6" t="s">
        <v>63</v>
      </c>
      <c r="E94" s="8">
        <v>51</v>
      </c>
      <c r="F94" s="9">
        <v>56</v>
      </c>
      <c r="G94" s="9">
        <f>IF(AND(ISNUMBER(E94),ISNUMBER(F94)),ROUND(E94*F94,2),"")</f>
        <v>2856</v>
      </c>
      <c r="H94" s="7"/>
    </row>
    <row r="95" spans="1:8" ht="30" customHeight="1">
      <c r="A95" s="6" t="s">
        <v>240</v>
      </c>
      <c r="B95" s="7" t="s">
        <v>241</v>
      </c>
      <c r="C95" s="7" t="s">
        <v>242</v>
      </c>
      <c r="D95" s="6" t="s">
        <v>63</v>
      </c>
      <c r="E95" s="8">
        <v>18</v>
      </c>
      <c r="F95" s="9">
        <v>66</v>
      </c>
      <c r="G95" s="9">
        <f>IF(AND(ISNUMBER(E95),ISNUMBER(F95)),ROUND(E95*F95,2),"")</f>
        <v>1188</v>
      </c>
      <c r="H95" s="7"/>
    </row>
    <row r="96" spans="1:8" ht="26" customHeight="1">
      <c r="A96" s="6" t="s">
        <v>243</v>
      </c>
      <c r="B96" s="7" t="s">
        <v>244</v>
      </c>
      <c r="C96" s="7" t="s">
        <v>245</v>
      </c>
      <c r="D96" s="6" t="s">
        <v>63</v>
      </c>
      <c r="E96" s="8">
        <v>1</v>
      </c>
      <c r="F96" s="9">
        <v>157</v>
      </c>
      <c r="G96" s="9">
        <f>IF(AND(ISNUMBER(E96),ISNUMBER(F96)),ROUND(E96*F96,2),"")</f>
        <v>157</v>
      </c>
      <c r="H96" s="7"/>
    </row>
    <row r="97" spans="1:8" ht="30" customHeight="1">
      <c r="A97" s="6" t="s">
        <v>246</v>
      </c>
      <c r="B97" s="7" t="s">
        <v>247</v>
      </c>
      <c r="C97" s="7" t="s">
        <v>248</v>
      </c>
      <c r="D97" s="6" t="s">
        <v>15</v>
      </c>
      <c r="E97" s="8">
        <v>1</v>
      </c>
      <c r="F97" s="9">
        <v>1510</v>
      </c>
      <c r="G97" s="9">
        <f>IF(AND(ISNUMBER(E97),ISNUMBER(F97)),ROUND(E97*F97,2),"")</f>
        <v>1510</v>
      </c>
      <c r="H97" s="7"/>
    </row>
    <row r="98" spans="1:8" ht="30" customHeight="1">
      <c r="A98" s="6" t="s">
        <v>249</v>
      </c>
      <c r="B98" s="7" t="s">
        <v>250</v>
      </c>
      <c r="C98" s="7" t="s">
        <v>251</v>
      </c>
      <c r="D98" s="6" t="s">
        <v>15</v>
      </c>
      <c r="E98" s="8">
        <v>1</v>
      </c>
      <c r="F98" s="9">
        <v>1240</v>
      </c>
      <c r="G98" s="9">
        <f>IF(AND(ISNUMBER(E98),ISNUMBER(F98)),ROUND(E98*F98,2),"")</f>
        <v>1240</v>
      </c>
      <c r="H98" s="7"/>
    </row>
    <row r="99" spans="1:8" ht="30" customHeight="1">
      <c r="A99" s="6" t="s">
        <v>252</v>
      </c>
      <c r="B99" s="7" t="s">
        <v>253</v>
      </c>
      <c r="C99" s="7" t="s">
        <v>254</v>
      </c>
      <c r="D99" s="6" t="s">
        <v>15</v>
      </c>
      <c r="E99" s="8">
        <v>1</v>
      </c>
      <c r="F99" s="9">
        <v>444</v>
      </c>
      <c r="G99" s="9">
        <f>IF(AND(ISNUMBER(E99),ISNUMBER(F99)),ROUND(E99*F99,2),"")</f>
        <v>444</v>
      </c>
      <c r="H99" s="7"/>
    </row>
    <row r="100" spans="1:8" ht="26" customHeight="1">
      <c r="A100" s="6" t="s">
        <v>255</v>
      </c>
      <c r="B100" s="7" t="s">
        <v>256</v>
      </c>
      <c r="C100" s="7" t="s">
        <v>257</v>
      </c>
      <c r="D100" s="6" t="s">
        <v>63</v>
      </c>
      <c r="E100" s="8">
        <v>9</v>
      </c>
      <c r="F100" s="9">
        <v>66</v>
      </c>
      <c r="G100" s="9">
        <f>IF(AND(ISNUMBER(E100),ISNUMBER(F100)),ROUND(E100*F100,2),"")</f>
        <v>594</v>
      </c>
      <c r="H100" s="7"/>
    </row>
    <row r="101" spans="1:8" ht="30" customHeight="1">
      <c r="A101" s="6" t="s">
        <v>258</v>
      </c>
      <c r="B101" s="7" t="s">
        <v>259</v>
      </c>
      <c r="C101" s="7" t="s">
        <v>260</v>
      </c>
      <c r="D101" s="6" t="s">
        <v>206</v>
      </c>
      <c r="E101" s="8">
        <v>8</v>
      </c>
      <c r="F101" s="9">
        <v>131</v>
      </c>
      <c r="G101" s="9">
        <f>IF(AND(ISNUMBER(E101),ISNUMBER(F101)),ROUND(E101*F101,2),"")</f>
        <v>1048</v>
      </c>
      <c r="H101" s="7"/>
    </row>
    <row r="102" spans="1:8" ht="56" customHeight="1">
      <c r="A102" s="6" t="s">
        <v>261</v>
      </c>
      <c r="B102" s="7" t="s">
        <v>262</v>
      </c>
      <c r="C102" s="7" t="s">
        <v>263</v>
      </c>
      <c r="D102" s="6" t="s">
        <v>15</v>
      </c>
      <c r="E102" s="8">
        <v>1</v>
      </c>
      <c r="F102" s="9">
        <v>610</v>
      </c>
      <c r="G102" s="9">
        <f>IF(AND(ISNUMBER(E102),ISNUMBER(F102)),ROUND(E102*F102,2),"")</f>
        <v>610</v>
      </c>
      <c r="H102" s="7"/>
    </row>
    <row r="103" spans="1:8" ht="26" customHeight="1">
      <c r="A103" s="6" t="s">
        <v>264</v>
      </c>
      <c r="B103" s="7" t="s">
        <v>265</v>
      </c>
      <c r="C103" s="7" t="s">
        <v>266</v>
      </c>
      <c r="D103" s="6" t="s">
        <v>63</v>
      </c>
      <c r="E103" s="8">
        <v>1</v>
      </c>
      <c r="F103" s="9">
        <v>61</v>
      </c>
      <c r="G103" s="9">
        <f>IF(AND(ISNUMBER(E103),ISNUMBER(F103)),ROUND(E103*F103,2),"")</f>
        <v>61</v>
      </c>
      <c r="H103" s="7"/>
    </row>
    <row r="104" spans="1:8">
      <c r="A104" s="10" t="s">
        <v>267</v>
      </c>
      <c r="B104" s="10"/>
      <c r="C104" s="10"/>
      <c r="D104" s="10"/>
      <c r="E104" s="10"/>
      <c r="F104" s="10"/>
      <c r="G104" s="11">
        <f>IF(COUNT(G93:G103)=0,"",SUM(G93:G103))</f>
        <v>15301.0</v>
      </c>
      <c r="H104" s="10"/>
    </row>
    <row r="106" spans="1:8" ht="22" customHeight="1">
      <c r="A106" s="5" t="s">
        <v>268</v>
      </c>
      <c r="B106" s="5"/>
      <c r="C106" s="5"/>
      <c r="D106" s="5"/>
      <c r="E106" s="5"/>
      <c r="F106" s="5"/>
      <c r="G106" s="5"/>
      <c r="H106" s="5"/>
    </row>
    <row r="107" spans="1:8" ht="26" customHeight="1">
      <c r="A107" s="6" t="s">
        <v>269</v>
      </c>
      <c r="B107" s="7" t="s">
        <v>270</v>
      </c>
      <c r="C107" s="7" t="s">
        <v>271</v>
      </c>
      <c r="D107" s="6" t="s">
        <v>63</v>
      </c>
      <c r="E107" s="8">
        <v>62</v>
      </c>
      <c r="F107" s="9">
        <v>26</v>
      </c>
      <c r="G107" s="9">
        <f>IF(AND(ISNUMBER(E107),ISNUMBER(F107)),ROUND(E107*F107,2),"")</f>
        <v>1612.0</v>
      </c>
      <c r="H107" s="7"/>
    </row>
    <row r="108" spans="1:8" ht="26" customHeight="1">
      <c r="A108" s="6" t="s">
        <v>272</v>
      </c>
      <c r="B108" s="7" t="s">
        <v>273</v>
      </c>
      <c r="C108" s="7" t="s">
        <v>274</v>
      </c>
      <c r="D108" s="6" t="s">
        <v>63</v>
      </c>
      <c r="E108" s="8">
        <v>16</v>
      </c>
      <c r="F108" s="9">
        <v>35</v>
      </c>
      <c r="G108" s="9">
        <f>IF(AND(ISNUMBER(E108),ISNUMBER(F108)),ROUND(E108*F108,2),"")</f>
        <v>560.0</v>
      </c>
      <c r="H108" s="7"/>
    </row>
    <row r="109" spans="1:8" ht="56" customHeight="1">
      <c r="A109" s="6" t="s">
        <v>275</v>
      </c>
      <c r="B109" s="7" t="s">
        <v>276</v>
      </c>
      <c r="C109" s="7" t="s">
        <v>277</v>
      </c>
      <c r="D109" s="6" t="s">
        <v>63</v>
      </c>
      <c r="E109" s="8">
        <v>3</v>
      </c>
      <c r="F109" s="9">
        <v>42</v>
      </c>
      <c r="G109" s="9">
        <f>IF(AND(ISNUMBER(E109),ISNUMBER(F109)),ROUND(E109*F109,2),"")</f>
        <v>126.0</v>
      </c>
      <c r="H109" s="7"/>
    </row>
    <row r="110" spans="1:8" ht="26" customHeight="1">
      <c r="A110" s="6" t="s">
        <v>278</v>
      </c>
      <c r="B110" s="7" t="s">
        <v>279</v>
      </c>
      <c r="C110" s="7" t="s">
        <v>280</v>
      </c>
      <c r="D110" s="6" t="s">
        <v>63</v>
      </c>
      <c r="E110" s="8">
        <v>15</v>
      </c>
      <c r="F110" s="9">
        <v>38.5</v>
      </c>
      <c r="G110" s="9">
        <f>IF(AND(ISNUMBER(E110),ISNUMBER(F110)),ROUND(E110*F110,2),"")</f>
        <v>577.5</v>
      </c>
      <c r="H110" s="7" t="s">
        <v>140</v>
      </c>
    </row>
    <row r="111" spans="1:8" ht="30" customHeight="1">
      <c r="A111" s="6" t="s">
        <v>281</v>
      </c>
      <c r="B111" s="7" t="s">
        <v>282</v>
      </c>
      <c r="C111" s="7" t="s">
        <v>283</v>
      </c>
      <c r="D111" s="6" t="s">
        <v>63</v>
      </c>
      <c r="E111" s="8">
        <v>22</v>
      </c>
      <c r="F111" s="9">
        <v>56</v>
      </c>
      <c r="G111" s="9">
        <f>IF(AND(ISNUMBER(E111),ISNUMBER(F111)),ROUND(E111*F111,2),"")</f>
        <v>1232</v>
      </c>
      <c r="H111" s="7" t="s">
        <v>140</v>
      </c>
    </row>
    <row r="112" spans="1:8" ht="26" customHeight="1">
      <c r="A112" s="6" t="s">
        <v>284</v>
      </c>
      <c r="B112" s="7" t="s">
        <v>285</v>
      </c>
      <c r="C112" s="7" t="s">
        <v>155</v>
      </c>
      <c r="D112" s="6" t="s">
        <v>63</v>
      </c>
      <c r="E112" s="8">
        <v>30</v>
      </c>
      <c r="F112" s="9">
        <v>38.5</v>
      </c>
      <c r="G112" s="9">
        <f>IF(AND(ISNUMBER(E112),ISNUMBER(F112)),ROUND(E112*F112,2),"")</f>
        <v>1155.0</v>
      </c>
      <c r="H112" s="7" t="s">
        <v>140</v>
      </c>
    </row>
    <row r="113" spans="1:8" ht="26" customHeight="1">
      <c r="A113" s="6" t="s">
        <v>286</v>
      </c>
      <c r="B113" s="7" t="s">
        <v>287</v>
      </c>
      <c r="C113" s="7" t="s">
        <v>155</v>
      </c>
      <c r="D113" s="6" t="s">
        <v>63</v>
      </c>
      <c r="E113" s="8">
        <v>35</v>
      </c>
      <c r="F113" s="9">
        <v>52</v>
      </c>
      <c r="G113" s="9">
        <f>IF(AND(ISNUMBER(E113),ISNUMBER(F113)),ROUND(E113*F113,2),"")</f>
        <v>1820</v>
      </c>
      <c r="H113" s="7" t="s">
        <v>140</v>
      </c>
    </row>
    <row r="114" spans="1:8" ht="26" customHeight="1">
      <c r="A114" s="6" t="s">
        <v>288</v>
      </c>
      <c r="B114" s="7" t="s">
        <v>289</v>
      </c>
      <c r="C114" s="7" t="s">
        <v>155</v>
      </c>
      <c r="D114" s="6" t="s">
        <v>63</v>
      </c>
      <c r="E114" s="8">
        <v>25</v>
      </c>
      <c r="F114" s="9">
        <v>15</v>
      </c>
      <c r="G114" s="9">
        <f>IF(AND(ISNUMBER(E114),ISNUMBER(F114)),ROUND(E114*F114,2),"")</f>
        <v>375.0</v>
      </c>
      <c r="H114" s="7" t="s">
        <v>140</v>
      </c>
    </row>
    <row r="115" spans="1:8" ht="26" customHeight="1">
      <c r="A115" s="6" t="s">
        <v>290</v>
      </c>
      <c r="B115" s="7" t="s">
        <v>291</v>
      </c>
      <c r="C115" s="7" t="s">
        <v>292</v>
      </c>
      <c r="D115" s="6" t="s">
        <v>63</v>
      </c>
      <c r="E115" s="8">
        <v>11</v>
      </c>
      <c r="F115" s="9">
        <v>61</v>
      </c>
      <c r="G115" s="9">
        <f>IF(AND(ISNUMBER(E115),ISNUMBER(F115)),ROUND(E115*F115,2),"")</f>
        <v>671</v>
      </c>
      <c r="H115" s="7" t="s">
        <v>140</v>
      </c>
    </row>
    <row r="116" spans="1:8" ht="26" customHeight="1">
      <c r="A116" s="6" t="s">
        <v>293</v>
      </c>
      <c r="B116" s="7" t="s">
        <v>294</v>
      </c>
      <c r="C116" s="7" t="s">
        <v>295</v>
      </c>
      <c r="D116" s="6" t="s">
        <v>63</v>
      </c>
      <c r="E116" s="8">
        <v>2</v>
      </c>
      <c r="F116" s="9">
        <v>78</v>
      </c>
      <c r="G116" s="9">
        <f>IF(AND(ISNUMBER(E116),ISNUMBER(F116)),ROUND(E116*F116,2),"")</f>
        <v>156</v>
      </c>
      <c r="H116" s="7" t="s">
        <v>140</v>
      </c>
    </row>
    <row r="117" spans="1:8" ht="26" customHeight="1">
      <c r="A117" s="6" t="s">
        <v>296</v>
      </c>
      <c r="B117" s="7" t="s">
        <v>297</v>
      </c>
      <c r="C117" s="7" t="s">
        <v>298</v>
      </c>
      <c r="D117" s="6" t="s">
        <v>63</v>
      </c>
      <c r="E117" s="8">
        <v>9</v>
      </c>
      <c r="F117" s="9">
        <v>52</v>
      </c>
      <c r="G117" s="9">
        <f>IF(AND(ISNUMBER(E117),ISNUMBER(F117)),ROUND(E117*F117,2),"")</f>
        <v>468</v>
      </c>
      <c r="H117" s="7" t="s">
        <v>140</v>
      </c>
    </row>
    <row r="118" spans="1:8" ht="26" customHeight="1">
      <c r="A118" s="6" t="s">
        <v>299</v>
      </c>
      <c r="B118" s="7" t="s">
        <v>300</v>
      </c>
      <c r="C118" s="7" t="s">
        <v>301</v>
      </c>
      <c r="D118" s="6" t="s">
        <v>63</v>
      </c>
      <c r="E118" s="8">
        <v>25</v>
      </c>
      <c r="F118" s="9">
        <v>49</v>
      </c>
      <c r="G118" s="9">
        <f>IF(AND(ISNUMBER(E118),ISNUMBER(F118)),ROUND(E118*F118,2),"")</f>
        <v>1225.0</v>
      </c>
      <c r="H118" s="7" t="s">
        <v>140</v>
      </c>
    </row>
    <row r="119" spans="1:8" ht="26" customHeight="1">
      <c r="A119" s="6" t="s">
        <v>302</v>
      </c>
      <c r="B119" s="7" t="s">
        <v>303</v>
      </c>
      <c r="C119" s="7" t="s">
        <v>155</v>
      </c>
      <c r="D119" s="6" t="s">
        <v>63</v>
      </c>
      <c r="E119" s="8">
        <v>8</v>
      </c>
      <c r="F119" s="9">
        <v>42</v>
      </c>
      <c r="G119" s="9">
        <f>IF(AND(ISNUMBER(E119),ISNUMBER(F119)),ROUND(E119*F119,2),"")</f>
        <v>336.0</v>
      </c>
      <c r="H119" s="7" t="s">
        <v>140</v>
      </c>
    </row>
    <row r="120" spans="1:8" ht="26" customHeight="1">
      <c r="A120" s="6" t="s">
        <v>304</v>
      </c>
      <c r="B120" s="7" t="s">
        <v>305</v>
      </c>
      <c r="C120" s="7" t="s">
        <v>155</v>
      </c>
      <c r="D120" s="6" t="s">
        <v>63</v>
      </c>
      <c r="E120" s="8">
        <v>5</v>
      </c>
      <c r="F120" s="9">
        <v>35</v>
      </c>
      <c r="G120" s="9">
        <f>IF(AND(ISNUMBER(E120),ISNUMBER(F120)),ROUND(E120*F120,2),"")</f>
        <v>175.0</v>
      </c>
      <c r="H120" s="7" t="s">
        <v>140</v>
      </c>
    </row>
    <row r="121" spans="1:8" ht="26" customHeight="1">
      <c r="A121" s="6" t="s">
        <v>306</v>
      </c>
      <c r="B121" s="7" t="s">
        <v>307</v>
      </c>
      <c r="C121" s="7" t="s">
        <v>155</v>
      </c>
      <c r="D121" s="6" t="s">
        <v>63</v>
      </c>
      <c r="E121" s="8">
        <v>10</v>
      </c>
      <c r="F121" s="9">
        <v>52</v>
      </c>
      <c r="G121" s="9">
        <f>IF(AND(ISNUMBER(E121),ISNUMBER(F121)),ROUND(E121*F121,2),"")</f>
        <v>520</v>
      </c>
      <c r="H121" s="7" t="s">
        <v>140</v>
      </c>
    </row>
    <row r="122" spans="1:8" ht="26" customHeight="1">
      <c r="A122" s="6" t="s">
        <v>308</v>
      </c>
      <c r="B122" s="7" t="s">
        <v>309</v>
      </c>
      <c r="C122" s="7" t="s">
        <v>155</v>
      </c>
      <c r="D122" s="6" t="s">
        <v>63</v>
      </c>
      <c r="E122" s="8">
        <v>6</v>
      </c>
      <c r="F122" s="9">
        <v>91</v>
      </c>
      <c r="G122" s="9">
        <f>IF(AND(ISNUMBER(E122),ISNUMBER(F122)),ROUND(E122*F122,2),"")</f>
        <v>546</v>
      </c>
      <c r="H122" s="7" t="s">
        <v>140</v>
      </c>
    </row>
    <row r="123" spans="1:8" ht="26" customHeight="1">
      <c r="A123" s="6" t="s">
        <v>310</v>
      </c>
      <c r="B123" s="7" t="s">
        <v>311</v>
      </c>
      <c r="C123" s="7" t="s">
        <v>312</v>
      </c>
      <c r="D123" s="6" t="s">
        <v>63</v>
      </c>
      <c r="E123" s="8">
        <v>111</v>
      </c>
      <c r="F123" s="9">
        <v>17.5</v>
      </c>
      <c r="G123" s="9">
        <f>IF(AND(ISNUMBER(E123),ISNUMBER(F123)),ROUND(E123*F123,2),"")</f>
        <v>1942.5</v>
      </c>
      <c r="H123" s="7" t="s">
        <v>140</v>
      </c>
    </row>
    <row r="124" spans="1:8" ht="26" customHeight="1">
      <c r="A124" s="6" t="s">
        <v>313</v>
      </c>
      <c r="B124" s="7" t="s">
        <v>314</v>
      </c>
      <c r="C124" s="7" t="s">
        <v>315</v>
      </c>
      <c r="D124" s="6" t="s">
        <v>63</v>
      </c>
      <c r="E124" s="8">
        <v>28</v>
      </c>
      <c r="F124" s="9">
        <v>29.5</v>
      </c>
      <c r="G124" s="9">
        <f>IF(AND(ISNUMBER(E124),ISNUMBER(F124)),ROUND(E124*F124,2),"")</f>
        <v>826.0</v>
      </c>
      <c r="H124" s="7" t="s">
        <v>140</v>
      </c>
    </row>
    <row r="125" spans="1:8" ht="26" customHeight="1">
      <c r="A125" s="6" t="s">
        <v>316</v>
      </c>
      <c r="B125" s="7" t="s">
        <v>317</v>
      </c>
      <c r="C125" s="7" t="s">
        <v>318</v>
      </c>
      <c r="D125" s="6" t="s">
        <v>63</v>
      </c>
      <c r="E125" s="8">
        <v>14</v>
      </c>
      <c r="F125" s="9">
        <v>52</v>
      </c>
      <c r="G125" s="9">
        <f>IF(AND(ISNUMBER(E125),ISNUMBER(F125)),ROUND(E125*F125,2),"")</f>
        <v>728</v>
      </c>
      <c r="H125" s="7"/>
    </row>
    <row r="126" spans="1:8">
      <c r="A126" s="10" t="s">
        <v>319</v>
      </c>
      <c r="B126" s="10"/>
      <c r="C126" s="10"/>
      <c r="D126" s="10"/>
      <c r="E126" s="10"/>
      <c r="F126" s="10"/>
      <c r="G126" s="11">
        <f>IF(COUNT(G107:G125)=0,"",SUM(G107:G125))</f>
        <v>15051.0</v>
      </c>
      <c r="H126" s="10"/>
    </row>
    <row r="128" spans="1:8" ht="22" customHeight="1">
      <c r="A128" s="5" t="s">
        <v>320</v>
      </c>
      <c r="B128" s="5"/>
      <c r="C128" s="5"/>
      <c r="D128" s="5"/>
      <c r="E128" s="5"/>
      <c r="F128" s="5"/>
      <c r="G128" s="5"/>
      <c r="H128" s="5"/>
    </row>
    <row r="129" spans="1:8" ht="30" customHeight="1">
      <c r="A129" s="6" t="s">
        <v>321</v>
      </c>
      <c r="B129" s="7" t="s">
        <v>322</v>
      </c>
      <c r="C129" s="7" t="s">
        <v>323</v>
      </c>
      <c r="D129" s="6" t="s">
        <v>40</v>
      </c>
      <c r="E129" s="8">
        <v>64</v>
      </c>
      <c r="F129" s="9">
        <v>46</v>
      </c>
      <c r="G129" s="9">
        <f>IF(AND(ISNUMBER(E129),ISNUMBER(F129)),ROUND(E129*F129,2),"")</f>
        <v>2944.0</v>
      </c>
      <c r="H129" s="7"/>
    </row>
    <row r="130" spans="1:8" ht="30" customHeight="1">
      <c r="A130" s="6" t="s">
        <v>324</v>
      </c>
      <c r="B130" s="7" t="s">
        <v>325</v>
      </c>
      <c r="C130" s="7" t="s">
        <v>323</v>
      </c>
      <c r="D130" s="6" t="s">
        <v>40</v>
      </c>
      <c r="E130" s="8">
        <v>17</v>
      </c>
      <c r="F130" s="9">
        <v>46</v>
      </c>
      <c r="G130" s="9">
        <f>IF(AND(ISNUMBER(E130),ISNUMBER(F130)),ROUND(E130*F130,2),"")</f>
        <v>782.0</v>
      </c>
      <c r="H130" s="7"/>
    </row>
    <row r="131" spans="1:8" ht="30" customHeight="1">
      <c r="A131" s="6" t="s">
        <v>326</v>
      </c>
      <c r="B131" s="7" t="s">
        <v>327</v>
      </c>
      <c r="C131" s="7" t="s">
        <v>323</v>
      </c>
      <c r="D131" s="6" t="s">
        <v>40</v>
      </c>
      <c r="E131" s="8">
        <v>52</v>
      </c>
      <c r="F131" s="9">
        <v>46</v>
      </c>
      <c r="G131" s="9">
        <f>IF(AND(ISNUMBER(E131),ISNUMBER(F131)),ROUND(E131*F131,2),"")</f>
        <v>2392.0</v>
      </c>
      <c r="H131" s="7"/>
    </row>
    <row r="132" spans="1:8" ht="43" customHeight="1">
      <c r="A132" s="6" t="s">
        <v>328</v>
      </c>
      <c r="B132" s="7" t="s">
        <v>329</v>
      </c>
      <c r="C132" s="7" t="s">
        <v>330</v>
      </c>
      <c r="D132" s="6" t="s">
        <v>40</v>
      </c>
      <c r="E132" s="8">
        <v>33.3</v>
      </c>
      <c r="F132" s="9">
        <v>40</v>
      </c>
      <c r="G132" s="9">
        <f>IF(AND(ISNUMBER(E132),ISNUMBER(F132)),ROUND(E132*F132,2),"")</f>
        <v>1332.0</v>
      </c>
      <c r="H132" s="7"/>
    </row>
    <row r="133" spans="1:8">
      <c r="A133" s="10" t="s">
        <v>331</v>
      </c>
      <c r="B133" s="10"/>
      <c r="C133" s="10"/>
      <c r="D133" s="10"/>
      <c r="E133" s="10"/>
      <c r="F133" s="10"/>
      <c r="G133" s="11">
        <f>IF(COUNT(G129:G132)=0,"",SUM(G129:G132))</f>
        <v>7450.0</v>
      </c>
      <c r="H133" s="10"/>
    </row>
    <row r="135" spans="1:8" ht="22" customHeight="1">
      <c r="A135" s="5" t="s">
        <v>332</v>
      </c>
      <c r="B135" s="5"/>
      <c r="C135" s="5"/>
      <c r="D135" s="5"/>
      <c r="E135" s="5"/>
      <c r="F135" s="5"/>
      <c r="G135" s="5"/>
      <c r="H135" s="5"/>
    </row>
    <row r="136" spans="1:8" ht="30" customHeight="1">
      <c r="A136" s="6" t="s">
        <v>333</v>
      </c>
      <c r="B136" s="7" t="s">
        <v>334</v>
      </c>
      <c r="C136" s="7" t="s">
        <v>335</v>
      </c>
      <c r="D136" s="6" t="s">
        <v>40</v>
      </c>
      <c r="E136" s="8">
        <v>186</v>
      </c>
      <c r="F136" s="9">
        <v>19.5</v>
      </c>
      <c r="G136" s="9">
        <f>IF(AND(ISNUMBER(E136),ISNUMBER(F136)),ROUND(E136*F136,2),"")</f>
        <v>3627.0</v>
      </c>
      <c r="H136" s="7"/>
    </row>
    <row r="137" spans="1:8" ht="30" customHeight="1">
      <c r="A137" s="6" t="s">
        <v>336</v>
      </c>
      <c r="B137" s="7" t="s">
        <v>337</v>
      </c>
      <c r="C137" s="7" t="s">
        <v>338</v>
      </c>
      <c r="D137" s="6" t="s">
        <v>15</v>
      </c>
      <c r="E137" s="8">
        <v>5</v>
      </c>
      <c r="F137" s="9">
        <v>89</v>
      </c>
      <c r="G137" s="9">
        <f>IF(AND(ISNUMBER(E137),ISNUMBER(F137)),ROUND(E137*F137,2),"")</f>
        <v>445</v>
      </c>
      <c r="H137" s="7"/>
    </row>
    <row r="138" spans="1:8" ht="26" customHeight="1">
      <c r="A138" s="6" t="s">
        <v>339</v>
      </c>
      <c r="B138" s="7" t="s">
        <v>340</v>
      </c>
      <c r="C138" s="7" t="s">
        <v>341</v>
      </c>
      <c r="D138" s="6" t="s">
        <v>40</v>
      </c>
      <c r="E138" s="8">
        <v>52.7</v>
      </c>
      <c r="F138" s="9">
        <v>30</v>
      </c>
      <c r="G138" s="9">
        <f>IF(AND(ISNUMBER(E138),ISNUMBER(F138)),ROUND(E138*F138,2),"")</f>
        <v>1581.0</v>
      </c>
      <c r="H138" s="7"/>
    </row>
    <row r="139" spans="1:8">
      <c r="A139" s="10" t="s">
        <v>342</v>
      </c>
      <c r="B139" s="10"/>
      <c r="C139" s="10"/>
      <c r="D139" s="10"/>
      <c r="E139" s="10"/>
      <c r="F139" s="10"/>
      <c r="G139" s="11">
        <f>IF(COUNT(G136:G138)=0,"",SUM(G136:G138))</f>
        <v>5653.0</v>
      </c>
      <c r="H139" s="10"/>
    </row>
    <row r="141" spans="1:8" ht="22" customHeight="1">
      <c r="A141" s="5" t="s">
        <v>343</v>
      </c>
      <c r="B141" s="5"/>
      <c r="C141" s="5"/>
      <c r="D141" s="5"/>
      <c r="E141" s="5"/>
      <c r="F141" s="5"/>
      <c r="G141" s="5"/>
      <c r="H141" s="5"/>
    </row>
    <row r="142" spans="1:8" ht="30" customHeight="1">
      <c r="A142" s="6" t="s">
        <v>344</v>
      </c>
      <c r="B142" s="7" t="s">
        <v>345</v>
      </c>
      <c r="C142" s="7" t="s">
        <v>346</v>
      </c>
      <c r="D142" s="6" t="s">
        <v>88</v>
      </c>
      <c r="E142" s="8">
        <v>33.23</v>
      </c>
      <c r="F142" s="9">
        <v>39</v>
      </c>
      <c r="G142" s="9">
        <f>IF(AND(ISNUMBER(E142),ISNUMBER(F142)),ROUND(E142*F142,2),"")</f>
        <v>1295.97</v>
      </c>
      <c r="H142" s="7"/>
    </row>
    <row r="143" spans="1:8" ht="26" customHeight="1">
      <c r="A143" s="6" t="s">
        <v>347</v>
      </c>
      <c r="B143" s="7" t="s">
        <v>348</v>
      </c>
      <c r="C143" s="7" t="s">
        <v>349</v>
      </c>
      <c r="D143" s="6" t="s">
        <v>88</v>
      </c>
      <c r="E143" s="8">
        <v>35</v>
      </c>
      <c r="F143" s="9">
        <v>34.5</v>
      </c>
      <c r="G143" s="9">
        <f>IF(AND(ISNUMBER(E143),ISNUMBER(F143)),ROUND(E143*F143,2),"")</f>
        <v>1207.5</v>
      </c>
      <c r="H143" s="7"/>
    </row>
    <row r="144" spans="1:8" ht="43" customHeight="1">
      <c r="A144" s="6" t="s">
        <v>350</v>
      </c>
      <c r="B144" s="7" t="s">
        <v>351</v>
      </c>
      <c r="C144" s="7" t="s">
        <v>352</v>
      </c>
      <c r="D144" s="6" t="s">
        <v>88</v>
      </c>
      <c r="E144" s="8">
        <v>68.23</v>
      </c>
      <c r="F144" s="9">
        <v>10.5</v>
      </c>
      <c r="G144" s="9">
        <f>IF(AND(ISNUMBER(E144),ISNUMBER(F144)),ROUND(E144*F144,2),"")</f>
        <v>716.42</v>
      </c>
      <c r="H144" s="7"/>
    </row>
    <row r="145" spans="1:8">
      <c r="A145" s="10" t="s">
        <v>353</v>
      </c>
      <c r="B145" s="10"/>
      <c r="C145" s="10"/>
      <c r="D145" s="10"/>
      <c r="E145" s="10"/>
      <c r="F145" s="10"/>
      <c r="G145" s="11">
        <f>IF(COUNT(G142:G144)=0,"",SUM(G142:G144))</f>
        <v>3219.89</v>
      </c>
      <c r="H145" s="10"/>
    </row>
    <row r="147" spans="1:8" ht="22" customHeight="1">
      <c r="A147" s="5" t="s">
        <v>354</v>
      </c>
      <c r="B147" s="5"/>
      <c r="C147" s="5"/>
      <c r="D147" s="5"/>
      <c r="E147" s="5"/>
      <c r="F147" s="5"/>
      <c r="G147" s="5"/>
      <c r="H147" s="5"/>
    </row>
    <row r="148" spans="1:8" ht="56" customHeight="1">
      <c r="A148" s="6" t="s">
        <v>355</v>
      </c>
      <c r="B148" s="7" t="s">
        <v>356</v>
      </c>
      <c r="C148" s="7" t="s">
        <v>357</v>
      </c>
      <c r="D148" s="6" t="s">
        <v>40</v>
      </c>
      <c r="E148" s="8">
        <v>219.9</v>
      </c>
      <c r="F148" s="9">
        <v>32</v>
      </c>
      <c r="G148" s="9">
        <f>IF(AND(ISNUMBER(E148),ISNUMBER(F148)),ROUND(E148*F148,2),"")</f>
        <v>7036.8</v>
      </c>
      <c r="H148" s="7" t="s">
        <v>140</v>
      </c>
    </row>
    <row r="149" spans="1:8" ht="30" customHeight="1">
      <c r="A149" s="6" t="s">
        <v>358</v>
      </c>
      <c r="B149" s="7" t="s">
        <v>359</v>
      </c>
      <c r="C149" s="7" t="s">
        <v>360</v>
      </c>
      <c r="D149" s="6" t="s">
        <v>40</v>
      </c>
      <c r="E149" s="8">
        <v>105</v>
      </c>
      <c r="F149" s="9">
        <v>26.5</v>
      </c>
      <c r="G149" s="9">
        <f>IF(AND(ISNUMBER(E149),ISNUMBER(F149)),ROUND(E149*F149,2),"")</f>
        <v>2782.5</v>
      </c>
      <c r="H149" s="7" t="s">
        <v>140</v>
      </c>
    </row>
    <row r="150" spans="1:8" ht="30" customHeight="1">
      <c r="A150" s="6" t="s">
        <v>361</v>
      </c>
      <c r="B150" s="7" t="s">
        <v>362</v>
      </c>
      <c r="C150" s="7" t="s">
        <v>363</v>
      </c>
      <c r="D150" s="6" t="s">
        <v>40</v>
      </c>
      <c r="E150" s="8">
        <v>121.2</v>
      </c>
      <c r="F150" s="9">
        <v>48.5</v>
      </c>
      <c r="G150" s="9">
        <f>IF(AND(ISNUMBER(E150),ISNUMBER(F150)),ROUND(E150*F150,2),"")</f>
        <v>5878.2</v>
      </c>
      <c r="H150" s="7" t="s">
        <v>140</v>
      </c>
    </row>
    <row r="151" spans="1:8" ht="30" customHeight="1">
      <c r="A151" s="6" t="s">
        <v>364</v>
      </c>
      <c r="B151" s="7" t="s">
        <v>365</v>
      </c>
      <c r="C151" s="7" t="s">
        <v>366</v>
      </c>
      <c r="D151" s="6" t="s">
        <v>88</v>
      </c>
      <c r="E151" s="8">
        <v>285</v>
      </c>
      <c r="F151" s="9">
        <v>8.6</v>
      </c>
      <c r="G151" s="9">
        <f>IF(AND(ISNUMBER(E151),ISNUMBER(F151)),ROUND(E151*F151,2),"")</f>
        <v>2451.0</v>
      </c>
      <c r="H151" s="7"/>
    </row>
    <row r="152" spans="1:8" ht="30" customHeight="1">
      <c r="A152" s="6" t="s">
        <v>367</v>
      </c>
      <c r="B152" s="7" t="s">
        <v>368</v>
      </c>
      <c r="C152" s="7" t="s">
        <v>369</v>
      </c>
      <c r="D152" s="6" t="s">
        <v>40</v>
      </c>
      <c r="E152" s="8">
        <v>263.7</v>
      </c>
      <c r="F152" s="9">
        <v>30</v>
      </c>
      <c r="G152" s="9">
        <f>IF(AND(ISNUMBER(E152),ISNUMBER(F152)),ROUND(E152*F152,2),"")</f>
        <v>7911.0</v>
      </c>
      <c r="H152" s="7" t="s">
        <v>140</v>
      </c>
    </row>
    <row r="153" spans="1:8" ht="26" customHeight="1">
      <c r="A153" s="6" t="s">
        <v>370</v>
      </c>
      <c r="B153" s="7" t="s">
        <v>371</v>
      </c>
      <c r="C153" s="7" t="s">
        <v>372</v>
      </c>
      <c r="D153" s="6" t="s">
        <v>88</v>
      </c>
      <c r="E153" s="8">
        <v>51.7</v>
      </c>
      <c r="F153" s="9">
        <v>37</v>
      </c>
      <c r="G153" s="9">
        <f>IF(AND(ISNUMBER(E153),ISNUMBER(F153)),ROUND(E153*F153,2),"")</f>
        <v>1912.9</v>
      </c>
      <c r="H153" s="7"/>
    </row>
    <row r="154" spans="1:8" ht="43" customHeight="1">
      <c r="A154" s="6" t="s">
        <v>373</v>
      </c>
      <c r="B154" s="7" t="s">
        <v>374</v>
      </c>
      <c r="C154" s="7" t="s">
        <v>375</v>
      </c>
      <c r="D154" s="6" t="s">
        <v>88</v>
      </c>
      <c r="E154" s="8">
        <v>13.8</v>
      </c>
      <c r="F154" s="9">
        <v>39</v>
      </c>
      <c r="G154" s="9">
        <f>IF(AND(ISNUMBER(E154),ISNUMBER(F154)),ROUND(E154*F154,2),"")</f>
        <v>538.2</v>
      </c>
      <c r="H154" s="7" t="s">
        <v>376</v>
      </c>
    </row>
    <row r="155" spans="1:8">
      <c r="A155" s="10" t="s">
        <v>377</v>
      </c>
      <c r="B155" s="10"/>
      <c r="C155" s="10"/>
      <c r="D155" s="10"/>
      <c r="E155" s="10"/>
      <c r="F155" s="10"/>
      <c r="G155" s="11">
        <f>IF(COUNT(G148:G154)=0,"",SUM(G148:G154))</f>
        <v>28510.6</v>
      </c>
      <c r="H155" s="10"/>
    </row>
    <row r="157" spans="1:8" ht="22" customHeight="1">
      <c r="A157" s="5" t="s">
        <v>378</v>
      </c>
      <c r="B157" s="5"/>
      <c r="C157" s="5"/>
      <c r="D157" s="5"/>
      <c r="E157" s="5"/>
      <c r="F157" s="5"/>
      <c r="G157" s="5"/>
      <c r="H157" s="5"/>
    </row>
    <row r="158" spans="1:8" ht="43" customHeight="1">
      <c r="A158" s="6" t="s">
        <v>379</v>
      </c>
      <c r="B158" s="7" t="s">
        <v>380</v>
      </c>
      <c r="C158" s="7" t="s">
        <v>381</v>
      </c>
      <c r="D158" s="6" t="s">
        <v>40</v>
      </c>
      <c r="E158" s="8">
        <v>225</v>
      </c>
      <c r="F158" s="9">
        <v>37.5</v>
      </c>
      <c r="G158" s="9">
        <f>IF(AND(ISNUMBER(E158),ISNUMBER(F158)),ROUND(E158*F158,2),"")</f>
        <v>8437.5</v>
      </c>
      <c r="H158" s="7"/>
    </row>
    <row r="159" spans="1:8" ht="56" customHeight="1">
      <c r="A159" s="6" t="s">
        <v>382</v>
      </c>
      <c r="B159" s="7" t="s">
        <v>383</v>
      </c>
      <c r="C159" s="7" t="s">
        <v>384</v>
      </c>
      <c r="D159" s="6" t="s">
        <v>40</v>
      </c>
      <c r="E159" s="8">
        <v>576</v>
      </c>
      <c r="F159" s="9">
        <v>18.5</v>
      </c>
      <c r="G159" s="9">
        <f>IF(AND(ISNUMBER(E159),ISNUMBER(F159)),ROUND(E159*F159,2),"")</f>
        <v>10656.0</v>
      </c>
      <c r="H159" s="7"/>
    </row>
    <row r="160" spans="1:8" ht="43" customHeight="1">
      <c r="A160" s="6" t="s">
        <v>385</v>
      </c>
      <c r="B160" s="7" t="s">
        <v>386</v>
      </c>
      <c r="C160" s="7" t="s">
        <v>387</v>
      </c>
      <c r="D160" s="6" t="s">
        <v>40</v>
      </c>
      <c r="E160" s="6" t="s">
        <v>388</v>
      </c>
      <c r="F160" s="9">
        <v>24</v>
      </c>
      <c r="G160" s="9">
        <f>IF(AND(ISNUMBER(E160),ISNUMBER(F160)),ROUND(E160*F160,2),"")</f>
        <v/>
      </c>
      <c r="H160" s="7" t="s">
        <v>389</v>
      </c>
    </row>
    <row r="161" spans="1:8">
      <c r="A161" s="10" t="s">
        <v>390</v>
      </c>
      <c r="B161" s="10"/>
      <c r="C161" s="10"/>
      <c r="D161" s="10"/>
      <c r="E161" s="10"/>
      <c r="F161" s="10"/>
      <c r="G161" s="11">
        <f>IF(COUNT(G158:G160)=0,"",SUM(G158:G160))</f>
        <v>19093.5</v>
      </c>
      <c r="H161" s="10"/>
    </row>
    <row r="163" spans="1:8" ht="22" customHeight="1">
      <c r="A163" s="5" t="s">
        <v>391</v>
      </c>
      <c r="B163" s="5"/>
      <c r="C163" s="5"/>
      <c r="D163" s="5"/>
      <c r="E163" s="5"/>
      <c r="F163" s="5"/>
      <c r="G163" s="5"/>
      <c r="H163" s="5"/>
    </row>
    <row r="164" spans="1:8" ht="30" customHeight="1">
      <c r="A164" s="6" t="s">
        <v>392</v>
      </c>
      <c r="B164" s="7" t="s">
        <v>393</v>
      </c>
      <c r="C164" s="7" t="s">
        <v>394</v>
      </c>
      <c r="D164" s="6" t="s">
        <v>40</v>
      </c>
      <c r="E164" s="8">
        <v>60</v>
      </c>
      <c r="F164" s="9">
        <v>13.5</v>
      </c>
      <c r="G164" s="9">
        <f>IF(AND(ISNUMBER(E164),ISNUMBER(F164)),ROUND(E164*F164,2),"")</f>
        <v>810.0</v>
      </c>
      <c r="H164" s="7"/>
    </row>
    <row r="165" spans="1:8" ht="26" customHeight="1">
      <c r="A165" s="6" t="s">
        <v>395</v>
      </c>
      <c r="B165" s="7" t="s">
        <v>396</v>
      </c>
      <c r="C165" s="7" t="s">
        <v>397</v>
      </c>
      <c r="D165" s="6" t="s">
        <v>15</v>
      </c>
      <c r="E165" s="8">
        <v>1</v>
      </c>
      <c r="F165" s="9">
        <v>1770</v>
      </c>
      <c r="G165" s="9">
        <f>IF(AND(ISNUMBER(E165),ISNUMBER(F165)),ROUND(E165*F165,2),"")</f>
        <v>1770</v>
      </c>
      <c r="H165" s="7"/>
    </row>
    <row r="166" spans="1:8" ht="30" customHeight="1">
      <c r="A166" s="6" t="s">
        <v>398</v>
      </c>
      <c r="B166" s="7" t="s">
        <v>399</v>
      </c>
      <c r="C166" s="7" t="s">
        <v>400</v>
      </c>
      <c r="D166" s="6" t="s">
        <v>15</v>
      </c>
      <c r="E166" s="8">
        <v>1</v>
      </c>
      <c r="F166" s="9">
        <v>4970</v>
      </c>
      <c r="G166" s="9">
        <f>IF(AND(ISNUMBER(E166),ISNUMBER(F166)),ROUND(E166*F166,2),"")</f>
        <v>4970</v>
      </c>
      <c r="H166" s="7"/>
    </row>
    <row r="167" spans="1:8" ht="26" customHeight="1">
      <c r="A167" s="6" t="s">
        <v>401</v>
      </c>
      <c r="B167" s="7" t="s">
        <v>402</v>
      </c>
      <c r="C167" s="7" t="s">
        <v>403</v>
      </c>
      <c r="D167" s="6" t="s">
        <v>15</v>
      </c>
      <c r="E167" s="8">
        <v>1</v>
      </c>
      <c r="F167" s="9">
        <v>1600</v>
      </c>
      <c r="G167" s="9">
        <f>IF(AND(ISNUMBER(E167),ISNUMBER(F167)),ROUND(E167*F167,2),"")</f>
        <v>1600</v>
      </c>
      <c r="H167" s="7"/>
    </row>
    <row r="168" spans="1:8" ht="69" customHeight="1">
      <c r="A168" s="6" t="s">
        <v>404</v>
      </c>
      <c r="B168" s="7" t="s">
        <v>405</v>
      </c>
      <c r="C168" s="7" t="s">
        <v>406</v>
      </c>
      <c r="D168" s="6" t="s">
        <v>40</v>
      </c>
      <c r="E168" s="8">
        <v>60</v>
      </c>
      <c r="F168" s="9">
        <v>72</v>
      </c>
      <c r="G168" s="9">
        <f>IF(AND(ISNUMBER(E168),ISNUMBER(F168)),ROUND(E168*F168,2),"")</f>
        <v>4320</v>
      </c>
      <c r="H168" s="7" t="s">
        <v>41</v>
      </c>
    </row>
    <row r="169" spans="1:8">
      <c r="A169" s="10" t="s">
        <v>407</v>
      </c>
      <c r="B169" s="10"/>
      <c r="C169" s="10"/>
      <c r="D169" s="10"/>
      <c r="E169" s="10"/>
      <c r="F169" s="10"/>
      <c r="G169" s="11">
        <f>IF(COUNT(G164:G168)=0,"",SUM(G164:G168))</f>
        <v>13470.0</v>
      </c>
      <c r="H169" s="10"/>
    </row>
    <row r="171" spans="1:8" ht="22" customHeight="1">
      <c r="A171" s="5" t="s">
        <v>408</v>
      </c>
      <c r="B171" s="5"/>
      <c r="C171" s="5"/>
      <c r="D171" s="5"/>
      <c r="E171" s="5"/>
      <c r="F171" s="5"/>
      <c r="G171" s="5"/>
      <c r="H171" s="5"/>
    </row>
    <row r="172" spans="1:8" ht="43" customHeight="1">
      <c r="A172" s="6" t="s">
        <v>409</v>
      </c>
      <c r="B172" s="7" t="s">
        <v>410</v>
      </c>
      <c r="C172" s="7" t="s">
        <v>411</v>
      </c>
      <c r="D172" s="6" t="s">
        <v>15</v>
      </c>
      <c r="E172" s="8">
        <v>1</v>
      </c>
      <c r="F172" s="9">
        <v>18400</v>
      </c>
      <c r="G172" s="9">
        <f>IF(AND(ISNUMBER(E172),ISNUMBER(F172)),ROUND(E172*F172,2),"")</f>
        <v>18400</v>
      </c>
      <c r="H172" s="7"/>
    </row>
    <row r="173" spans="1:8" ht="43" customHeight="1">
      <c r="A173" s="6" t="s">
        <v>412</v>
      </c>
      <c r="B173" s="7" t="s">
        <v>413</v>
      </c>
      <c r="C173" s="7" t="s">
        <v>414</v>
      </c>
      <c r="D173" s="6" t="s">
        <v>15</v>
      </c>
      <c r="E173" s="8">
        <v>1</v>
      </c>
      <c r="F173" s="9">
        <v>2070</v>
      </c>
      <c r="G173" s="9">
        <f>IF(AND(ISNUMBER(E173),ISNUMBER(F173)),ROUND(E173*F173,2),"")</f>
        <v>2070</v>
      </c>
      <c r="H173" s="7"/>
    </row>
    <row r="174" spans="1:8" ht="30" customHeight="1">
      <c r="A174" s="6" t="s">
        <v>415</v>
      </c>
      <c r="B174" s="7" t="s">
        <v>416</v>
      </c>
      <c r="C174" s="7" t="s">
        <v>417</v>
      </c>
      <c r="D174" s="6" t="s">
        <v>88</v>
      </c>
      <c r="E174" s="8">
        <v>23.66</v>
      </c>
      <c r="F174" s="9">
        <v>98</v>
      </c>
      <c r="G174" s="9">
        <f>IF(AND(ISNUMBER(E174),ISNUMBER(F174)),ROUND(E174*F174,2),"")</f>
        <v>2318.68</v>
      </c>
      <c r="H174" s="7"/>
    </row>
    <row r="175" spans="1:8" ht="43" customHeight="1">
      <c r="A175" s="6" t="s">
        <v>418</v>
      </c>
      <c r="B175" s="7" t="s">
        <v>419</v>
      </c>
      <c r="C175" s="7" t="s">
        <v>420</v>
      </c>
      <c r="D175" s="6" t="s">
        <v>40</v>
      </c>
      <c r="E175" s="8">
        <v>43</v>
      </c>
      <c r="F175" s="9">
        <v>37</v>
      </c>
      <c r="G175" s="9">
        <f>IF(AND(ISNUMBER(E175),ISNUMBER(F175)),ROUND(E175*F175,2),"")</f>
        <v>1591.0</v>
      </c>
      <c r="H175" s="7" t="s">
        <v>140</v>
      </c>
    </row>
    <row r="176" spans="1:8">
      <c r="A176" s="10" t="s">
        <v>421</v>
      </c>
      <c r="B176" s="10"/>
      <c r="C176" s="10"/>
      <c r="D176" s="10"/>
      <c r="E176" s="10"/>
      <c r="F176" s="10"/>
      <c r="G176" s="11">
        <f>IF(COUNT(G172:G175)=0,"",SUM(G172:G175))</f>
        <v>24379.68</v>
      </c>
      <c r="H176" s="10"/>
    </row>
    <row r="178" spans="1:8">
      <c r="A178" s="10" t="s">
        <v>422</v>
      </c>
      <c r="B178" s="10"/>
      <c r="C178" s="10"/>
      <c r="D178" s="10"/>
      <c r="E178" s="10"/>
      <c r="F178" s="10"/>
      <c r="G178" s="11">
        <f>SUM(G16,G40,G48,G54,G90,G104,G126,G133,G139,G145,G155,G161,G169,G176)</f>
        <v>242687.91</v>
      </c>
      <c r="H178" s="10"/>
    </row>
    <row r="179" spans="1:8">
      <c r="A179" s="12" t="s">
        <v>423</v>
      </c>
      <c r="B179" s="12"/>
      <c r="C179" s="12"/>
      <c r="D179" s="12"/>
      <c r="E179" s="12"/>
      <c r="F179" s="13">
        <v>0.21</v>
      </c>
      <c r="G179" s="9">
        <f>ROUND(G178*F179,2)</f>
        <v>50964.46</v>
      </c>
      <c r="H179" s="14" t="s">
        <v>424</v>
      </c>
    </row>
    <row r="180" spans="1:8">
      <c r="A180" s="10" t="s">
        <v>425</v>
      </c>
      <c r="B180" s="10"/>
      <c r="C180" s="10"/>
      <c r="D180" s="10"/>
      <c r="E180" s="10"/>
      <c r="F180" s="10"/>
      <c r="G180" s="11">
        <f>G178+G179</f>
        <v>293652.37</v>
      </c>
      <c r="H180" s="10"/>
    </row>
  </sheetData>
  <mergeCells count="34">
    <mergeCell ref="A1:H1"/>
    <mergeCell ref="A2:H2"/>
    <mergeCell ref="A3:H3"/>
    <mergeCell ref="A6:H6"/>
    <mergeCell ref="A16:F16"/>
    <mergeCell ref="A18:H18"/>
    <mergeCell ref="A40:F40"/>
    <mergeCell ref="A42:H42"/>
    <mergeCell ref="A48:F48"/>
    <mergeCell ref="A50:H50"/>
    <mergeCell ref="A54:F54"/>
    <mergeCell ref="A56:H56"/>
    <mergeCell ref="A90:F90"/>
    <mergeCell ref="A92:H92"/>
    <mergeCell ref="A104:F104"/>
    <mergeCell ref="A106:H106"/>
    <mergeCell ref="A126:F126"/>
    <mergeCell ref="A128:H128"/>
    <mergeCell ref="A133:F133"/>
    <mergeCell ref="A135:H135"/>
    <mergeCell ref="A139:F139"/>
    <mergeCell ref="A141:H141"/>
    <mergeCell ref="A145:F145"/>
    <mergeCell ref="A147:H147"/>
    <mergeCell ref="A155:F155"/>
    <mergeCell ref="A157:H157"/>
    <mergeCell ref="A161:F161"/>
    <mergeCell ref="A163:H163"/>
    <mergeCell ref="A169:F169"/>
    <mergeCell ref="A171:H171"/>
    <mergeCell ref="A176:F176"/>
    <mergeCell ref="A178:F178"/>
    <mergeCell ref="A179:E179"/>
    <mergeCell ref="A180:F180"/>
  </mergeCell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0"/>
  <sheetViews>
    <sheetView workbookViewId="0"/>
  </sheetViews>
  <sheetFormatPr defaultRowHeight="15"/>
  <cols>
    <col min="1" max="1" width="52.7109375" customWidth="1"/>
    <col min="2" max="3" width="18.7109375" customWidth="1"/>
  </cols>
  <sheetData>
    <row r="1" spans="1:3">
      <c r="A1" s="1" t="s">
        <v>426</v>
      </c>
      <c r="B1" s="1"/>
      <c r="C1" s="1"/>
    </row>
    <row r="3" spans="1:3">
      <c r="A3" s="4" t="s">
        <v>427</v>
      </c>
      <c r="B3" s="4" t="s">
        <v>9</v>
      </c>
      <c r="C3" s="4" t="s">
        <v>428</v>
      </c>
    </row>
    <row r="4" spans="1:3">
      <c r="A4" s="15" t="s">
        <v>429</v>
      </c>
      <c r="B4" s="9">
        <f>'Presupuesto'!G16</f>
        <v>14746.0</v>
      </c>
      <c r="C4" s="16">
        <f>IF($B$18=0,0,B4/$B$18)</f>
        <v>0.06076116441070344</v>
      </c>
    </row>
    <row r="5" spans="1:3">
      <c r="A5" s="15" t="s">
        <v>430</v>
      </c>
      <c r="B5" s="9">
        <f>'Presupuesto'!G40</f>
        <v>21385.5</v>
      </c>
      <c r="C5" s="16">
        <f>IF($B$18=0,0,B5/$B$18)</f>
        <v>0.08811934636546172</v>
      </c>
    </row>
    <row r="6" spans="1:3">
      <c r="A6" s="15" t="s">
        <v>431</v>
      </c>
      <c r="B6" s="9">
        <f>'Presupuesto'!G48</f>
        <v>49554.0</v>
      </c>
      <c r="C6" s="16">
        <f>IF($B$18=0,0,B6/$B$18)</f>
        <v>0.2041881690769021</v>
      </c>
    </row>
    <row r="7" spans="1:3">
      <c r="A7" s="15" t="s">
        <v>432</v>
      </c>
      <c r="B7" s="9">
        <f>'Presupuesto'!G54</f>
        <v>1382.24</v>
      </c>
      <c r="C7" s="16">
        <f>IF($B$18=0,0,B7/$B$18)</f>
        <v>0.005695545361118318</v>
      </c>
    </row>
    <row r="8" spans="1:3">
      <c r="A8" s="15" t="s">
        <v>433</v>
      </c>
      <c r="B8" s="9">
        <f>'Presupuesto'!G90</f>
        <v>23491.5</v>
      </c>
      <c r="C8" s="16">
        <f>IF($B$18=0,0,B8/$B$18)</f>
        <v>0.0967971581279018</v>
      </c>
    </row>
    <row r="9" spans="1:3">
      <c r="A9" s="15" t="s">
        <v>434</v>
      </c>
      <c r="B9" s="9">
        <f>'Presupuesto'!G104</f>
        <v>15301.0</v>
      </c>
      <c r="C9" s="16">
        <f>IF($B$18=0,0,B9/$B$18)</f>
        <v>0.0630480521258764</v>
      </c>
    </row>
    <row r="10" spans="1:3">
      <c r="A10" s="15" t="s">
        <v>435</v>
      </c>
      <c r="B10" s="9">
        <f>'Presupuesto'!G126</f>
        <v>15051.0</v>
      </c>
      <c r="C10" s="16">
        <f>IF($B$18=0,0,B10/$B$18)</f>
        <v>0.062017922524447135</v>
      </c>
    </row>
    <row r="11" spans="1:3">
      <c r="A11" s="15" t="s">
        <v>436</v>
      </c>
      <c r="B11" s="9">
        <f>'Presupuesto'!G133</f>
        <v>7450.0</v>
      </c>
      <c r="C11" s="16">
        <f>IF($B$18=0,0,B11/$B$18)</f>
        <v>0.030697862122591933</v>
      </c>
    </row>
    <row r="12" spans="1:3">
      <c r="A12" s="15" t="s">
        <v>437</v>
      </c>
      <c r="B12" s="9">
        <f>'Presupuesto'!G139</f>
        <v>5653.0</v>
      </c>
      <c r="C12" s="16">
        <f>IF($B$18=0,0,B12/$B$18)</f>
        <v>0.023293290547518414</v>
      </c>
    </row>
    <row r="13" spans="1:3">
      <c r="A13" s="15" t="s">
        <v>438</v>
      </c>
      <c r="B13" s="9">
        <f>'Presupuesto'!G145</f>
        <v>3219.89</v>
      </c>
      <c r="C13" s="16">
        <f>IF($B$18=0,0,B13/$B$18)</f>
        <v>0.013267616009384232</v>
      </c>
    </row>
    <row r="14" spans="1:3">
      <c r="A14" s="15" t="s">
        <v>439</v>
      </c>
      <c r="B14" s="9">
        <f>'Presupuesto'!G155</f>
        <v>28510.6</v>
      </c>
      <c r="C14" s="16">
        <f>IF($B$18=0,0,B14/$B$18)</f>
        <v>0.11747845205803617</v>
      </c>
    </row>
    <row r="15" spans="1:3">
      <c r="A15" s="15" t="s">
        <v>440</v>
      </c>
      <c r="B15" s="9">
        <f>'Presupuesto'!G161</f>
        <v>19093.5</v>
      </c>
      <c r="C15" s="16">
        <f>IF($B$18=0,0,B15/$B$18)</f>
        <v>0.07867511817955826</v>
      </c>
    </row>
    <row r="16" spans="1:3">
      <c r="A16" s="15" t="s">
        <v>441</v>
      </c>
      <c r="B16" s="9">
        <f>'Presupuesto'!G169</f>
        <v>13470.0</v>
      </c>
      <c r="C16" s="16">
        <f>IF($B$18=0,0,B16/$B$18)</f>
        <v>0.055503382925008504</v>
      </c>
    </row>
    <row r="17" spans="1:3">
      <c r="A17" s="15" t="s">
        <v>442</v>
      </c>
      <c r="B17" s="9">
        <f>'Presupuesto'!G176</f>
        <v>24379.68</v>
      </c>
      <c r="C17" s="16">
        <f>IF($B$18=0,0,B17/$B$18)</f>
        <v>0.10045692016549156</v>
      </c>
    </row>
    <row r="18" spans="1:3">
      <c r="A18" s="10" t="s">
        <v>422</v>
      </c>
      <c r="B18" s="11">
        <f>SUM(B4:B17)</f>
        <v>242687.91</v>
      </c>
      <c r="C18" s="10"/>
    </row>
    <row r="19" spans="1:3">
      <c r="A19" s="15" t="s">
        <v>443</v>
      </c>
      <c r="B19" s="9">
        <f>'Presupuesto'!G179</f>
        <v>50964.46</v>
      </c>
      <c r="C19" s="15"/>
    </row>
    <row r="20" spans="1:3">
      <c r="A20" s="10" t="s">
        <v>425</v>
      </c>
      <c r="B20" s="11">
        <f>B18+B19</f>
        <v>293652.37</v>
      </c>
      <c r="C20" s="10"/>
    </row>
  </sheetData>
  <mergeCells count="1">
    <mergeCell ref="A1:C1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5.7109375" customWidth="1"/>
    <col min="2" max="2" width="22.7109375" customWidth="1"/>
    <col min="3" max="3" width="125.7109375" customWidth="1"/>
  </cols>
  <sheetData>
    <row r="1" spans="1:3">
      <c r="A1" s="4" t="s">
        <v>444</v>
      </c>
      <c r="B1" s="4" t="s">
        <v>445</v>
      </c>
      <c r="C1" s="4"/>
    </row>
    <row r="2" spans="1:3" ht="30" customHeight="1">
      <c r="A2" s="17">
        <v>1</v>
      </c>
      <c r="B2" s="18" t="s">
        <v>446</v>
      </c>
      <c r="C2" s="7" t="s">
        <v>447</v>
      </c>
    </row>
    <row r="3" spans="1:3" ht="30" customHeight="1">
      <c r="A3" s="17">
        <v>2</v>
      </c>
      <c r="B3" s="18" t="s">
        <v>448</v>
      </c>
      <c r="C3" s="7" t="s">
        <v>449</v>
      </c>
    </row>
    <row r="4" spans="1:3" ht="30" customHeight="1">
      <c r="A4" s="17">
        <v>3</v>
      </c>
      <c r="B4" s="18" t="s">
        <v>450</v>
      </c>
      <c r="C4" s="7" t="s">
        <v>451</v>
      </c>
    </row>
    <row r="5" spans="1:3" ht="30" customHeight="1">
      <c r="A5" s="17">
        <v>4</v>
      </c>
      <c r="B5" s="18" t="s">
        <v>452</v>
      </c>
      <c r="C5" s="7" t="s">
        <v>453</v>
      </c>
    </row>
    <row r="6" spans="1:3" ht="30" customHeight="1">
      <c r="A6" s="17">
        <v>5</v>
      </c>
      <c r="B6" s="18" t="s">
        <v>454</v>
      </c>
      <c r="C6" s="7" t="s">
        <v>455</v>
      </c>
    </row>
    <row r="7" spans="1:3" ht="30" customHeight="1">
      <c r="A7" s="17">
        <v>6</v>
      </c>
      <c r="B7" s="18" t="s">
        <v>456</v>
      </c>
      <c r="C7" s="7" t="s">
        <v>457</v>
      </c>
    </row>
    <row r="8" spans="1:3" ht="18" customHeight="1">
      <c r="A8" s="17">
        <v>7</v>
      </c>
      <c r="B8" s="18" t="s">
        <v>458</v>
      </c>
      <c r="C8" s="7" t="s">
        <v>459</v>
      </c>
    </row>
    <row r="9" spans="1:3" ht="18" customHeight="1">
      <c r="A9" s="17">
        <v>8</v>
      </c>
      <c r="B9" s="18" t="s">
        <v>460</v>
      </c>
      <c r="C9" s="7" t="s">
        <v>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32.7109375" customWidth="1"/>
    <col min="2" max="2" width="60.7109375" customWidth="1"/>
    <col min="3" max="3" width="80.7109375" customWidth="1"/>
  </cols>
  <sheetData>
    <row r="1" spans="1:3">
      <c r="A1" s="4" t="s">
        <v>462</v>
      </c>
      <c r="B1" s="4" t="s">
        <v>463</v>
      </c>
      <c r="C1" s="4" t="s">
        <v>464</v>
      </c>
    </row>
    <row r="2" spans="1:3" ht="32" customHeight="1">
      <c r="A2" s="18" t="s">
        <v>465</v>
      </c>
      <c r="B2" s="7" t="s">
        <v>466</v>
      </c>
      <c r="C2" s="7" t="s">
        <v>467</v>
      </c>
    </row>
    <row r="3" spans="1:3" ht="32" customHeight="1">
      <c r="A3" s="18" t="s">
        <v>468</v>
      </c>
      <c r="B3" s="7" t="s">
        <v>469</v>
      </c>
      <c r="C3" s="7" t="s">
        <v>470</v>
      </c>
    </row>
    <row r="4" spans="1:3" ht="32" customHeight="1">
      <c r="A4" s="18" t="s">
        <v>471</v>
      </c>
      <c r="B4" s="7" t="s">
        <v>472</v>
      </c>
      <c r="C4" s="7" t="s">
        <v>473</v>
      </c>
    </row>
    <row r="5" spans="1:3" ht="32" customHeight="1">
      <c r="A5" s="18" t="s">
        <v>474</v>
      </c>
      <c r="B5" s="7" t="s">
        <v>475</v>
      </c>
      <c r="C5" s="7" t="s">
        <v>476</v>
      </c>
    </row>
    <row r="6" spans="1:3" ht="32" customHeight="1">
      <c r="A6" s="18" t="s">
        <v>477</v>
      </c>
      <c r="B6" s="7" t="s">
        <v>478</v>
      </c>
      <c r="C6" s="7" t="s">
        <v>479</v>
      </c>
    </row>
    <row r="7" spans="1:3" ht="32" customHeight="1">
      <c r="A7" s="18" t="s">
        <v>480</v>
      </c>
      <c r="B7" s="7" t="s">
        <v>481</v>
      </c>
      <c r="C7" s="7" t="s">
        <v>482</v>
      </c>
    </row>
    <row r="8" spans="1:3" ht="32" customHeight="1">
      <c r="A8" s="18" t="s">
        <v>483</v>
      </c>
      <c r="B8" s="7" t="s">
        <v>484</v>
      </c>
      <c r="C8" s="7" t="s">
        <v>485</v>
      </c>
    </row>
    <row r="9" spans="1:3" ht="32" customHeight="1">
      <c r="A9" s="18" t="s">
        <v>486</v>
      </c>
      <c r="B9" s="7" t="s">
        <v>487</v>
      </c>
      <c r="C9" s="7" t="s">
        <v>488</v>
      </c>
    </row>
    <row r="11" spans="1:3" ht="62" customHeight="1">
      <c r="A11" s="19" t="s">
        <v>489</v>
      </c>
      <c r="B11" s="19"/>
      <c r="C11" s="19"/>
    </row>
    <row r="12" spans="1:3" ht="78" customHeight="1">
      <c r="A12" s="20" t="s">
        <v>490</v>
      </c>
      <c r="B12" s="20"/>
      <c r="C12" s="20"/>
    </row>
  </sheetData>
  <mergeCells count="2">
    <mergeCell ref="A11:C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Presupuesto</vt:lpstr>
      <vt:lpstr>Resumen</vt:lpstr>
      <vt:lpstr>Condiciones y exclusiones</vt:lpstr>
      <vt:lpstr>Estudio de mercado (interno)</vt:lpstr>
      <vt:lpstr>Presupuesto!Print_Titles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2026-10-14T17:33:43Z</dcterms:created>
  <dcterms:modified xsi:type="dcterms:W3CDTF">2026-10-14T17:33:43Z</dcterms:modified>
</cp:coreProperties>
</file>