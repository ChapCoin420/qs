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לוח זמנים" sheetId="1" r:id="rId1"/>
    <sheet name="לוח שנה וחגים" sheetId="2" r:id="rId2"/>
    <sheet name="חוק התכנון והבנייה" sheetId="3" r:id="rId3"/>
    <sheet name="שעות עבודה ופועלים" sheetId="4" r:id="rId4"/>
  </sheets>
  <definedNames>
    <definedName name="_xlnm.Print_Titles" localSheetId="0">'לוח זמנים'!$9:$10</definedName>
  </definedNames>
  <calcPr calcId="124519" fullCalcOnLoad="1"/>
</workbook>
</file>

<file path=xl/sharedStrings.xml><?xml version="1.0" encoding="utf-8"?>
<sst xmlns="http://schemas.openxmlformats.org/spreadsheetml/2006/main" count="560" uniqueCount="299">
  <si>
    <t>לוח שנה וחגים – ישראל (תשפ"ז, נובמבר 2026 – יולי 2027)</t>
  </si>
  <si>
    <t>עמודה E ניתנת לעריכה: "כן" = יום שאינו יום עבודה בלוח; "לא" = יום עבודה (לעדכון לפי החלטת האתר). עמודה F מחושבת ומזינה את הגאנט. חגים עבריים חושבו בספריית לוח עברי ואומתו מול לוחות חב"ד ומשרד החינוך.</t>
  </si>
  <si>
    <t>תאריך</t>
  </si>
  <si>
    <t>יום</t>
  </si>
  <si>
    <t>חג / מועד</t>
  </si>
  <si>
    <t>סוג</t>
  </si>
  <si>
    <t>לא יום עבודה? (כן/לא)</t>
  </si>
  <si>
    <t>תאריך בלוח</t>
  </si>
  <si>
    <t>שבת</t>
  </si>
  <si>
    <t>חנוכה – נר ראשון (יום עבודה רגיל)</t>
  </si>
  <si>
    <t>חג – לא יום חופש</t>
  </si>
  <si>
    <t>לא</t>
  </si>
  <si>
    <t>שלישי</t>
  </si>
  <si>
    <t>פורים (יום עבודה, ייתכנו היעדרויות)</t>
  </si>
  <si>
    <t>מועד – לא יום חופש חוקי</t>
  </si>
  <si>
    <t>רביעי</t>
  </si>
  <si>
    <t>ערב פסח – עבודה עד אחה"צ</t>
  </si>
  <si>
    <t>ערב חג – יום קצר</t>
  </si>
  <si>
    <t>חמישי</t>
  </si>
  <si>
    <t>פסח – יום ראשון</t>
  </si>
  <si>
    <t>חג – יום חופש</t>
  </si>
  <si>
    <t>כן</t>
  </si>
  <si>
    <t>שישי</t>
  </si>
  <si>
    <t>חול המועד פסח</t>
  </si>
  <si>
    <t>חול המועד – אתרים רבים סגורים</t>
  </si>
  <si>
    <t>ראשון</t>
  </si>
  <si>
    <t>שני</t>
  </si>
  <si>
    <t>פסח – שביעי של פסח</t>
  </si>
  <si>
    <t>יום הזיכרון לשואה ולגבורה</t>
  </si>
  <si>
    <t>יום זיכרון – עבודה רגילה</t>
  </si>
  <si>
    <t>יום הזיכרון לחללי צה"ל – עבודה עד אחה"צ</t>
  </si>
  <si>
    <t>יום זיכרון – יום קצר</t>
  </si>
  <si>
    <t>יום העצמאות</t>
  </si>
  <si>
    <t>ל"ג בעומר (ערב – עבודה רגילה)</t>
  </si>
  <si>
    <t>מועד – לא יום חופש</t>
  </si>
  <si>
    <t>ערב שבועות – עבודה עד אחה"צ</t>
  </si>
  <si>
    <t>שבועות</t>
  </si>
  <si>
    <t>הערות: שבת ושישי אינם ימי עבודה בלוח (ניתן לשנות בתא D3 בגיליון הראשי). ראש השנה, יום כיפור וסוכות (ספט׳–אוק׳ 2026) קודמים לתחילת הפרויקט. ראש השנה תשפ"ח – ספט׳ 2027, אחרי סיום הפרויקט. ראש השנה הסיני 6/2/2027 חל בשבת ואין לו השפעה על לוח הימים.</t>
  </si>
  <si>
    <t>לוח זמנים – שיפוץ ותוספות, שלונסקי 53, חיפה (ישראל; צוות פועלים סינים)</t>
  </si>
  <si>
    <t>תאריך התחלה (יום א׳):</t>
  </si>
  <si>
    <t>ימי מנוחה (שישי, שבת):</t>
  </si>
  <si>
    <t>0000110</t>
  </si>
  <si>
    <t>שעות עבודה ביום:</t>
  </si>
  <si>
    <t>מקדם תפוקה:</t>
  </si>
  <si>
    <t>משכי הבסיס מחושבים לימי עבודה של 8 שעות. המשך בפועל = משך הבסיס ÷ מקדם התפוקה (מעוגל כלפי מעלה). ב-10 שעות ביום המקדם 1.18 (תפוקה שולית יורדת). מגמת העבודה: א׳–ה׳. אפשר לשנות שעות, תאריך התחלה, משכים וחגים – התאריכים והגאנט מתעדכנים.</t>
  </si>
  <si>
    <t xml:space="preserve"> </t>
  </si>
  <si>
    <t>✡</t>
  </si>
  <si>
    <t>מס׳</t>
  </si>
  <si>
    <t>פעילות</t>
  </si>
  <si>
    <t>סעיפי הצעת מחיר</t>
  </si>
  <si>
    <t>משך בסיס (ימי 8 ש׳)</t>
  </si>
  <si>
    <t>משך בפועל (ימים)</t>
  </si>
  <si>
    <t>ק1</t>
  </si>
  <si>
    <t>ק2</t>
  </si>
  <si>
    <t>ק3</t>
  </si>
  <si>
    <t>ק4</t>
  </si>
  <si>
    <t>ק5</t>
  </si>
  <si>
    <t>ק6</t>
  </si>
  <si>
    <t>סיום הקודמות</t>
  </si>
  <si>
    <t>התחלה</t>
  </si>
  <si>
    <t>סיום</t>
  </si>
  <si>
    <t>קריטי*</t>
  </si>
  <si>
    <t>על ידי</t>
  </si>
  <si>
    <t>ימים שאינם ימי עבודה בשבוע (חגים)</t>
  </si>
  <si>
    <t>אישורים, היתרים והזמנות (חוק התכנון והבנייה)</t>
  </si>
  <si>
    <t>A010</t>
  </si>
  <si>
    <t>חתימת חוזה וצו התחלת עבודה</t>
  </si>
  <si>
    <t>—</t>
  </si>
  <si>
    <t>●</t>
  </si>
  <si>
    <t>קבלן</t>
  </si>
  <si>
    <t>A015</t>
  </si>
  <si>
    <t>היתר בנייה בתוקף לתוספות ושינויי חזית (באחריות המזמין והאדריכלית) – להזין משך אם טרם התקבל</t>
  </si>
  <si>
    <t>03.01–03.05, 02.15</t>
  </si>
  <si>
    <t>אחרים / מזמין / רשות</t>
  </si>
  <si>
    <t>A016</t>
  </si>
  <si>
    <t>מינוי מנהל עבודה רשום, הודעה למפקח עבודה אזורי ותוכנית בטיחות</t>
  </si>
  <si>
    <t>A017</t>
  </si>
  <si>
    <t>היתר העירייה להצבת פיגום ומכולת פסולת ברשות הרבים</t>
  </si>
  <si>
    <t>01.07, 01.09</t>
  </si>
  <si>
    <t>A020</t>
  </si>
  <si>
    <t>בקשה לחברת החשמל – הגדלת חיבור (3×40 אמפר) ופילר חדש</t>
  </si>
  <si>
    <t>06.07</t>
  </si>
  <si>
    <t>A030</t>
  </si>
  <si>
    <t>אישור דוגמאות, חומרים וגוונים מול המעצבת (דוגמת טיח)</t>
  </si>
  <si>
    <t>14.01</t>
  </si>
  <si>
    <t>A050</t>
  </si>
  <si>
    <t>אספקת המזמין: הזמנה ואספקה של כלים סניטריים, ברזים וגופי תאורה</t>
  </si>
  <si>
    <t>05, 07</t>
  </si>
  <si>
    <t>A055</t>
  </si>
  <si>
    <t>אספקת המזמין: הזמנה ואספקה של אריחי ריצוף וחיפוי</t>
  </si>
  <si>
    <t>13</t>
  </si>
  <si>
    <t>התארגנות</t>
  </si>
  <si>
    <t>S010</t>
  </si>
  <si>
    <t>התארגנות אתר, גידור, חיבורי מים וחשמל זמניים, מכולת פסולת</t>
  </si>
  <si>
    <t>01.01–01.04, 01.07</t>
  </si>
  <si>
    <t>S020</t>
  </si>
  <si>
    <t>הגנה על אלמנטים קיימים, מדידות וסימון בלייזר</t>
  </si>
  <si>
    <t>01.05, 01.06</t>
  </si>
  <si>
    <t>S030</t>
  </si>
  <si>
    <t>אישור כתוב של המתכננת למעבר להריסות</t>
  </si>
  <si>
    <t>הריסות ופירוקים</t>
  </si>
  <si>
    <t>D010</t>
  </si>
  <si>
    <t>פירוק חלונות, דלתות, כלים סניטריים, ארונות, מיזוג, חשמל וצנרת גלויה</t>
  </si>
  <si>
    <t>02.06–02.13</t>
  </si>
  <si>
    <t>D020</t>
  </si>
  <si>
    <t>הריסת קירות ומחיצות – מרתף (62 מ"ר)</t>
  </si>
  <si>
    <t>02.01</t>
  </si>
  <si>
    <t>D030</t>
  </si>
  <si>
    <t>הריסת קירות ומחיצות – קומת קרקע (51 מ"ר)</t>
  </si>
  <si>
    <t>02.02</t>
  </si>
  <si>
    <t>D040</t>
  </si>
  <si>
    <t>הריסת קירות ומחיצות – קומה א׳ (85 מ"ר)</t>
  </si>
  <si>
    <t>02.03</t>
  </si>
  <si>
    <t>D050</t>
  </si>
  <si>
    <t>פירוק תקרות גבס, ריצופים ופנלים</t>
  </si>
  <si>
    <t>02.04, 02.05, 02.18</t>
  </si>
  <si>
    <t>X010</t>
  </si>
  <si>
    <t>הקמת פיגום חיצוני</t>
  </si>
  <si>
    <t>01.09</t>
  </si>
  <si>
    <t>X015</t>
  </si>
  <si>
    <t>בדיקת הפיגום על ידי בודק מוסמך לפני תחילת עבודה</t>
  </si>
  <si>
    <t>D055</t>
  </si>
  <si>
    <t>ניסור ופירוק מסגרות בטון דקורטיביות מהפיגום (באישור קונסטרוקטור והיתר, ככל שנדרש)</t>
  </si>
  <si>
    <t>02.15</t>
  </si>
  <si>
    <t>D060</t>
  </si>
  <si>
    <t>פירוק גרנוליט, מדרגות כניסה קיימות וצמחיית גינון</t>
  </si>
  <si>
    <t>02.19–02.21</t>
  </si>
  <si>
    <t>D065</t>
  </si>
  <si>
    <t>פינוי פסולת לאתר מורשה וניקיון יסודי</t>
  </si>
  <si>
    <t>02.16, 02.17</t>
  </si>
  <si>
    <t>D070</t>
  </si>
  <si>
    <t>אישור קונסטרוקטור ומתכננת למעבר לבנייה</t>
  </si>
  <si>
    <t>שלד ותוספות מבניות</t>
  </si>
  <si>
    <t>K010</t>
  </si>
  <si>
    <t>חיזוק גרם המדרגות הפנימי הקיים</t>
  </si>
  <si>
    <t>03.04</t>
  </si>
  <si>
    <t>K020</t>
  </si>
  <si>
    <t>שלד כניסה חדשה וגרם מדרגות</t>
  </si>
  <si>
    <t>03.03</t>
  </si>
  <si>
    <t>K025</t>
  </si>
  <si>
    <t>מדרגות כניסה מרחפות (12 מדרגות)</t>
  </si>
  <si>
    <t>03.05</t>
  </si>
  <si>
    <t>K030</t>
  </si>
  <si>
    <t>הגדלת מרפסת הסלון ותוספת פרגולה</t>
  </si>
  <si>
    <t>03.01</t>
  </si>
  <si>
    <t>K040</t>
  </si>
  <si>
    <t>תוספת חדר בקומת הגלריה</t>
  </si>
  <si>
    <t>03.02</t>
  </si>
  <si>
    <t>K050</t>
  </si>
  <si>
    <t>אישור קונסטרוקטור: השלד הושלם</t>
  </si>
  <si>
    <t>תשתיות מוסתרות</t>
  </si>
  <si>
    <t>B010</t>
  </si>
  <si>
    <t>קירות בלוקים (26 מ"ר)</t>
  </si>
  <si>
    <t>04.01–04.03</t>
  </si>
  <si>
    <t>P010</t>
  </si>
  <si>
    <t>אינסטלציה – שלב ראשון: נקודות, קווי אספקה וביוב</t>
  </si>
  <si>
    <t>05.25–05.33</t>
  </si>
  <si>
    <t>E010</t>
  </si>
  <si>
    <t>חשמל – שלב ראשון: צנרת, נקודות והרחבת לוח</t>
  </si>
  <si>
    <t>06.01–06.06, 06.10, 06.11, 07.11, 07.20</t>
  </si>
  <si>
    <t>Q010</t>
  </si>
  <si>
    <t>בדיקות לחץ ואטימות באינסטלציה ואישור מתכננת</t>
  </si>
  <si>
    <t>05.35</t>
  </si>
  <si>
    <t>Q020</t>
  </si>
  <si>
    <t>בדיקת חשמלאי בודק לתשתיות, הארקה ומפסק פחת</t>
  </si>
  <si>
    <t>06.09</t>
  </si>
  <si>
    <t>גבס ואיטום</t>
  </si>
  <si>
    <t>G010</t>
  </si>
  <si>
    <t>מחיצות גבס עם בידוד אקוסטי (133 מ"ר)</t>
  </si>
  <si>
    <t>09.01–09.03</t>
  </si>
  <si>
    <t>G020</t>
  </si>
  <si>
    <t>תקרות גבס תלויות (33 מ"ר)</t>
  </si>
  <si>
    <t>09.04</t>
  </si>
  <si>
    <t>G030</t>
  </si>
  <si>
    <t>בדיקת גבס ואישור</t>
  </si>
  <si>
    <t>W010</t>
  </si>
  <si>
    <t>איטום קירות חדרים רטובים (186 מ"ר)</t>
  </si>
  <si>
    <t>10.01</t>
  </si>
  <si>
    <t>W020</t>
  </si>
  <si>
    <t>איטום מרפסות (52.7 מ"ר)</t>
  </si>
  <si>
    <t>10.04</t>
  </si>
  <si>
    <t>W030</t>
  </si>
  <si>
    <t>בדיקות הצפה לחדרים רטובים ולמרפסות</t>
  </si>
  <si>
    <t>10.03</t>
  </si>
  <si>
    <t>W040</t>
  </si>
  <si>
    <t>אישור יועץ האיטום בכתב</t>
  </si>
  <si>
    <t>חזית ופיתוח חיצוני</t>
  </si>
  <si>
    <t>EXT1</t>
  </si>
  <si>
    <t>על ידי אחרים: אלומיניום ודלתות – אספקה והתקנה</t>
  </si>
  <si>
    <t>(מחוץ להיקף)</t>
  </si>
  <si>
    <t>X020</t>
  </si>
  <si>
    <t>הכנת תשתית וטיח צבעוני לחזיתות (225 מ"ר)</t>
  </si>
  <si>
    <t>Z010</t>
  </si>
  <si>
    <t>אדני חלונות ואיטום חלונות</t>
  </si>
  <si>
    <t>12.01, 12.02, 12.04</t>
  </si>
  <si>
    <t>X030</t>
  </si>
  <si>
    <t>פירוק הפיגום</t>
  </si>
  <si>
    <t>גמרי פנים והתקנות</t>
  </si>
  <si>
    <t>F010</t>
  </si>
  <si>
    <t>תיקוני טיח ושפכטל בפנים (576 מ"ר; שפכטל אמריקאי לחללים ציבוריים)</t>
  </si>
  <si>
    <t>14.02, 14.03</t>
  </si>
  <si>
    <t>T010</t>
  </si>
  <si>
    <t>ריצוף פנים 120×120 ו-120×60 ס"מ</t>
  </si>
  <si>
    <t>13.01, 13.02</t>
  </si>
  <si>
    <t>T020</t>
  </si>
  <si>
    <t>חיפוי קירות מקלחות (121 מ"ר)</t>
  </si>
  <si>
    <t>13.03</t>
  </si>
  <si>
    <t>T030</t>
  </si>
  <si>
    <t>ריצוף חוץ ומרפסות R11 (264 מ"ר)</t>
  </si>
  <si>
    <t>13.05</t>
  </si>
  <si>
    <t>T040</t>
  </si>
  <si>
    <t>חיפוי מדרגות (פנים וכניסה) ופנלים</t>
  </si>
  <si>
    <t>13.04, 13.07, 13.08</t>
  </si>
  <si>
    <t>E030</t>
  </si>
  <si>
    <t>התקנת גופי תאורה וספוטים</t>
  </si>
  <si>
    <t>07.03–07.19</t>
  </si>
  <si>
    <t>F020</t>
  </si>
  <si>
    <t>צבע סופי</t>
  </si>
  <si>
    <t>14.02</t>
  </si>
  <si>
    <t>E020</t>
  </si>
  <si>
    <t>התקנת שקעים ומפסקים</t>
  </si>
  <si>
    <t>06.01–06.05, 06.10, 07.01–07.02א</t>
  </si>
  <si>
    <t>E025</t>
  </si>
  <si>
    <t>חיבורים ישירים ללוח (כיריים, תנור וצרכנים ייעודיים)</t>
  </si>
  <si>
    <t>06.11–06.13</t>
  </si>
  <si>
    <t>P020</t>
  </si>
  <si>
    <t>התקנת כלים סניטריים, ברזים ודוד</t>
  </si>
  <si>
    <t>05.01–05.24, 05.34</t>
  </si>
  <si>
    <t>פיתוח וחשמל חוץ</t>
  </si>
  <si>
    <t>E040</t>
  </si>
  <si>
    <t>התקנת פילר חברת החשמל וחיבור</t>
  </si>
  <si>
    <t>V010</t>
  </si>
  <si>
    <t>עבודות עפר, פילוס וניקוז מי נגר</t>
  </si>
  <si>
    <t>17.01, 17.02</t>
  </si>
  <si>
    <t>V015</t>
  </si>
  <si>
    <t>יציקת שבילי בטון</t>
  </si>
  <si>
    <t>17.06</t>
  </si>
  <si>
    <t>V020</t>
  </si>
  <si>
    <t>גינון, השקיה ותאורת גן</t>
  </si>
  <si>
    <t>17.04, 17.05</t>
  </si>
  <si>
    <t>בדיקות, מסירה ותעודת גמר</t>
  </si>
  <si>
    <t>H010</t>
  </si>
  <si>
    <t>בדיקת חשמלאי בודק סופית ותעודת בדיקה</t>
  </si>
  <si>
    <t>H020</t>
  </si>
  <si>
    <t>בדיקות סופיות: מים, ביוב ודוד</t>
  </si>
  <si>
    <t>H030</t>
  </si>
  <si>
    <t>ניקיון סופי</t>
  </si>
  <si>
    <t>H040</t>
  </si>
  <si>
    <t>סיור בדק עם המעצבת ורשימת ליקויים</t>
  </si>
  <si>
    <t>H050</t>
  </si>
  <si>
    <t>תיקון ליקויים</t>
  </si>
  <si>
    <t>H055</t>
  </si>
  <si>
    <t>הגשת בקשה לתעודת גמר (טופס 4) לוועדה המקומית – תצהירי מתכננים, אחראי לביקורת ובודקים</t>
  </si>
  <si>
    <t>H060</t>
  </si>
  <si>
    <t>מסירה למזמין</t>
  </si>
  <si>
    <t>H070</t>
  </si>
  <si>
    <t>קבלת תעודת גמר (טופס 4) מהוועדה המקומית ובדיקות הרשות</t>
  </si>
  <si>
    <t>קבלת תעודת גמר (טופס 4) – הערכה</t>
  </si>
  <si>
    <t>משך עד מסירה (שבועות קלנדריים)</t>
  </si>
  <si>
    <t>ימי עבודה עד מסירה (ללא חגים)</t>
  </si>
  <si>
    <t>מקרא: כחול כהה = קריטי | כחול בהיר = פעילות קבלן | אפור = על ידי אחרים / מזמין / רשות | שחור = אבן דרך | צהוב = שבוע עם יום חג</t>
  </si>
  <si>
    <t>* הנתיב הקריטי חושב פעם אחת בעת יצירת הקובץ (ללא חגים) ואינו מתעדכן בשינוי משכים.</t>
  </si>
  <si>
    <t>חוק התכנון והבנייה – שלבי היתר ותעודת גמר בלוח הזמנים</t>
  </si>
  <si>
    <t>#</t>
  </si>
  <si>
    <t>נושא</t>
  </si>
  <si>
    <t>התייחסות בלוח הזמנים</t>
  </si>
  <si>
    <t>היתר בנייה</t>
  </si>
  <si>
    <t>תוספות בנייה (הגדלת מרפסת, פרגולה, חדר גלריה, כניסה ומדרגות) ושינויי חזית טעונים היתר מהוועדה המקומית (חיפה), בדרך כלל באמצעות מערכת "רישוי זמין". בלוח הוגדרה משימה A015 "היתר בנייה בתוקף" שמשכה 0 ימים (הנחה: ההיתר בידי המזמין לפני תחילת העבודה). אם טרם התקבל – יש להזין את משך הטיפול בעמודה D של A015, והעבודות הטעונות היתר (D055, K020, K025, K030, K040) יידחו בהתאם. משך הטיפול בפועל תלוי בוועדה (לרוב חודשים) ואינו מובטח.</t>
  </si>
  <si>
    <t>עבודות פטורות מהיתר</t>
  </si>
  <si>
    <t>עבודות פנים שאינן משנות קונסטרוקציה או חזית (כגון חלוקה פנימית בגבס, ריצוף, טיח, צבע) עשויות להיות פטורות מהיתר לפי תקנות התכנון והבנייה (עבודה ושימוש הטעונים היתר). יש לאמת את הסיווג מול האדריכלית/המהנדס, במיוחד לגבי הריסת קירות נושאים, חיזוק גרם המדרגות ופירוק מסגרות בטון בחזית.</t>
  </si>
  <si>
    <t>תנאי היתר ותשלומים</t>
  </si>
  <si>
    <t>אגרות בנייה והיטל השבחה (ככל שחלים) הן בדרך כלל תנאי לקבלת ההיתר ובאחריות המזמין; מינוי אחראי לביקורת על הביצוע (מהנדס/אדריכל) ותצהירי סיום נדרשים להגשת בקשה לתעודת גמר – כלולים בלוח כמשימה H055.</t>
  </si>
  <si>
    <t>תעודת גמר (טופס 4)</t>
  </si>
  <si>
    <t>לאחר סיום העבודות מוגשת בקשה לתעודת גמר/טופס 4 לוועדה המקומית; האישור ניתן לאחר בדיקת מהנדס הרשות. חיבור קבע לחשמל ולמים מותנה לרוב באישור. טופס 4 מורכב ממעבר דו-שלבי (ללא אכלוס ועם אישור אכלוס) לפי נוהג הרשות. בלוח: H055 (הגשה – 10 ימים) ו-H070 (קבלה – הנחה של 30 ימי עבודה, אינה מחייבת). ברוב הרשויות נדרש טופס 4 גם לתוספת בנייה, אך יש לברר מול העירייה.</t>
  </si>
  <si>
    <t>בטיחות בעבודה</t>
  </si>
  <si>
    <t>מבצע הבנייה ממנה מנהל עבודה רשום בתחילת העבודות ומעביר את פרטי המינוי למפקח העבודה האזורי (A016); תוכנית בטיחות נשמרת בפנקס הכללי באתר. פיגום נבדק על ידי בודק מוסמך לפני שימוש (X015). לפי מאמר של משרד עו"ד, תקנות בטיחות חדשות (עבודות בנייה, הדרכה, עבודה בגובה) אמורות להיכנס לתוקף ב-16.10.2026 – יש לוודא מול הנוסח הרשמי.</t>
  </si>
  <si>
    <t>עיריית חיפה</t>
  </si>
  <si>
    <t>היתר להצבת פיגום ומכולת פסולת ברשות הרבים (A017, 10 ימי עבודה – הנחה). יש לבדוק מגבלות שעות עבודה ורעש מול העירייה לפני עבודה של 10–11 שעות ביום, כולל הפסקות צהריים.</t>
  </si>
  <si>
    <t>פינוי פסולת</t>
  </si>
  <si>
    <t>פסולת הבנייה מפונה לאתר מורשה בצירוף אישורי פינוי (D065) – כלול בהצעת המחיר.</t>
  </si>
  <si>
    <t>חיבור חשמל</t>
  </si>
  <si>
    <t>בקשה להגדלת חיבור ל-3×40 אמפר ופילר חדש (A020 – 40 ימי עבודה, הנחה; תלוי בחברת החשמל). בדיקת חשמלאי בודק וטופס/תעודת בדיקה נדרשים לפני חיבור קבע (H010).</t>
  </si>
  <si>
    <t>הערה: מסמך זה אינו ייעוץ משפטי; הדרישות נבדקו מול מקורות ציבוריים בלבד ויש לאמתן מול האדריכלית, המהנדס והוועדה המקומית.</t>
  </si>
  <si>
    <t>שעות עבודה ופועלים סינים – הנחות ואזהרות</t>
  </si>
  <si>
    <t>פירוט</t>
  </si>
  <si>
    <t>הנחת עבודה</t>
  </si>
  <si>
    <t>צוות פועלים סינים הרגיל ל-10–11 שעות ביום, א׳–ה׳. ב-10 שעות מקדם התפוקה 1.18 (לא 1.25 – עייפות ותפוקה שולית יורדת). ב-11 שעות מקדם משוער 1.27. אפשר לשנות את שעות העבודה בתא D4 בגיליון הראשי.</t>
  </si>
  <si>
    <t>חוק שעות עבודה ומנוחה</t>
  </si>
  <si>
    <t>לפי חוק שעות עבודה ומנוחה: יום עבודה רגיל עד 8 שעות ושבוע רגיל של 42 שעות במגזר הפרטי; יום שלפני המנוחה השבועית – עד 7 שעות; מנוחה שבועית של 36 שעות רצופות. שעות מעבר ליום הרגיל הן שעות נוספות בתשלום מוגדל (125% ו-150%), והחוק מגביל את היקפן ודורש היתר/הסכם. 10 שעות ביום × 5 ימים = 50 שעות, כלומר 8 שעות נוספות בשבוע; 11 שעות × 5 = 55 שעות = 13 שעות נוספות. יש לאמת את התקרה השבועית ואת הצורך בהיתר מול משרד העבודה ויועץ משפטי לפני התחייבות ללוח זה.</t>
  </si>
  <si>
    <t>עלות</t>
  </si>
  <si>
    <t>מחירי היחידה בהצעה אינם כוללים תוספת שעות נוספות. עבודה של 10–11 שעות ביום מייקרת את שעת העבודה (125%/150% על השעות מעבר ל-8) ומקצרת את הלוח; יש לבחון את הכדאיות הכוללת.</t>
  </si>
  <si>
    <t>היתרי העסקה</t>
  </si>
  <si>
    <t>העסקת עובדים זרים בענף הבנייה מחייבת היתרי העסקה בתוקף (רשות האוכלוסין וההגירה), תנאי דיור, ביטוח ושכר – באחריות הקבלן ואינה כלולה בלוח.</t>
  </si>
  <si>
    <t>ימי עבודה</t>
  </si>
  <si>
    <t>לוח השבוע: א׳–ה׳ (שישי ושבת – מנוחה). אם הצוות יעבוד גם בשישי, שנו את התא D3 ל-0000100 (שבת בלבד). ימי ערב חג ויום העצמאות/זיכרון מוגדרים בלוח השנה (ימים קצרים אינם מחושבים).</t>
  </si>
  <si>
    <t>מזג אוויר חורפי</t>
  </si>
  <si>
    <t>משכי עבודות חוץ (פיגום, חזית, שבילים, עפר, גינון, מרפסות) הוגדלו ב-10% בגלל עונת הגשמים בחיפה (נובמבר–מרץ).</t>
  </si>
  <si>
    <t>אחרים</t>
  </si>
  <si>
    <t>אלומיניום ודלתות מבוצעים על ידי אחרים (40 ימי עבודה, הנחה) ואינם בהיקף ההצעה; טיח חזית, אדנים ואיטום חלונות תלויים בהם. הלוח אינו כולל בריכה, פרפט/גג, נגרות. כל המשכים הם הנחות שיש לאמת מול מנהל העבודה וקבלני המשנה.</t>
  </si>
</sst>
</file>

<file path=xl/styles.xml><?xml version="1.0" encoding="utf-8"?>
<styleSheet xmlns="http://schemas.openxmlformats.org/spreadsheetml/2006/main">
  <numFmts count="4">
    <numFmt numFmtId="164" formatCode="dd/mm/yyyy"/>
    <numFmt numFmtId="165" formatCode="0.00"/>
    <numFmt numFmtId="166" formatCode="dd/mm"/>
    <numFmt numFmtId="167" formatCode="0;;"/>
  </numFmts>
  <fonts count="14">
    <font>
      <sz val="11"/>
      <color theme="1"/>
      <name val="Calibri"/>
      <family val="2"/>
      <scheme val="minor"/>
    </font>
    <font>
      <b/>
      <sz val="14"/>
      <color rgb="FF0038B8"/>
      <name val="Arial"/>
      <family val="2"/>
    </font>
    <font>
      <b/>
      <sz val="9"/>
      <color theme="1"/>
      <name val="Arial"/>
      <family val="2"/>
    </font>
    <font>
      <i/>
      <sz val="9"/>
      <color theme="1"/>
      <name val="Arial"/>
      <family val="2"/>
    </font>
    <font>
      <b/>
      <sz val="12"/>
      <color rgb="FF0038B8"/>
      <name val="Arial"/>
      <family val="2"/>
    </font>
    <font>
      <b/>
      <sz val="9"/>
      <color rgb="FFFFFFFF"/>
      <name val="Arial"/>
      <family val="2"/>
    </font>
    <font>
      <b/>
      <sz val="8"/>
      <color rgb="FFFFFFFF"/>
      <name val="Arial"/>
      <family val="2"/>
    </font>
    <font>
      <i/>
      <sz val="8"/>
      <color theme="1"/>
      <name val="Arial"/>
      <family val="2"/>
    </font>
    <font>
      <sz val="7"/>
      <color theme="1"/>
      <name val="Arial"/>
      <family val="2"/>
    </font>
    <font>
      <b/>
      <sz val="10"/>
      <color rgb="FF0038B8"/>
      <name val="Arial"/>
      <family val="2"/>
    </font>
    <font>
      <sz val="9"/>
      <color theme="1"/>
      <name val="Arial"/>
      <family val="2"/>
    </font>
    <font>
      <b/>
      <sz val="9"/>
      <color rgb="FF0038B8"/>
      <name val="Arial"/>
      <family val="2"/>
    </font>
    <font>
      <b/>
      <sz val="10"/>
      <color theme="1"/>
      <name val="Arial"/>
      <family val="2"/>
    </font>
    <font>
      <sz val="10"/>
      <color theme="1"/>
      <name val="Arial"/>
      <family val="2"/>
    </font>
  </fonts>
  <fills count="6">
    <fill>
      <patternFill patternType="none"/>
    </fill>
    <fill>
      <patternFill patternType="gray125"/>
    </fill>
    <fill>
      <patternFill patternType="solid">
        <fgColor rgb="FFFFF2CC"/>
        <bgColor indexed="64"/>
      </patternFill>
    </fill>
    <fill>
      <patternFill patternType="solid">
        <fgColor rgb="FF0038B8"/>
        <bgColor indexed="64"/>
      </patternFill>
    </fill>
    <fill>
      <patternFill patternType="solid">
        <fgColor rgb="FFFFFFFF"/>
        <bgColor indexed="64"/>
      </patternFill>
    </fill>
    <fill>
      <patternFill patternType="solid">
        <fgColor rgb="FFE6ECF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0" borderId="0" xfId="0" applyFont="1" applyAlignment="1">
      <alignment vertical="top"/>
    </xf>
    <xf numFmtId="0" fontId="2" fillId="0" borderId="0" xfId="0" applyFont="1" applyAlignment="1">
      <alignment vertical="top"/>
    </xf>
    <xf numFmtId="164" fontId="2" fillId="2" borderId="1" xfId="0" applyNumberFormat="1" applyFont="1" applyFill="1" applyBorder="1" applyAlignment="1">
      <alignment horizontal="center" vertical="top"/>
    </xf>
    <xf numFmtId="0" fontId="3" fillId="0" borderId="0" xfId="0" applyFont="1" applyAlignment="1">
      <alignment vertical="top" wrapText="1"/>
    </xf>
    <xf numFmtId="0" fontId="2" fillId="2" borderId="1" xfId="0" applyFont="1" applyFill="1" applyBorder="1" applyAlignment="1">
      <alignment horizontal="center" vertical="top"/>
    </xf>
    <xf numFmtId="165" fontId="2" fillId="0" borderId="1" xfId="0" applyNumberFormat="1" applyFont="1" applyBorder="1" applyAlignment="1">
      <alignment horizontal="center" vertical="top"/>
    </xf>
    <xf numFmtId="0" fontId="0" fillId="3" borderId="0" xfId="0" applyFill="1"/>
    <xf numFmtId="0" fontId="4" fillId="4" borderId="0" xfId="0" applyFont="1" applyFill="1" applyAlignment="1">
      <alignment horizontal="center" vertical="center"/>
    </xf>
    <xf numFmtId="0" fontId="5" fillId="3" borderId="1" xfId="0" applyFont="1" applyFill="1" applyBorder="1" applyAlignment="1">
      <alignment horizontal="center" vertical="center" wrapText="1"/>
    </xf>
    <xf numFmtId="166" fontId="6" fillId="3" borderId="1" xfId="0" applyNumberFormat="1" applyFont="1" applyFill="1" applyBorder="1" applyAlignment="1">
      <alignment horizontal="center" vertical="top" textRotation="90"/>
    </xf>
    <xf numFmtId="0" fontId="7" fillId="0" borderId="0" xfId="0" applyFont="1" applyAlignment="1">
      <alignment horizontal="right" vertical="top"/>
    </xf>
    <xf numFmtId="167" fontId="8" fillId="0" borderId="0" xfId="0" applyNumberFormat="1" applyFont="1" applyAlignment="1">
      <alignment horizontal="center" vertical="top"/>
    </xf>
    <xf numFmtId="0" fontId="9" fillId="5" borderId="1" xfId="0" applyFont="1" applyFill="1" applyBorder="1" applyAlignment="1">
      <alignment vertical="top"/>
    </xf>
    <xf numFmtId="0" fontId="10" fillId="5" borderId="0" xfId="0" applyFont="1" applyFill="1" applyAlignment="1">
      <alignment vertical="top"/>
    </xf>
    <xf numFmtId="0" fontId="10" fillId="0" borderId="1" xfId="0" applyFont="1" applyBorder="1" applyAlignment="1">
      <alignment horizontal="center" vertical="top"/>
    </xf>
    <xf numFmtId="0" fontId="10" fillId="0" borderId="1" xfId="0" applyFont="1" applyBorder="1" applyAlignment="1">
      <alignment vertical="top" wrapText="1"/>
    </xf>
    <xf numFmtId="0" fontId="10" fillId="2" borderId="1" xfId="0" applyFont="1" applyFill="1" applyBorder="1" applyAlignment="1">
      <alignment horizontal="center" vertical="top"/>
    </xf>
    <xf numFmtId="164" fontId="10" fillId="0" borderId="1" xfId="0" applyNumberFormat="1" applyFont="1" applyBorder="1" applyAlignment="1">
      <alignment horizontal="center" vertical="top"/>
    </xf>
    <xf numFmtId="0" fontId="11" fillId="0" borderId="1" xfId="0" applyFont="1" applyBorder="1" applyAlignment="1">
      <alignment horizontal="center" vertical="top"/>
    </xf>
    <xf numFmtId="164" fontId="2" fillId="0" borderId="0" xfId="0" applyNumberFormat="1" applyFont="1" applyAlignment="1">
      <alignment horizontal="center" vertical="top"/>
    </xf>
    <xf numFmtId="0" fontId="2" fillId="0" borderId="0" xfId="0" applyFont="1" applyAlignment="1">
      <alignment horizontal="center" vertical="top"/>
    </xf>
    <xf numFmtId="0" fontId="3" fillId="0" borderId="0" xfId="0" applyFont="1" applyAlignment="1">
      <alignment vertical="top"/>
    </xf>
    <xf numFmtId="0" fontId="2" fillId="0" borderId="1" xfId="0" applyFont="1" applyBorder="1" applyAlignment="1">
      <alignment horizontal="center" vertical="top"/>
    </xf>
    <xf numFmtId="0" fontId="12" fillId="0" borderId="1" xfId="0" applyFont="1" applyBorder="1" applyAlignment="1">
      <alignment vertical="top" wrapText="1"/>
    </xf>
    <xf numFmtId="0" fontId="13" fillId="0" borderId="1" xfId="0" applyFont="1" applyBorder="1" applyAlignment="1">
      <alignment vertical="top" wrapText="1"/>
    </xf>
  </cellXfs>
  <cellStyles count="1">
    <cellStyle name="Normal" xfId="0" builtinId="0"/>
  </cellStyles>
  <dxfs count="6">
    <dxf>
      <font>
        <b/>
      </font>
      <fill>
        <patternFill>
          <bgColor rgb="FFFFE9A8"/>
        </patternFill>
      </fill>
    </dxf>
    <dxf>
      <fill>
        <patternFill>
          <bgColor rgb="FF000000"/>
        </patternFill>
      </fill>
    </dxf>
    <dxf>
      <fill>
        <patternFill>
          <bgColor rgb="FFA6A6A6"/>
        </patternFill>
      </fill>
    </dxf>
    <dxf>
      <fill>
        <patternFill>
          <bgColor rgb="FF0038B8"/>
        </patternFill>
      </fill>
    </dxf>
    <dxf>
      <fill>
        <patternFill>
          <bgColor rgb="FF4A74D9"/>
        </patternFill>
      </fill>
    </dxf>
    <dxf>
      <fill>
        <patternFill>
          <bgColor rgb="FFFFE9A8"/>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0038B8"/>
    <pageSetUpPr fitToPage="1"/>
  </sheetPr>
  <dimension ref="A1:CI93"/>
  <sheetViews>
    <sheetView rightToLeft="1" tabSelected="1" workbookViewId="0">
      <pane xSplit="2" ySplit="10" topLeftCell="C11" activePane="bottomRight" state="frozen"/>
      <selection pane="topRight" activeCell="C1" sqref="C1"/>
      <selection pane="bottomLeft" activeCell="A11" sqref="A11"/>
      <selection pane="bottomRight"/>
    </sheetView>
  </sheetViews>
  <sheetFormatPr defaultRowHeight="15"/>
  <cols>
    <col min="1" max="1" width="6.7109375" customWidth="1"/>
    <col min="2" max="2" width="60.7109375" customWidth="1"/>
    <col min="3" max="3" width="22.7109375" customWidth="1"/>
    <col min="4" max="5" width="9.7109375" customWidth="1"/>
    <col min="6" max="11" width="6.7109375" customWidth="1"/>
    <col min="12" max="14" width="11.7109375" customWidth="1"/>
    <col min="15" max="15" width="8.7109375" customWidth="1"/>
    <col min="16" max="16" width="10.7109375" customWidth="1"/>
    <col min="17" max="17" width="0.85546875" customWidth="1"/>
    <col min="18" max="87" width="3.140625" customWidth="1"/>
  </cols>
  <sheetData>
    <row r="1" spans="1:87">
      <c r="A1" s="1" t="s">
        <v>38</v>
      </c>
      <c r="B1" s="1"/>
      <c r="C1" s="1"/>
      <c r="D1" s="1"/>
      <c r="E1" s="1"/>
      <c r="F1" s="1"/>
      <c r="G1" s="1"/>
      <c r="H1" s="1"/>
      <c r="I1" s="1"/>
      <c r="J1" s="1"/>
      <c r="K1" s="1"/>
      <c r="L1" s="1"/>
      <c r="M1" s="1"/>
      <c r="N1" s="1"/>
    </row>
    <row r="2" spans="1:87">
      <c r="A2" s="2" t="s">
        <v>39</v>
      </c>
      <c r="D2" s="3">
        <v>46334</v>
      </c>
      <c r="F2" s="4" t="s">
        <v>44</v>
      </c>
      <c r="G2" s="4"/>
      <c r="H2" s="4"/>
      <c r="I2" s="4"/>
      <c r="J2" s="4"/>
      <c r="K2" s="4"/>
      <c r="L2" s="4"/>
      <c r="M2" s="4"/>
      <c r="N2" s="4"/>
    </row>
    <row r="3" spans="1:87">
      <c r="A3" s="2" t="s">
        <v>40</v>
      </c>
      <c r="D3" s="5" t="s">
        <v>41</v>
      </c>
      <c r="F3" s="4"/>
      <c r="G3" s="4"/>
      <c r="H3" s="4"/>
      <c r="I3" s="4"/>
      <c r="J3" s="4"/>
      <c r="K3" s="4"/>
      <c r="L3" s="4"/>
      <c r="M3" s="4"/>
      <c r="N3" s="4"/>
    </row>
    <row r="4" spans="1:87">
      <c r="A4" s="2" t="s">
        <v>42</v>
      </c>
      <c r="D4" s="5">
        <v>10</v>
      </c>
      <c r="F4" s="4"/>
      <c r="G4" s="4"/>
      <c r="H4" s="4"/>
      <c r="I4" s="4"/>
      <c r="J4" s="4"/>
      <c r="K4" s="4"/>
      <c r="L4" s="4"/>
      <c r="M4" s="4"/>
      <c r="N4" s="4"/>
    </row>
    <row r="5" spans="1:87">
      <c r="A5" s="2" t="s">
        <v>43</v>
      </c>
      <c r="D5" s="6">
        <f>ROUND(1+(D4-8)*0.09,2)</f>
        <v>1.18</v>
      </c>
      <c r="F5" s="4"/>
      <c r="G5" s="4"/>
      <c r="H5" s="4"/>
      <c r="I5" s="4"/>
      <c r="J5" s="4"/>
      <c r="K5" s="4"/>
      <c r="L5" s="4"/>
      <c r="M5" s="4"/>
      <c r="N5" s="4"/>
    </row>
    <row r="6" spans="1:87" ht="8" customHeight="1">
      <c r="A6" s="7" t="s">
        <v>45</v>
      </c>
      <c r="B6" s="7"/>
      <c r="C6" s="7"/>
      <c r="D6" s="7"/>
      <c r="E6" s="7"/>
      <c r="F6" s="7"/>
      <c r="G6" s="7"/>
      <c r="H6" s="7"/>
      <c r="I6" s="7"/>
      <c r="J6" s="7"/>
      <c r="K6" s="7"/>
      <c r="L6" s="7"/>
      <c r="M6" s="7"/>
      <c r="N6" s="7"/>
      <c r="O6" s="7"/>
      <c r="P6" s="7"/>
    </row>
    <row r="7" spans="1:87" ht="16" customHeight="1">
      <c r="A7" s="8" t="s">
        <v>46</v>
      </c>
      <c r="B7" s="8"/>
      <c r="C7" s="8"/>
      <c r="D7" s="8"/>
      <c r="E7" s="8"/>
      <c r="F7" s="8"/>
      <c r="G7" s="8"/>
      <c r="H7" s="8"/>
      <c r="I7" s="8"/>
      <c r="J7" s="8"/>
      <c r="K7" s="8"/>
      <c r="L7" s="8"/>
      <c r="M7" s="8"/>
      <c r="N7" s="8"/>
      <c r="O7" s="8"/>
      <c r="P7" s="8"/>
    </row>
    <row r="8" spans="1:87" ht="8" customHeight="1">
      <c r="A8" s="7" t="s">
        <v>45</v>
      </c>
      <c r="B8" s="7"/>
      <c r="C8" s="7"/>
      <c r="D8" s="7"/>
      <c r="E8" s="7"/>
      <c r="F8" s="7"/>
      <c r="G8" s="7"/>
      <c r="H8" s="7"/>
      <c r="I8" s="7"/>
      <c r="J8" s="7"/>
      <c r="K8" s="7"/>
      <c r="L8" s="7"/>
      <c r="M8" s="7"/>
      <c r="N8" s="7"/>
      <c r="O8" s="7"/>
      <c r="P8" s="7"/>
    </row>
    <row r="9" spans="1:87" ht="32" customHeight="1">
      <c r="A9" s="9" t="s">
        <v>47</v>
      </c>
      <c r="B9" s="9" t="s">
        <v>48</v>
      </c>
      <c r="C9" s="9" t="s">
        <v>49</v>
      </c>
      <c r="D9" s="9" t="s">
        <v>50</v>
      </c>
      <c r="E9" s="9" t="s">
        <v>51</v>
      </c>
      <c r="F9" s="9" t="s">
        <v>52</v>
      </c>
      <c r="G9" s="9" t="s">
        <v>53</v>
      </c>
      <c r="H9" s="9" t="s">
        <v>54</v>
      </c>
      <c r="I9" s="9" t="s">
        <v>55</v>
      </c>
      <c r="J9" s="9" t="s">
        <v>56</v>
      </c>
      <c r="K9" s="9" t="s">
        <v>57</v>
      </c>
      <c r="L9" s="9" t="s">
        <v>58</v>
      </c>
      <c r="M9" s="9" t="s">
        <v>59</v>
      </c>
      <c r="N9" s="9" t="s">
        <v>60</v>
      </c>
      <c r="O9" s="9" t="s">
        <v>61</v>
      </c>
      <c r="P9" s="9" t="s">
        <v>62</v>
      </c>
      <c r="R9" s="10">
        <f>$D$2-MOD(WEEKDAY($D$2,1)-1,7)+0</f>
        <v>46334</v>
      </c>
      <c r="S9" s="10">
        <f>$D$2-MOD(WEEKDAY($D$2,1)-1,7)+7</f>
        <v>46341</v>
      </c>
      <c r="T9" s="10">
        <f>$D$2-MOD(WEEKDAY($D$2,1)-1,7)+14</f>
        <v>46348</v>
      </c>
      <c r="U9" s="10">
        <f>$D$2-MOD(WEEKDAY($D$2,1)-1,7)+21</f>
        <v>46355</v>
      </c>
      <c r="V9" s="10">
        <f>$D$2-MOD(WEEKDAY($D$2,1)-1,7)+28</f>
        <v>46362</v>
      </c>
      <c r="W9" s="10">
        <f>$D$2-MOD(WEEKDAY($D$2,1)-1,7)+35</f>
        <v>46369</v>
      </c>
      <c r="X9" s="10">
        <f>$D$2-MOD(WEEKDAY($D$2,1)-1,7)+42</f>
        <v>46376</v>
      </c>
      <c r="Y9" s="10">
        <f>$D$2-MOD(WEEKDAY($D$2,1)-1,7)+49</f>
        <v>46383</v>
      </c>
      <c r="Z9" s="10">
        <f>$D$2-MOD(WEEKDAY($D$2,1)-1,7)+56</f>
        <v>46390</v>
      </c>
      <c r="AA9" s="10">
        <f>$D$2-MOD(WEEKDAY($D$2,1)-1,7)+63</f>
        <v>46397</v>
      </c>
      <c r="AB9" s="10">
        <f>$D$2-MOD(WEEKDAY($D$2,1)-1,7)+70</f>
        <v>46404</v>
      </c>
      <c r="AC9" s="10">
        <f>$D$2-MOD(WEEKDAY($D$2,1)-1,7)+77</f>
        <v>46411</v>
      </c>
      <c r="AD9" s="10">
        <f>$D$2-MOD(WEEKDAY($D$2,1)-1,7)+84</f>
        <v>46418</v>
      </c>
      <c r="AE9" s="10">
        <f>$D$2-MOD(WEEKDAY($D$2,1)-1,7)+91</f>
        <v>46425</v>
      </c>
      <c r="AF9" s="10">
        <f>$D$2-MOD(WEEKDAY($D$2,1)-1,7)+98</f>
        <v>46432</v>
      </c>
      <c r="AG9" s="10">
        <f>$D$2-MOD(WEEKDAY($D$2,1)-1,7)+105</f>
        <v>46439</v>
      </c>
      <c r="AH9" s="10">
        <f>$D$2-MOD(WEEKDAY($D$2,1)-1,7)+112</f>
        <v>46446</v>
      </c>
      <c r="AI9" s="10">
        <f>$D$2-MOD(WEEKDAY($D$2,1)-1,7)+119</f>
        <v>46453</v>
      </c>
      <c r="AJ9" s="10">
        <f>$D$2-MOD(WEEKDAY($D$2,1)-1,7)+126</f>
        <v>46460</v>
      </c>
      <c r="AK9" s="10">
        <f>$D$2-MOD(WEEKDAY($D$2,1)-1,7)+133</f>
        <v>46467</v>
      </c>
      <c r="AL9" s="10">
        <f>$D$2-MOD(WEEKDAY($D$2,1)-1,7)+140</f>
        <v>46474</v>
      </c>
      <c r="AM9" s="10">
        <f>$D$2-MOD(WEEKDAY($D$2,1)-1,7)+147</f>
        <v>46481</v>
      </c>
      <c r="AN9" s="10">
        <f>$D$2-MOD(WEEKDAY($D$2,1)-1,7)+154</f>
        <v>46488</v>
      </c>
      <c r="AO9" s="10">
        <f>$D$2-MOD(WEEKDAY($D$2,1)-1,7)+161</f>
        <v>46495</v>
      </c>
      <c r="AP9" s="10">
        <f>$D$2-MOD(WEEKDAY($D$2,1)-1,7)+168</f>
        <v>46502</v>
      </c>
      <c r="AQ9" s="10">
        <f>$D$2-MOD(WEEKDAY($D$2,1)-1,7)+175</f>
        <v>46509</v>
      </c>
      <c r="AR9" s="10">
        <f>$D$2-MOD(WEEKDAY($D$2,1)-1,7)+182</f>
        <v>46516</v>
      </c>
      <c r="AS9" s="10">
        <f>$D$2-MOD(WEEKDAY($D$2,1)-1,7)+189</f>
        <v>46523</v>
      </c>
      <c r="AT9" s="10">
        <f>$D$2-MOD(WEEKDAY($D$2,1)-1,7)+196</f>
        <v>46530</v>
      </c>
      <c r="AU9" s="10">
        <f>$D$2-MOD(WEEKDAY($D$2,1)-1,7)+203</f>
        <v>46537</v>
      </c>
      <c r="AV9" s="10">
        <f>$D$2-MOD(WEEKDAY($D$2,1)-1,7)+210</f>
        <v>46544</v>
      </c>
      <c r="AW9" s="10">
        <f>$D$2-MOD(WEEKDAY($D$2,1)-1,7)+217</f>
        <v>46551</v>
      </c>
      <c r="AX9" s="10">
        <f>$D$2-MOD(WEEKDAY($D$2,1)-1,7)+224</f>
        <v>46558</v>
      </c>
      <c r="AY9" s="10">
        <f>$D$2-MOD(WEEKDAY($D$2,1)-1,7)+231</f>
        <v>46565</v>
      </c>
      <c r="AZ9" s="10">
        <f>$D$2-MOD(WEEKDAY($D$2,1)-1,7)+238</f>
        <v>46572</v>
      </c>
      <c r="BA9" s="10">
        <f>$D$2-MOD(WEEKDAY($D$2,1)-1,7)+245</f>
        <v>46579</v>
      </c>
      <c r="BB9" s="10">
        <f>$D$2-MOD(WEEKDAY($D$2,1)-1,7)+252</f>
        <v>46586</v>
      </c>
      <c r="BC9" s="10">
        <f>$D$2-MOD(WEEKDAY($D$2,1)-1,7)+259</f>
        <v>46593</v>
      </c>
      <c r="BD9" s="10">
        <f>$D$2-MOD(WEEKDAY($D$2,1)-1,7)+266</f>
        <v>46600</v>
      </c>
      <c r="BE9" s="10">
        <f>$D$2-MOD(WEEKDAY($D$2,1)-1,7)+273</f>
        <v>46607</v>
      </c>
      <c r="BF9" s="10">
        <f>$D$2-MOD(WEEKDAY($D$2,1)-1,7)+280</f>
        <v>46614</v>
      </c>
      <c r="BG9" s="10">
        <f>$D$2-MOD(WEEKDAY($D$2,1)-1,7)+287</f>
        <v>46621</v>
      </c>
      <c r="BH9" s="10">
        <f>$D$2-MOD(WEEKDAY($D$2,1)-1,7)+294</f>
        <v>46628</v>
      </c>
      <c r="BI9" s="10">
        <f>$D$2-MOD(WEEKDAY($D$2,1)-1,7)+301</f>
        <v>46635</v>
      </c>
      <c r="BJ9" s="10">
        <f>$D$2-MOD(WEEKDAY($D$2,1)-1,7)+308</f>
        <v>46642</v>
      </c>
      <c r="BK9" s="10">
        <f>$D$2-MOD(WEEKDAY($D$2,1)-1,7)+315</f>
        <v>46649</v>
      </c>
      <c r="BL9" s="10">
        <f>$D$2-MOD(WEEKDAY($D$2,1)-1,7)+322</f>
        <v>46656</v>
      </c>
      <c r="BM9" s="10">
        <f>$D$2-MOD(WEEKDAY($D$2,1)-1,7)+329</f>
        <v>46663</v>
      </c>
      <c r="BN9" s="10">
        <f>$D$2-MOD(WEEKDAY($D$2,1)-1,7)+336</f>
        <v>46670</v>
      </c>
      <c r="BO9" s="10">
        <f>$D$2-MOD(WEEKDAY($D$2,1)-1,7)+343</f>
        <v>46677</v>
      </c>
      <c r="BP9" s="10">
        <f>$D$2-MOD(WEEKDAY($D$2,1)-1,7)+350</f>
        <v>46684</v>
      </c>
      <c r="BQ9" s="10">
        <f>$D$2-MOD(WEEKDAY($D$2,1)-1,7)+357</f>
        <v>46691</v>
      </c>
      <c r="BR9" s="10">
        <f>$D$2-MOD(WEEKDAY($D$2,1)-1,7)+364</f>
        <v>46698</v>
      </c>
      <c r="BS9" s="10">
        <f>$D$2-MOD(WEEKDAY($D$2,1)-1,7)+371</f>
        <v>46705</v>
      </c>
      <c r="BT9" s="10">
        <f>$D$2-MOD(WEEKDAY($D$2,1)-1,7)+378</f>
        <v>46712</v>
      </c>
      <c r="BU9" s="10">
        <f>$D$2-MOD(WEEKDAY($D$2,1)-1,7)+385</f>
        <v>46719</v>
      </c>
      <c r="BV9" s="10">
        <f>$D$2-MOD(WEEKDAY($D$2,1)-1,7)+392</f>
        <v>46726</v>
      </c>
      <c r="BW9" s="10">
        <f>$D$2-MOD(WEEKDAY($D$2,1)-1,7)+399</f>
        <v>46733</v>
      </c>
      <c r="BX9" s="10">
        <f>$D$2-MOD(WEEKDAY($D$2,1)-1,7)+406</f>
        <v>46740</v>
      </c>
      <c r="BY9" s="10">
        <f>$D$2-MOD(WEEKDAY($D$2,1)-1,7)+413</f>
        <v>46747</v>
      </c>
      <c r="BZ9" s="10">
        <f>$D$2-MOD(WEEKDAY($D$2,1)-1,7)+420</f>
        <v>46754</v>
      </c>
      <c r="CA9" s="10">
        <f>$D$2-MOD(WEEKDAY($D$2,1)-1,7)+427</f>
        <v>46761</v>
      </c>
      <c r="CB9" s="10">
        <f>$D$2-MOD(WEEKDAY($D$2,1)-1,7)+434</f>
        <v>46768</v>
      </c>
      <c r="CC9" s="10">
        <f>$D$2-MOD(WEEKDAY($D$2,1)-1,7)+441</f>
        <v>46775</v>
      </c>
      <c r="CD9" s="10">
        <f>$D$2-MOD(WEEKDAY($D$2,1)-1,7)+448</f>
        <v>46782</v>
      </c>
      <c r="CE9" s="10">
        <f>$D$2-MOD(WEEKDAY($D$2,1)-1,7)+455</f>
        <v>46789</v>
      </c>
      <c r="CF9" s="10">
        <f>$D$2-MOD(WEEKDAY($D$2,1)-1,7)+462</f>
        <v>46796</v>
      </c>
      <c r="CG9" s="10">
        <f>$D$2-MOD(WEEKDAY($D$2,1)-1,7)+469</f>
        <v>46803</v>
      </c>
      <c r="CH9" s="10">
        <f>$D$2-MOD(WEEKDAY($D$2,1)-1,7)+476</f>
        <v>46810</v>
      </c>
      <c r="CI9" s="10">
        <f>$D$2-MOD(WEEKDAY($D$2,1)-1,7)+483</f>
        <v>46817</v>
      </c>
    </row>
    <row r="10" spans="1:87">
      <c r="B10" s="11" t="s">
        <v>63</v>
      </c>
      <c r="R10" s="12">
        <f>COUNTIFS('לוח שנה וחגים'!$F$5:$F$20,"&gt;="&amp;R$9,'לוח שנה וחגים'!$F$5:$F$20,"&lt;="&amp;R$9+4)</f>
        <v>0</v>
      </c>
      <c r="S10" s="12">
        <f>COUNTIFS('לוח שנה וחגים'!$F$5:$F$20,"&gt;="&amp;S$9,'לוח שנה וחגים'!$F$5:$F$20,"&lt;="&amp;S$9+4)</f>
        <v>0</v>
      </c>
      <c r="T10" s="12">
        <f>COUNTIFS('לוח שנה וחגים'!$F$5:$F$20,"&gt;="&amp;T$9,'לוח שנה וחגים'!$F$5:$F$20,"&lt;="&amp;T$9+4)</f>
        <v>0</v>
      </c>
      <c r="U10" s="12">
        <f>COUNTIFS('לוח שנה וחגים'!$F$5:$F$20,"&gt;="&amp;U$9,'לוח שנה וחגים'!$F$5:$F$20,"&lt;="&amp;U$9+4)</f>
        <v>0</v>
      </c>
      <c r="V10" s="12">
        <f>COUNTIFS('לוח שנה וחגים'!$F$5:$F$20,"&gt;="&amp;V$9,'לוח שנה וחגים'!$F$5:$F$20,"&lt;="&amp;V$9+4)</f>
        <v>0</v>
      </c>
      <c r="W10" s="12">
        <f>COUNTIFS('לוח שנה וחגים'!$F$5:$F$20,"&gt;="&amp;W$9,'לוח שנה וחגים'!$F$5:$F$20,"&lt;="&amp;W$9+4)</f>
        <v>0</v>
      </c>
      <c r="X10" s="12">
        <f>COUNTIFS('לוח שנה וחגים'!$F$5:$F$20,"&gt;="&amp;X$9,'לוח שנה וחגים'!$F$5:$F$20,"&lt;="&amp;X$9+4)</f>
        <v>0</v>
      </c>
      <c r="Y10" s="12">
        <f>COUNTIFS('לוח שנה וחגים'!$F$5:$F$20,"&gt;="&amp;Y$9,'לוח שנה וחגים'!$F$5:$F$20,"&lt;="&amp;Y$9+4)</f>
        <v>0</v>
      </c>
      <c r="Z10" s="12">
        <f>COUNTIFS('לוח שנה וחגים'!$F$5:$F$20,"&gt;="&amp;Z$9,'לוח שנה וחגים'!$F$5:$F$20,"&lt;="&amp;Z$9+4)</f>
        <v>0</v>
      </c>
      <c r="AA10" s="12">
        <f>COUNTIFS('לוח שנה וחגים'!$F$5:$F$20,"&gt;="&amp;AA$9,'לוח שנה וחגים'!$F$5:$F$20,"&lt;="&amp;AA$9+4)</f>
        <v>0</v>
      </c>
      <c r="AB10" s="12">
        <f>COUNTIFS('לוח שנה וחגים'!$F$5:$F$20,"&gt;="&amp;AB$9,'לוח שנה וחגים'!$F$5:$F$20,"&lt;="&amp;AB$9+4)</f>
        <v>0</v>
      </c>
      <c r="AC10" s="12">
        <f>COUNTIFS('לוח שנה וחגים'!$F$5:$F$20,"&gt;="&amp;AC$9,'לוח שנה וחגים'!$F$5:$F$20,"&lt;="&amp;AC$9+4)</f>
        <v>0</v>
      </c>
      <c r="AD10" s="12">
        <f>COUNTIFS('לוח שנה וחגים'!$F$5:$F$20,"&gt;="&amp;AD$9,'לוח שנה וחגים'!$F$5:$F$20,"&lt;="&amp;AD$9+4)</f>
        <v>0</v>
      </c>
      <c r="AE10" s="12">
        <f>COUNTIFS('לוח שנה וחגים'!$F$5:$F$20,"&gt;="&amp;AE$9,'לוח שנה וחגים'!$F$5:$F$20,"&lt;="&amp;AE$9+4)</f>
        <v>0</v>
      </c>
      <c r="AF10" s="12">
        <f>COUNTIFS('לוח שנה וחגים'!$F$5:$F$20,"&gt;="&amp;AF$9,'לוח שנה וחגים'!$F$5:$F$20,"&lt;="&amp;AF$9+4)</f>
        <v>0</v>
      </c>
      <c r="AG10" s="12">
        <f>COUNTIFS('לוח שנה וחגים'!$F$5:$F$20,"&gt;="&amp;AG$9,'לוח שנה וחגים'!$F$5:$F$20,"&lt;="&amp;AG$9+4)</f>
        <v>0</v>
      </c>
      <c r="AH10" s="12">
        <f>COUNTIFS('לוח שנה וחגים'!$F$5:$F$20,"&gt;="&amp;AH$9,'לוח שנה וחגים'!$F$5:$F$20,"&lt;="&amp;AH$9+4)</f>
        <v>0</v>
      </c>
      <c r="AI10" s="12">
        <f>COUNTIFS('לוח שנה וחגים'!$F$5:$F$20,"&gt;="&amp;AI$9,'לוח שנה וחגים'!$F$5:$F$20,"&lt;="&amp;AI$9+4)</f>
        <v>0</v>
      </c>
      <c r="AJ10" s="12">
        <f>COUNTIFS('לוח שנה וחגים'!$F$5:$F$20,"&gt;="&amp;AJ$9,'לוח שנה וחגים'!$F$5:$F$20,"&lt;="&amp;AJ$9+4)</f>
        <v>0</v>
      </c>
      <c r="AK10" s="12">
        <f>COUNTIFS('לוח שנה וחגים'!$F$5:$F$20,"&gt;="&amp;AK$9,'לוח שנה וחגים'!$F$5:$F$20,"&lt;="&amp;AK$9+4)</f>
        <v>0</v>
      </c>
      <c r="AL10" s="12">
        <f>COUNTIFS('לוח שנה וחגים'!$F$5:$F$20,"&gt;="&amp;AL$9,'לוח שנה וחגים'!$F$5:$F$20,"&lt;="&amp;AL$9+4)</f>
        <v>0</v>
      </c>
      <c r="AM10" s="12">
        <f>COUNTIFS('לוח שנה וחגים'!$F$5:$F$20,"&gt;="&amp;AM$9,'לוח שנה וחגים'!$F$5:$F$20,"&lt;="&amp;AM$9+4)</f>
        <v>0</v>
      </c>
      <c r="AN10" s="12">
        <f>COUNTIFS('לוח שנה וחגים'!$F$5:$F$20,"&gt;="&amp;AN$9,'לוח שנה וחגים'!$F$5:$F$20,"&lt;="&amp;AN$9+4)</f>
        <v>0</v>
      </c>
      <c r="AO10" s="12">
        <f>COUNTIFS('לוח שנה וחגים'!$F$5:$F$20,"&gt;="&amp;AO$9,'לוח שנה וחגים'!$F$5:$F$20,"&lt;="&amp;AO$9+4)</f>
        <v>1</v>
      </c>
      <c r="AP10" s="12">
        <f>COUNTIFS('לוח שנה וחגים'!$F$5:$F$20,"&gt;="&amp;AP$9,'לוח שנה וחגים'!$F$5:$F$20,"&lt;="&amp;AP$9+4)</f>
        <v>4</v>
      </c>
      <c r="AQ10" s="12">
        <f>COUNTIFS('לוח שנה וחגים'!$F$5:$F$20,"&gt;="&amp;AQ$9,'לוח שנה וחגים'!$F$5:$F$20,"&lt;="&amp;AQ$9+4)</f>
        <v>0</v>
      </c>
      <c r="AR10" s="12">
        <f>COUNTIFS('לוח שנה וחגים'!$F$5:$F$20,"&gt;="&amp;AR$9,'לוח שנה וחגים'!$F$5:$F$20,"&lt;="&amp;AR$9+4)</f>
        <v>1</v>
      </c>
      <c r="AS10" s="12">
        <f>COUNTIFS('לוח שנה וחגים'!$F$5:$F$20,"&gt;="&amp;AS$9,'לוח שנה וחגים'!$F$5:$F$20,"&lt;="&amp;AS$9+4)</f>
        <v>0</v>
      </c>
      <c r="AT10" s="12">
        <f>COUNTIFS('לוח שנה וחגים'!$F$5:$F$20,"&gt;="&amp;AT$9,'לוח שנה וחגים'!$F$5:$F$20,"&lt;="&amp;AT$9+4)</f>
        <v>0</v>
      </c>
      <c r="AU10" s="12">
        <f>COUNTIFS('לוח שנה וחגים'!$F$5:$F$20,"&gt;="&amp;AU$9,'לוח שנה וחגים'!$F$5:$F$20,"&lt;="&amp;AU$9+4)</f>
        <v>0</v>
      </c>
      <c r="AV10" s="12">
        <f>COUNTIFS('לוח שנה וחגים'!$F$5:$F$20,"&gt;="&amp;AV$9,'לוח שנה וחגים'!$F$5:$F$20,"&lt;="&amp;AV$9+4)</f>
        <v>0</v>
      </c>
      <c r="AW10" s="12">
        <f>COUNTIFS('לוח שנה וחגים'!$F$5:$F$20,"&gt;="&amp;AW$9,'לוח שנה וחגים'!$F$5:$F$20,"&lt;="&amp;AW$9+4)</f>
        <v>0</v>
      </c>
      <c r="AX10" s="12">
        <f>COUNTIFS('לוח שנה וחגים'!$F$5:$F$20,"&gt;="&amp;AX$9,'לוח שנה וחגים'!$F$5:$F$20,"&lt;="&amp;AX$9+4)</f>
        <v>0</v>
      </c>
      <c r="AY10" s="12">
        <f>COUNTIFS('לוח שנה וחגים'!$F$5:$F$20,"&gt;="&amp;AY$9,'לוח שנה וחגים'!$F$5:$F$20,"&lt;="&amp;AY$9+4)</f>
        <v>0</v>
      </c>
      <c r="AZ10" s="12">
        <f>COUNTIFS('לוח שנה וחגים'!$F$5:$F$20,"&gt;="&amp;AZ$9,'לוח שנה וחגים'!$F$5:$F$20,"&lt;="&amp;AZ$9+4)</f>
        <v>0</v>
      </c>
      <c r="BA10" s="12">
        <f>COUNTIFS('לוח שנה וחגים'!$F$5:$F$20,"&gt;="&amp;BA$9,'לוח שנה וחגים'!$F$5:$F$20,"&lt;="&amp;BA$9+4)</f>
        <v>0</v>
      </c>
      <c r="BB10" s="12">
        <f>COUNTIFS('לוח שנה וחגים'!$F$5:$F$20,"&gt;="&amp;BB$9,'לוח שנה וחגים'!$F$5:$F$20,"&lt;="&amp;BB$9+4)</f>
        <v>0</v>
      </c>
      <c r="BC10" s="12">
        <f>COUNTIFS('לוח שנה וחגים'!$F$5:$F$20,"&gt;="&amp;BC$9,'לוח שנה וחגים'!$F$5:$F$20,"&lt;="&amp;BC$9+4)</f>
        <v>0</v>
      </c>
      <c r="BD10" s="12">
        <f>COUNTIFS('לוח שנה וחגים'!$F$5:$F$20,"&gt;="&amp;BD$9,'לוח שנה וחגים'!$F$5:$F$20,"&lt;="&amp;BD$9+4)</f>
        <v>0</v>
      </c>
      <c r="BE10" s="12">
        <f>COUNTIFS('לוח שנה וחגים'!$F$5:$F$20,"&gt;="&amp;BE$9,'לוח שנה וחגים'!$F$5:$F$20,"&lt;="&amp;BE$9+4)</f>
        <v>0</v>
      </c>
      <c r="BF10" s="12">
        <f>COUNTIFS('לוח שנה וחגים'!$F$5:$F$20,"&gt;="&amp;BF$9,'לוח שנה וחגים'!$F$5:$F$20,"&lt;="&amp;BF$9+4)</f>
        <v>0</v>
      </c>
      <c r="BG10" s="12">
        <f>COUNTIFS('לוח שנה וחגים'!$F$5:$F$20,"&gt;="&amp;BG$9,'לוח שנה וחגים'!$F$5:$F$20,"&lt;="&amp;BG$9+4)</f>
        <v>0</v>
      </c>
      <c r="BH10" s="12">
        <f>COUNTIFS('לוח שנה וחגים'!$F$5:$F$20,"&gt;="&amp;BH$9,'לוח שנה וחגים'!$F$5:$F$20,"&lt;="&amp;BH$9+4)</f>
        <v>0</v>
      </c>
      <c r="BI10" s="12">
        <f>COUNTIFS('לוח שנה וחגים'!$F$5:$F$20,"&gt;="&amp;BI$9,'לוח שנה וחגים'!$F$5:$F$20,"&lt;="&amp;BI$9+4)</f>
        <v>0</v>
      </c>
      <c r="BJ10" s="12">
        <f>COUNTIFS('לוח שנה וחגים'!$F$5:$F$20,"&gt;="&amp;BJ$9,'לוח שנה וחגים'!$F$5:$F$20,"&lt;="&amp;BJ$9+4)</f>
        <v>0</v>
      </c>
      <c r="BK10" s="12">
        <f>COUNTIFS('לוח שנה וחגים'!$F$5:$F$20,"&gt;="&amp;BK$9,'לוח שנה וחגים'!$F$5:$F$20,"&lt;="&amp;BK$9+4)</f>
        <v>0</v>
      </c>
      <c r="BL10" s="12">
        <f>COUNTIFS('לוח שנה וחגים'!$F$5:$F$20,"&gt;="&amp;BL$9,'לוח שנה וחגים'!$F$5:$F$20,"&lt;="&amp;BL$9+4)</f>
        <v>0</v>
      </c>
      <c r="BM10" s="12">
        <f>COUNTIFS('לוח שנה וחגים'!$F$5:$F$20,"&gt;="&amp;BM$9,'לוח שנה וחגים'!$F$5:$F$20,"&lt;="&amp;BM$9+4)</f>
        <v>0</v>
      </c>
      <c r="BN10" s="12">
        <f>COUNTIFS('לוח שנה וחגים'!$F$5:$F$20,"&gt;="&amp;BN$9,'לוח שנה וחגים'!$F$5:$F$20,"&lt;="&amp;BN$9+4)</f>
        <v>0</v>
      </c>
      <c r="BO10" s="12">
        <f>COUNTIFS('לוח שנה וחגים'!$F$5:$F$20,"&gt;="&amp;BO$9,'לוח שנה וחגים'!$F$5:$F$20,"&lt;="&amp;BO$9+4)</f>
        <v>0</v>
      </c>
      <c r="BP10" s="12">
        <f>COUNTIFS('לוח שנה וחגים'!$F$5:$F$20,"&gt;="&amp;BP$9,'לוח שנה וחגים'!$F$5:$F$20,"&lt;="&amp;BP$9+4)</f>
        <v>0</v>
      </c>
      <c r="BQ10" s="12">
        <f>COUNTIFS('לוח שנה וחגים'!$F$5:$F$20,"&gt;="&amp;BQ$9,'לוח שנה וחגים'!$F$5:$F$20,"&lt;="&amp;BQ$9+4)</f>
        <v>0</v>
      </c>
      <c r="BR10" s="12">
        <f>COUNTIFS('לוח שנה וחגים'!$F$5:$F$20,"&gt;="&amp;BR$9,'לוח שנה וחגים'!$F$5:$F$20,"&lt;="&amp;BR$9+4)</f>
        <v>0</v>
      </c>
      <c r="BS10" s="12">
        <f>COUNTIFS('לוח שנה וחגים'!$F$5:$F$20,"&gt;="&amp;BS$9,'לוח שנה וחגים'!$F$5:$F$20,"&lt;="&amp;BS$9+4)</f>
        <v>0</v>
      </c>
      <c r="BT10" s="12">
        <f>COUNTIFS('לוח שנה וחגים'!$F$5:$F$20,"&gt;="&amp;BT$9,'לוח שנה וחגים'!$F$5:$F$20,"&lt;="&amp;BT$9+4)</f>
        <v>0</v>
      </c>
      <c r="BU10" s="12">
        <f>COUNTIFS('לוח שנה וחגים'!$F$5:$F$20,"&gt;="&amp;BU$9,'לוח שנה וחגים'!$F$5:$F$20,"&lt;="&amp;BU$9+4)</f>
        <v>0</v>
      </c>
      <c r="BV10" s="12">
        <f>COUNTIFS('לוח שנה וחגים'!$F$5:$F$20,"&gt;="&amp;BV$9,'לוח שנה וחגים'!$F$5:$F$20,"&lt;="&amp;BV$9+4)</f>
        <v>0</v>
      </c>
      <c r="BW10" s="12">
        <f>COUNTIFS('לוח שנה וחגים'!$F$5:$F$20,"&gt;="&amp;BW$9,'לוח שנה וחגים'!$F$5:$F$20,"&lt;="&amp;BW$9+4)</f>
        <v>0</v>
      </c>
      <c r="BX10" s="12">
        <f>COUNTIFS('לוח שנה וחגים'!$F$5:$F$20,"&gt;="&amp;BX$9,'לוח שנה וחגים'!$F$5:$F$20,"&lt;="&amp;BX$9+4)</f>
        <v>0</v>
      </c>
      <c r="BY10" s="12">
        <f>COUNTIFS('לוח שנה וחגים'!$F$5:$F$20,"&gt;="&amp;BY$9,'לוח שנה וחגים'!$F$5:$F$20,"&lt;="&amp;BY$9+4)</f>
        <v>0</v>
      </c>
      <c r="BZ10" s="12">
        <f>COUNTIFS('לוח שנה וחגים'!$F$5:$F$20,"&gt;="&amp;BZ$9,'לוח שנה וחגים'!$F$5:$F$20,"&lt;="&amp;BZ$9+4)</f>
        <v>0</v>
      </c>
      <c r="CA10" s="12">
        <f>COUNTIFS('לוח שנה וחגים'!$F$5:$F$20,"&gt;="&amp;CA$9,'לוח שנה וחגים'!$F$5:$F$20,"&lt;="&amp;CA$9+4)</f>
        <v>0</v>
      </c>
      <c r="CB10" s="12">
        <f>COUNTIFS('לוח שנה וחגים'!$F$5:$F$20,"&gt;="&amp;CB$9,'לוח שנה וחגים'!$F$5:$F$20,"&lt;="&amp;CB$9+4)</f>
        <v>0</v>
      </c>
      <c r="CC10" s="12">
        <f>COUNTIFS('לוח שנה וחגים'!$F$5:$F$20,"&gt;="&amp;CC$9,'לוח שנה וחגים'!$F$5:$F$20,"&lt;="&amp;CC$9+4)</f>
        <v>0</v>
      </c>
      <c r="CD10" s="12">
        <f>COUNTIFS('לוח שנה וחגים'!$F$5:$F$20,"&gt;="&amp;CD$9,'לוח שנה וחגים'!$F$5:$F$20,"&lt;="&amp;CD$9+4)</f>
        <v>0</v>
      </c>
      <c r="CE10" s="12">
        <f>COUNTIFS('לוח שנה וחגים'!$F$5:$F$20,"&gt;="&amp;CE$9,'לוח שנה וחגים'!$F$5:$F$20,"&lt;="&amp;CE$9+4)</f>
        <v>0</v>
      </c>
      <c r="CF10" s="12">
        <f>COUNTIFS('לוח שנה וחגים'!$F$5:$F$20,"&gt;="&amp;CF$9,'לוח שנה וחגים'!$F$5:$F$20,"&lt;="&amp;CF$9+4)</f>
        <v>0</v>
      </c>
      <c r="CG10" s="12">
        <f>COUNTIFS('לוח שנה וחגים'!$F$5:$F$20,"&gt;="&amp;CG$9,'לוח שנה וחגים'!$F$5:$F$20,"&lt;="&amp;CG$9+4)</f>
        <v>0</v>
      </c>
      <c r="CH10" s="12">
        <f>COUNTIFS('לוח שנה וחגים'!$F$5:$F$20,"&gt;="&amp;CH$9,'לוח שנה וחגים'!$F$5:$F$20,"&lt;="&amp;CH$9+4)</f>
        <v>0</v>
      </c>
      <c r="CI10" s="12">
        <f>COUNTIFS('לוח שנה וחגים'!$F$5:$F$20,"&gt;="&amp;CI$9,'לוח שנה וחגים'!$F$5:$F$20,"&lt;="&amp;CI$9+4)</f>
        <v>0</v>
      </c>
    </row>
    <row r="11" spans="1:87">
      <c r="A11" s="13" t="s">
        <v>64</v>
      </c>
      <c r="B11" s="13"/>
      <c r="C11" s="13"/>
      <c r="D11" s="13"/>
      <c r="E11" s="13"/>
      <c r="F11" s="13"/>
      <c r="G11" s="13"/>
      <c r="H11" s="13"/>
      <c r="I11" s="13"/>
      <c r="J11" s="13"/>
      <c r="K11" s="13"/>
      <c r="L11" s="13"/>
      <c r="M11" s="13"/>
      <c r="N11" s="13"/>
      <c r="O11" s="13"/>
      <c r="P11" s="13"/>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row>
    <row r="12" spans="1:87">
      <c r="A12" s="15" t="s">
        <v>65</v>
      </c>
      <c r="B12" s="16" t="s">
        <v>66</v>
      </c>
      <c r="C12" s="16" t="s">
        <v>67</v>
      </c>
      <c r="D12" s="17">
        <v>0</v>
      </c>
      <c r="E12" s="15">
        <f>IF(D12=0,0,MAX(1,ROUNDUP(D12/$D$5,0)))</f>
        <v>0</v>
      </c>
      <c r="F12" s="15"/>
      <c r="G12" s="15"/>
      <c r="H12" s="15"/>
      <c r="I12" s="15"/>
      <c r="J12" s="15"/>
      <c r="K12" s="15"/>
      <c r="L12" s="18">
        <f>MAX($D$2-1,IFERROR(INDEX($N$11:$N$86,MATCH(F12,$A$11:$A$86,0)),0),IFERROR(INDEX($N$11:$N$86,MATCH(G12,$A$11:$A$86,0)),0),IFERROR(INDEX($N$11:$N$86,MATCH(H12,$A$11:$A$86,0)),0),IFERROR(INDEX($N$11:$N$86,MATCH(I12,$A$11:$A$86,0)),0),IFERROR(INDEX($N$11:$N$86,MATCH(J12,$A$11:$A$86,0)),0),IFERROR(INDEX($N$11:$N$86,MATCH(K12,$A$11:$A$86,0)),0))</f>
        <v>46333</v>
      </c>
      <c r="M12" s="18">
        <f>IF(E12=0,IF(COUNTA(F12:K12)=0,$D$2,L12),WORKDAY.INTL(L12,1,$D$3,'לוח שנה וחגים'!$F$5:$F$20))</f>
        <v>46334</v>
      </c>
      <c r="N12" s="18">
        <f>IF(E12=0,M12,WORKDAY.INTL(M12,E12-1,$D$3,'לוח שנה וחגים'!$F$5:$F$20))</f>
        <v>46334</v>
      </c>
      <c r="O12" s="19" t="s">
        <v>68</v>
      </c>
      <c r="P12" s="15" t="s">
        <v>69</v>
      </c>
    </row>
    <row r="13" spans="1:87" ht="26" customHeight="1">
      <c r="A13" s="15" t="s">
        <v>70</v>
      </c>
      <c r="B13" s="16" t="s">
        <v>71</v>
      </c>
      <c r="C13" s="16" t="s">
        <v>72</v>
      </c>
      <c r="D13" s="17">
        <v>0</v>
      </c>
      <c r="E13" s="15">
        <f>IF(D13=0,0,MAX(1,ROUNDUP(D13/$D$5,0)))</f>
        <v>0</v>
      </c>
      <c r="F13" s="15" t="s">
        <v>65</v>
      </c>
      <c r="G13" s="15"/>
      <c r="H13" s="15"/>
      <c r="I13" s="15"/>
      <c r="J13" s="15"/>
      <c r="K13" s="15"/>
      <c r="L13" s="18">
        <f>MAX($D$2-1,IFERROR(INDEX($N$11:$N$86,MATCH(F13,$A$11:$A$86,0)),0),IFERROR(INDEX($N$11:$N$86,MATCH(G13,$A$11:$A$86,0)),0),IFERROR(INDEX($N$11:$N$86,MATCH(H13,$A$11:$A$86,0)),0),IFERROR(INDEX($N$11:$N$86,MATCH(I13,$A$11:$A$86,0)),0),IFERROR(INDEX($N$11:$N$86,MATCH(J13,$A$11:$A$86,0)),0),IFERROR(INDEX($N$11:$N$86,MATCH(K13,$A$11:$A$86,0)),0))</f>
        <v>46334</v>
      </c>
      <c r="M13" s="18">
        <f>IF(E13=0,IF(COUNTA(F13:K13)=0,$D$2,L13),WORKDAY.INTL(L13,1,$D$3,'לוח שנה וחגים'!$F$5:$F$20))</f>
        <v>46334</v>
      </c>
      <c r="N13" s="18">
        <f>IF(E13=0,M13,WORKDAY.INTL(M13,E13-1,$D$3,'לוח שנה וחגים'!$F$5:$F$20))</f>
        <v>46334</v>
      </c>
      <c r="O13" s="19"/>
      <c r="P13" s="15" t="s">
        <v>73</v>
      </c>
    </row>
    <row r="14" spans="1:87">
      <c r="A14" s="15" t="s">
        <v>74</v>
      </c>
      <c r="B14" s="16" t="s">
        <v>75</v>
      </c>
      <c r="C14" s="16" t="s">
        <v>67</v>
      </c>
      <c r="D14" s="17">
        <v>3</v>
      </c>
      <c r="E14" s="15">
        <f>IF(D14=0,0,MAX(1,ROUNDUP(D14/$D$5,0)))</f>
        <v>3</v>
      </c>
      <c r="F14" s="15" t="s">
        <v>65</v>
      </c>
      <c r="G14" s="15"/>
      <c r="H14" s="15"/>
      <c r="I14" s="15"/>
      <c r="J14" s="15"/>
      <c r="K14" s="15"/>
      <c r="L14" s="18">
        <f>MAX($D$2-1,IFERROR(INDEX($N$11:$N$86,MATCH(F14,$A$11:$A$86,0)),0),IFERROR(INDEX($N$11:$N$86,MATCH(G14,$A$11:$A$86,0)),0),IFERROR(INDEX($N$11:$N$86,MATCH(H14,$A$11:$A$86,0)),0),IFERROR(INDEX($N$11:$N$86,MATCH(I14,$A$11:$A$86,0)),0),IFERROR(INDEX($N$11:$N$86,MATCH(J14,$A$11:$A$86,0)),0),IFERROR(INDEX($N$11:$N$86,MATCH(K14,$A$11:$A$86,0)),0))</f>
        <v>46334</v>
      </c>
      <c r="M14" s="18">
        <f>IF(E14=0,IF(COUNTA(F14:K14)=0,$D$2,L14),WORKDAY.INTL(L14,1,$D$3,'לוח שנה וחגים'!$F$5:$F$20))</f>
        <v>46335</v>
      </c>
      <c r="N14" s="18">
        <f>IF(E14=0,M14,WORKDAY.INTL(M14,E14-1,$D$3,'לוח שנה וחגים'!$F$5:$F$20))</f>
        <v>46337</v>
      </c>
      <c r="O14" s="19"/>
      <c r="P14" s="15" t="s">
        <v>69</v>
      </c>
    </row>
    <row r="15" spans="1:87">
      <c r="A15" s="15" t="s">
        <v>76</v>
      </c>
      <c r="B15" s="16" t="s">
        <v>77</v>
      </c>
      <c r="C15" s="16" t="s">
        <v>78</v>
      </c>
      <c r="D15" s="17">
        <v>10</v>
      </c>
      <c r="E15" s="15">
        <f>IF(D15=0,0,MAX(1,ROUNDUP(D15/$D$5,0)))</f>
        <v>9</v>
      </c>
      <c r="F15" s="15" t="s">
        <v>65</v>
      </c>
      <c r="G15" s="15"/>
      <c r="H15" s="15"/>
      <c r="I15" s="15"/>
      <c r="J15" s="15"/>
      <c r="K15" s="15"/>
      <c r="L15" s="18">
        <f>MAX($D$2-1,IFERROR(INDEX($N$11:$N$86,MATCH(F15,$A$11:$A$86,0)),0),IFERROR(INDEX($N$11:$N$86,MATCH(G15,$A$11:$A$86,0)),0),IFERROR(INDEX($N$11:$N$86,MATCH(H15,$A$11:$A$86,0)),0),IFERROR(INDEX($N$11:$N$86,MATCH(I15,$A$11:$A$86,0)),0),IFERROR(INDEX($N$11:$N$86,MATCH(J15,$A$11:$A$86,0)),0),IFERROR(INDEX($N$11:$N$86,MATCH(K15,$A$11:$A$86,0)),0))</f>
        <v>46334</v>
      </c>
      <c r="M15" s="18">
        <f>IF(E15=0,IF(COUNTA(F15:K15)=0,$D$2,L15),WORKDAY.INTL(L15,1,$D$3,'לוח שנה וחגים'!$F$5:$F$20))</f>
        <v>46335</v>
      </c>
      <c r="N15" s="18">
        <f>IF(E15=0,M15,WORKDAY.INTL(M15,E15-1,$D$3,'לוח שנה וחגים'!$F$5:$F$20))</f>
        <v>46345</v>
      </c>
      <c r="O15" s="19" t="s">
        <v>68</v>
      </c>
      <c r="P15" s="15" t="s">
        <v>69</v>
      </c>
    </row>
    <row r="16" spans="1:87">
      <c r="A16" s="15" t="s">
        <v>79</v>
      </c>
      <c r="B16" s="16" t="s">
        <v>80</v>
      </c>
      <c r="C16" s="16" t="s">
        <v>81</v>
      </c>
      <c r="D16" s="17">
        <v>40</v>
      </c>
      <c r="E16" s="15">
        <f>IF(D16=0,0,MAX(1,ROUNDUP(D16/$D$5,0)))</f>
        <v>34</v>
      </c>
      <c r="F16" s="15" t="s">
        <v>65</v>
      </c>
      <c r="G16" s="15"/>
      <c r="H16" s="15"/>
      <c r="I16" s="15"/>
      <c r="J16" s="15"/>
      <c r="K16" s="15"/>
      <c r="L16" s="18">
        <f>MAX($D$2-1,IFERROR(INDEX($N$11:$N$86,MATCH(F16,$A$11:$A$86,0)),0),IFERROR(INDEX($N$11:$N$86,MATCH(G16,$A$11:$A$86,0)),0),IFERROR(INDEX($N$11:$N$86,MATCH(H16,$A$11:$A$86,0)),0),IFERROR(INDEX($N$11:$N$86,MATCH(I16,$A$11:$A$86,0)),0),IFERROR(INDEX($N$11:$N$86,MATCH(J16,$A$11:$A$86,0)),0),IFERROR(INDEX($N$11:$N$86,MATCH(K16,$A$11:$A$86,0)),0))</f>
        <v>46334</v>
      </c>
      <c r="M16" s="18">
        <f>IF(E16=0,IF(COUNTA(F16:K16)=0,$D$2,L16),WORKDAY.INTL(L16,1,$D$3,'לוח שנה וחגים'!$F$5:$F$20))</f>
        <v>46335</v>
      </c>
      <c r="N16" s="18">
        <f>IF(E16=0,M16,WORKDAY.INTL(M16,E16-1,$D$3,'לוח שנה וחגים'!$F$5:$F$20))</f>
        <v>46380</v>
      </c>
      <c r="O16" s="19"/>
      <c r="P16" s="15" t="s">
        <v>73</v>
      </c>
    </row>
    <row r="17" spans="1:87">
      <c r="A17" s="15" t="s">
        <v>82</v>
      </c>
      <c r="B17" s="16" t="s">
        <v>83</v>
      </c>
      <c r="C17" s="16" t="s">
        <v>84</v>
      </c>
      <c r="D17" s="17">
        <v>10</v>
      </c>
      <c r="E17" s="15">
        <f>IF(D17=0,0,MAX(1,ROUNDUP(D17/$D$5,0)))</f>
        <v>9</v>
      </c>
      <c r="F17" s="15" t="s">
        <v>65</v>
      </c>
      <c r="G17" s="15"/>
      <c r="H17" s="15"/>
      <c r="I17" s="15"/>
      <c r="J17" s="15"/>
      <c r="K17" s="15"/>
      <c r="L17" s="18">
        <f>MAX($D$2-1,IFERROR(INDEX($N$11:$N$86,MATCH(F17,$A$11:$A$86,0)),0),IFERROR(INDEX($N$11:$N$86,MATCH(G17,$A$11:$A$86,0)),0),IFERROR(INDEX($N$11:$N$86,MATCH(H17,$A$11:$A$86,0)),0),IFERROR(INDEX($N$11:$N$86,MATCH(I17,$A$11:$A$86,0)),0),IFERROR(INDEX($N$11:$N$86,MATCH(J17,$A$11:$A$86,0)),0),IFERROR(INDEX($N$11:$N$86,MATCH(K17,$A$11:$A$86,0)),0))</f>
        <v>46334</v>
      </c>
      <c r="M17" s="18">
        <f>IF(E17=0,IF(COUNTA(F17:K17)=0,$D$2,L17),WORKDAY.INTL(L17,1,$D$3,'לוח שנה וחגים'!$F$5:$F$20))</f>
        <v>46335</v>
      </c>
      <c r="N17" s="18">
        <f>IF(E17=0,M17,WORKDAY.INTL(M17,E17-1,$D$3,'לוח שנה וחגים'!$F$5:$F$20))</f>
        <v>46345</v>
      </c>
      <c r="O17" s="19"/>
      <c r="P17" s="15" t="s">
        <v>69</v>
      </c>
    </row>
    <row r="18" spans="1:87">
      <c r="A18" s="15" t="s">
        <v>85</v>
      </c>
      <c r="B18" s="16" t="s">
        <v>86</v>
      </c>
      <c r="C18" s="16" t="s">
        <v>87</v>
      </c>
      <c r="D18" s="17">
        <v>20</v>
      </c>
      <c r="E18" s="15">
        <f>IF(D18=0,0,MAX(1,ROUNDUP(D18/$D$5,0)))</f>
        <v>17</v>
      </c>
      <c r="F18" s="15" t="s">
        <v>82</v>
      </c>
      <c r="G18" s="15"/>
      <c r="H18" s="15"/>
      <c r="I18" s="15"/>
      <c r="J18" s="15"/>
      <c r="K18" s="15"/>
      <c r="L18" s="18">
        <f>MAX($D$2-1,IFERROR(INDEX($N$11:$N$86,MATCH(F18,$A$11:$A$86,0)),0),IFERROR(INDEX($N$11:$N$86,MATCH(G18,$A$11:$A$86,0)),0),IFERROR(INDEX($N$11:$N$86,MATCH(H18,$A$11:$A$86,0)),0),IFERROR(INDEX($N$11:$N$86,MATCH(I18,$A$11:$A$86,0)),0),IFERROR(INDEX($N$11:$N$86,MATCH(J18,$A$11:$A$86,0)),0),IFERROR(INDEX($N$11:$N$86,MATCH(K18,$A$11:$A$86,0)),0))</f>
        <v>46345</v>
      </c>
      <c r="M18" s="18">
        <f>IF(E18=0,IF(COUNTA(F18:K18)=0,$D$2,L18),WORKDAY.INTL(L18,1,$D$3,'לוח שנה וחגים'!$F$5:$F$20))</f>
        <v>46348</v>
      </c>
      <c r="N18" s="18">
        <f>IF(E18=0,M18,WORKDAY.INTL(M18,E18-1,$D$3,'לוח שנה וחגים'!$F$5:$F$20))</f>
        <v>46370</v>
      </c>
      <c r="O18" s="19"/>
      <c r="P18" s="15" t="s">
        <v>73</v>
      </c>
    </row>
    <row r="19" spans="1:87">
      <c r="A19" s="15" t="s">
        <v>88</v>
      </c>
      <c r="B19" s="16" t="s">
        <v>89</v>
      </c>
      <c r="C19" s="16" t="s">
        <v>90</v>
      </c>
      <c r="D19" s="17">
        <v>20</v>
      </c>
      <c r="E19" s="15">
        <f>IF(D19=0,0,MAX(1,ROUNDUP(D19/$D$5,0)))</f>
        <v>17</v>
      </c>
      <c r="F19" s="15" t="s">
        <v>82</v>
      </c>
      <c r="G19" s="15"/>
      <c r="H19" s="15"/>
      <c r="I19" s="15"/>
      <c r="J19" s="15"/>
      <c r="K19" s="15"/>
      <c r="L19" s="18">
        <f>MAX($D$2-1,IFERROR(INDEX($N$11:$N$86,MATCH(F19,$A$11:$A$86,0)),0),IFERROR(INDEX($N$11:$N$86,MATCH(G19,$A$11:$A$86,0)),0),IFERROR(INDEX($N$11:$N$86,MATCH(H19,$A$11:$A$86,0)),0),IFERROR(INDEX($N$11:$N$86,MATCH(I19,$A$11:$A$86,0)),0),IFERROR(INDEX($N$11:$N$86,MATCH(J19,$A$11:$A$86,0)),0),IFERROR(INDEX($N$11:$N$86,MATCH(K19,$A$11:$A$86,0)),0))</f>
        <v>46345</v>
      </c>
      <c r="M19" s="18">
        <f>IF(E19=0,IF(COUNTA(F19:K19)=0,$D$2,L19),WORKDAY.INTL(L19,1,$D$3,'לוח שנה וחגים'!$F$5:$F$20))</f>
        <v>46348</v>
      </c>
      <c r="N19" s="18">
        <f>IF(E19=0,M19,WORKDAY.INTL(M19,E19-1,$D$3,'לוח שנה וחגים'!$F$5:$F$20))</f>
        <v>46370</v>
      </c>
      <c r="O19" s="19"/>
      <c r="P19" s="15" t="s">
        <v>73</v>
      </c>
    </row>
    <row r="20" spans="1:87">
      <c r="A20" s="13" t="s">
        <v>91</v>
      </c>
      <c r="B20" s="13"/>
      <c r="C20" s="13"/>
      <c r="D20" s="13"/>
      <c r="E20" s="13"/>
      <c r="F20" s="13"/>
      <c r="G20" s="13"/>
      <c r="H20" s="13"/>
      <c r="I20" s="13"/>
      <c r="J20" s="13"/>
      <c r="K20" s="13"/>
      <c r="L20" s="13"/>
      <c r="M20" s="13"/>
      <c r="N20" s="13"/>
      <c r="O20" s="13"/>
      <c r="P20" s="13"/>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row>
    <row r="21" spans="1:87">
      <c r="A21" s="15" t="s">
        <v>92</v>
      </c>
      <c r="B21" s="16" t="s">
        <v>93</v>
      </c>
      <c r="C21" s="16" t="s">
        <v>94</v>
      </c>
      <c r="D21" s="17">
        <v>5</v>
      </c>
      <c r="E21" s="15">
        <f>IF(D21=0,0,MAX(1,ROUNDUP(D21/$D$5,0)))</f>
        <v>5</v>
      </c>
      <c r="F21" s="15" t="s">
        <v>74</v>
      </c>
      <c r="G21" s="15" t="s">
        <v>76</v>
      </c>
      <c r="H21" s="15"/>
      <c r="I21" s="15"/>
      <c r="J21" s="15"/>
      <c r="K21" s="15"/>
      <c r="L21" s="18">
        <f>MAX($D$2-1,IFERROR(INDEX($N$11:$N$86,MATCH(F21,$A$11:$A$86,0)),0),IFERROR(INDEX($N$11:$N$86,MATCH(G21,$A$11:$A$86,0)),0),IFERROR(INDEX($N$11:$N$86,MATCH(H21,$A$11:$A$86,0)),0),IFERROR(INDEX($N$11:$N$86,MATCH(I21,$A$11:$A$86,0)),0),IFERROR(INDEX($N$11:$N$86,MATCH(J21,$A$11:$A$86,0)),0),IFERROR(INDEX($N$11:$N$86,MATCH(K21,$A$11:$A$86,0)),0))</f>
        <v>46345</v>
      </c>
      <c r="M21" s="18">
        <f>IF(E21=0,IF(COUNTA(F21:K21)=0,$D$2,L21),WORKDAY.INTL(L21,1,$D$3,'לוח שנה וחגים'!$F$5:$F$20))</f>
        <v>46348</v>
      </c>
      <c r="N21" s="18">
        <f>IF(E21=0,M21,WORKDAY.INTL(M21,E21-1,$D$3,'לוח שנה וחגים'!$F$5:$F$20))</f>
        <v>46352</v>
      </c>
      <c r="O21" s="19" t="s">
        <v>68</v>
      </c>
      <c r="P21" s="15" t="s">
        <v>69</v>
      </c>
    </row>
    <row r="22" spans="1:87">
      <c r="A22" s="15" t="s">
        <v>95</v>
      </c>
      <c r="B22" s="16" t="s">
        <v>96</v>
      </c>
      <c r="C22" s="16" t="s">
        <v>97</v>
      </c>
      <c r="D22" s="17">
        <v>4</v>
      </c>
      <c r="E22" s="15">
        <f>IF(D22=0,0,MAX(1,ROUNDUP(D22/$D$5,0)))</f>
        <v>4</v>
      </c>
      <c r="F22" s="15" t="s">
        <v>92</v>
      </c>
      <c r="G22" s="15"/>
      <c r="H22" s="15"/>
      <c r="I22" s="15"/>
      <c r="J22" s="15"/>
      <c r="K22" s="15"/>
      <c r="L22" s="18">
        <f>MAX($D$2-1,IFERROR(INDEX($N$11:$N$86,MATCH(F22,$A$11:$A$86,0)),0),IFERROR(INDEX($N$11:$N$86,MATCH(G22,$A$11:$A$86,0)),0),IFERROR(INDEX($N$11:$N$86,MATCH(H22,$A$11:$A$86,0)),0),IFERROR(INDEX($N$11:$N$86,MATCH(I22,$A$11:$A$86,0)),0),IFERROR(INDEX($N$11:$N$86,MATCH(J22,$A$11:$A$86,0)),0),IFERROR(INDEX($N$11:$N$86,MATCH(K22,$A$11:$A$86,0)),0))</f>
        <v>46352</v>
      </c>
      <c r="M22" s="18">
        <f>IF(E22=0,IF(COUNTA(F22:K22)=0,$D$2,L22),WORKDAY.INTL(L22,1,$D$3,'לוח שנה וחגים'!$F$5:$F$20))</f>
        <v>46355</v>
      </c>
      <c r="N22" s="18">
        <f>IF(E22=0,M22,WORKDAY.INTL(M22,E22-1,$D$3,'לוח שנה וחגים'!$F$5:$F$20))</f>
        <v>46358</v>
      </c>
      <c r="O22" s="19" t="s">
        <v>68</v>
      </c>
      <c r="P22" s="15" t="s">
        <v>69</v>
      </c>
    </row>
    <row r="23" spans="1:87">
      <c r="A23" s="15" t="s">
        <v>98</v>
      </c>
      <c r="B23" s="16" t="s">
        <v>99</v>
      </c>
      <c r="C23" s="16" t="s">
        <v>67</v>
      </c>
      <c r="D23" s="17">
        <v>1</v>
      </c>
      <c r="E23" s="15">
        <f>IF(D23=0,0,MAX(1,ROUNDUP(D23/$D$5,0)))</f>
        <v>1</v>
      </c>
      <c r="F23" s="15" t="s">
        <v>95</v>
      </c>
      <c r="G23" s="15"/>
      <c r="H23" s="15"/>
      <c r="I23" s="15"/>
      <c r="J23" s="15"/>
      <c r="K23" s="15"/>
      <c r="L23" s="18">
        <f>MAX($D$2-1,IFERROR(INDEX($N$11:$N$86,MATCH(F23,$A$11:$A$86,0)),0),IFERROR(INDEX($N$11:$N$86,MATCH(G23,$A$11:$A$86,0)),0),IFERROR(INDEX($N$11:$N$86,MATCH(H23,$A$11:$A$86,0)),0),IFERROR(INDEX($N$11:$N$86,MATCH(I23,$A$11:$A$86,0)),0),IFERROR(INDEX($N$11:$N$86,MATCH(J23,$A$11:$A$86,0)),0),IFERROR(INDEX($N$11:$N$86,MATCH(K23,$A$11:$A$86,0)),0))</f>
        <v>46358</v>
      </c>
      <c r="M23" s="18">
        <f>IF(E23=0,IF(COUNTA(F23:K23)=0,$D$2,L23),WORKDAY.INTL(L23,1,$D$3,'לוח שנה וחגים'!$F$5:$F$20))</f>
        <v>46359</v>
      </c>
      <c r="N23" s="18">
        <f>IF(E23=0,M23,WORKDAY.INTL(M23,E23-1,$D$3,'לוח שנה וחגים'!$F$5:$F$20))</f>
        <v>46359</v>
      </c>
      <c r="O23" s="19" t="s">
        <v>68</v>
      </c>
      <c r="P23" s="15" t="s">
        <v>69</v>
      </c>
    </row>
    <row r="24" spans="1:87">
      <c r="A24" s="13" t="s">
        <v>100</v>
      </c>
      <c r="B24" s="13"/>
      <c r="C24" s="13"/>
      <c r="D24" s="13"/>
      <c r="E24" s="13"/>
      <c r="F24" s="13"/>
      <c r="G24" s="13"/>
      <c r="H24" s="13"/>
      <c r="I24" s="13"/>
      <c r="J24" s="13"/>
      <c r="K24" s="13"/>
      <c r="L24" s="13"/>
      <c r="M24" s="13"/>
      <c r="N24" s="13"/>
      <c r="O24" s="13"/>
      <c r="P24" s="13"/>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row>
    <row r="25" spans="1:87" ht="26" customHeight="1">
      <c r="A25" s="15" t="s">
        <v>101</v>
      </c>
      <c r="B25" s="16" t="s">
        <v>102</v>
      </c>
      <c r="C25" s="16" t="s">
        <v>103</v>
      </c>
      <c r="D25" s="17">
        <v>8</v>
      </c>
      <c r="E25" s="15">
        <f>IF(D25=0,0,MAX(1,ROUNDUP(D25/$D$5,0)))</f>
        <v>7</v>
      </c>
      <c r="F25" s="15" t="s">
        <v>98</v>
      </c>
      <c r="G25" s="15"/>
      <c r="H25" s="15"/>
      <c r="I25" s="15"/>
      <c r="J25" s="15"/>
      <c r="K25" s="15"/>
      <c r="L25" s="18">
        <f>MAX($D$2-1,IFERROR(INDEX($N$11:$N$86,MATCH(F25,$A$11:$A$86,0)),0),IFERROR(INDEX($N$11:$N$86,MATCH(G25,$A$11:$A$86,0)),0),IFERROR(INDEX($N$11:$N$86,MATCH(H25,$A$11:$A$86,0)),0),IFERROR(INDEX($N$11:$N$86,MATCH(I25,$A$11:$A$86,0)),0),IFERROR(INDEX($N$11:$N$86,MATCH(J25,$A$11:$A$86,0)),0),IFERROR(INDEX($N$11:$N$86,MATCH(K25,$A$11:$A$86,0)),0))</f>
        <v>46359</v>
      </c>
      <c r="M25" s="18">
        <f>IF(E25=0,IF(COUNTA(F25:K25)=0,$D$2,L25),WORKDAY.INTL(L25,1,$D$3,'לוח שנה וחגים'!$F$5:$F$20))</f>
        <v>46362</v>
      </c>
      <c r="N25" s="18">
        <f>IF(E25=0,M25,WORKDAY.INTL(M25,E25-1,$D$3,'לוח שנה וחגים'!$F$5:$F$20))</f>
        <v>46370</v>
      </c>
      <c r="O25" s="19" t="s">
        <v>68</v>
      </c>
      <c r="P25" s="15" t="s">
        <v>69</v>
      </c>
    </row>
    <row r="26" spans="1:87">
      <c r="A26" s="15" t="s">
        <v>104</v>
      </c>
      <c r="B26" s="16" t="s">
        <v>105</v>
      </c>
      <c r="C26" s="16" t="s">
        <v>106</v>
      </c>
      <c r="D26" s="17">
        <v>3</v>
      </c>
      <c r="E26" s="15">
        <f>IF(D26=0,0,MAX(1,ROUNDUP(D26/$D$5,0)))</f>
        <v>3</v>
      </c>
      <c r="F26" s="15" t="s">
        <v>101</v>
      </c>
      <c r="G26" s="15"/>
      <c r="H26" s="15"/>
      <c r="I26" s="15"/>
      <c r="J26" s="15"/>
      <c r="K26" s="15"/>
      <c r="L26" s="18">
        <f>MAX($D$2-1,IFERROR(INDEX($N$11:$N$86,MATCH(F26,$A$11:$A$86,0)),0),IFERROR(INDEX($N$11:$N$86,MATCH(G26,$A$11:$A$86,0)),0),IFERROR(INDEX($N$11:$N$86,MATCH(H26,$A$11:$A$86,0)),0),IFERROR(INDEX($N$11:$N$86,MATCH(I26,$A$11:$A$86,0)),0),IFERROR(INDEX($N$11:$N$86,MATCH(J26,$A$11:$A$86,0)),0),IFERROR(INDEX($N$11:$N$86,MATCH(K26,$A$11:$A$86,0)),0))</f>
        <v>46370</v>
      </c>
      <c r="M26" s="18">
        <f>IF(E26=0,IF(COUNTA(F26:K26)=0,$D$2,L26),WORKDAY.INTL(L26,1,$D$3,'לוח שנה וחגים'!$F$5:$F$20))</f>
        <v>46371</v>
      </c>
      <c r="N26" s="18">
        <f>IF(E26=0,M26,WORKDAY.INTL(M26,E26-1,$D$3,'לוח שנה וחגים'!$F$5:$F$20))</f>
        <v>46373</v>
      </c>
      <c r="O26" s="19"/>
      <c r="P26" s="15" t="s">
        <v>69</v>
      </c>
    </row>
    <row r="27" spans="1:87">
      <c r="A27" s="15" t="s">
        <v>107</v>
      </c>
      <c r="B27" s="16" t="s">
        <v>108</v>
      </c>
      <c r="C27" s="16" t="s">
        <v>109</v>
      </c>
      <c r="D27" s="17">
        <v>3</v>
      </c>
      <c r="E27" s="15">
        <f>IF(D27=0,0,MAX(1,ROUNDUP(D27/$D$5,0)))</f>
        <v>3</v>
      </c>
      <c r="F27" s="15" t="s">
        <v>101</v>
      </c>
      <c r="G27" s="15"/>
      <c r="H27" s="15"/>
      <c r="I27" s="15"/>
      <c r="J27" s="15"/>
      <c r="K27" s="15"/>
      <c r="L27" s="18">
        <f>MAX($D$2-1,IFERROR(INDEX($N$11:$N$86,MATCH(F27,$A$11:$A$86,0)),0),IFERROR(INDEX($N$11:$N$86,MATCH(G27,$A$11:$A$86,0)),0),IFERROR(INDEX($N$11:$N$86,MATCH(H27,$A$11:$A$86,0)),0),IFERROR(INDEX($N$11:$N$86,MATCH(I27,$A$11:$A$86,0)),0),IFERROR(INDEX($N$11:$N$86,MATCH(J27,$A$11:$A$86,0)),0),IFERROR(INDEX($N$11:$N$86,MATCH(K27,$A$11:$A$86,0)),0))</f>
        <v>46370</v>
      </c>
      <c r="M27" s="18">
        <f>IF(E27=0,IF(COUNTA(F27:K27)=0,$D$2,L27),WORKDAY.INTL(L27,1,$D$3,'לוח שנה וחגים'!$F$5:$F$20))</f>
        <v>46371</v>
      </c>
      <c r="N27" s="18">
        <f>IF(E27=0,M27,WORKDAY.INTL(M27,E27-1,$D$3,'לוח שנה וחגים'!$F$5:$F$20))</f>
        <v>46373</v>
      </c>
      <c r="O27" s="19"/>
      <c r="P27" s="15" t="s">
        <v>69</v>
      </c>
    </row>
    <row r="28" spans="1:87">
      <c r="A28" s="15" t="s">
        <v>110</v>
      </c>
      <c r="B28" s="16" t="s">
        <v>111</v>
      </c>
      <c r="C28" s="16" t="s">
        <v>112</v>
      </c>
      <c r="D28" s="17">
        <v>4</v>
      </c>
      <c r="E28" s="15">
        <f>IF(D28=0,0,MAX(1,ROUNDUP(D28/$D$5,0)))</f>
        <v>4</v>
      </c>
      <c r="F28" s="15" t="s">
        <v>101</v>
      </c>
      <c r="G28" s="15"/>
      <c r="H28" s="15"/>
      <c r="I28" s="15"/>
      <c r="J28" s="15"/>
      <c r="K28" s="15"/>
      <c r="L28" s="18">
        <f>MAX($D$2-1,IFERROR(INDEX($N$11:$N$86,MATCH(F28,$A$11:$A$86,0)),0),IFERROR(INDEX($N$11:$N$86,MATCH(G28,$A$11:$A$86,0)),0),IFERROR(INDEX($N$11:$N$86,MATCH(H28,$A$11:$A$86,0)),0),IFERROR(INDEX($N$11:$N$86,MATCH(I28,$A$11:$A$86,0)),0),IFERROR(INDEX($N$11:$N$86,MATCH(J28,$A$11:$A$86,0)),0),IFERROR(INDEX($N$11:$N$86,MATCH(K28,$A$11:$A$86,0)),0))</f>
        <v>46370</v>
      </c>
      <c r="M28" s="18">
        <f>IF(E28=0,IF(COUNTA(F28:K28)=0,$D$2,L28),WORKDAY.INTL(L28,1,$D$3,'לוח שנה וחגים'!$F$5:$F$20))</f>
        <v>46371</v>
      </c>
      <c r="N28" s="18">
        <f>IF(E28=0,M28,WORKDAY.INTL(M28,E28-1,$D$3,'לוח שנה וחגים'!$F$5:$F$20))</f>
        <v>46376</v>
      </c>
      <c r="O28" s="19"/>
      <c r="P28" s="15" t="s">
        <v>69</v>
      </c>
    </row>
    <row r="29" spans="1:87">
      <c r="A29" s="15" t="s">
        <v>113</v>
      </c>
      <c r="B29" s="16" t="s">
        <v>114</v>
      </c>
      <c r="C29" s="16" t="s">
        <v>115</v>
      </c>
      <c r="D29" s="17">
        <v>6</v>
      </c>
      <c r="E29" s="15">
        <f>IF(D29=0,0,MAX(1,ROUNDUP(D29/$D$5,0)))</f>
        <v>6</v>
      </c>
      <c r="F29" s="15" t="s">
        <v>101</v>
      </c>
      <c r="G29" s="15"/>
      <c r="H29" s="15"/>
      <c r="I29" s="15"/>
      <c r="J29" s="15"/>
      <c r="K29" s="15"/>
      <c r="L29" s="18">
        <f>MAX($D$2-1,IFERROR(INDEX($N$11:$N$86,MATCH(F29,$A$11:$A$86,0)),0),IFERROR(INDEX($N$11:$N$86,MATCH(G29,$A$11:$A$86,0)),0),IFERROR(INDEX($N$11:$N$86,MATCH(H29,$A$11:$A$86,0)),0),IFERROR(INDEX($N$11:$N$86,MATCH(I29,$A$11:$A$86,0)),0),IFERROR(INDEX($N$11:$N$86,MATCH(J29,$A$11:$A$86,0)),0),IFERROR(INDEX($N$11:$N$86,MATCH(K29,$A$11:$A$86,0)),0))</f>
        <v>46370</v>
      </c>
      <c r="M29" s="18">
        <f>IF(E29=0,IF(COUNTA(F29:K29)=0,$D$2,L29),WORKDAY.INTL(L29,1,$D$3,'לוח שנה וחגים'!$F$5:$F$20))</f>
        <v>46371</v>
      </c>
      <c r="N29" s="18">
        <f>IF(E29=0,M29,WORKDAY.INTL(M29,E29-1,$D$3,'לוח שנה וחגים'!$F$5:$F$20))</f>
        <v>46378</v>
      </c>
      <c r="O29" s="19" t="s">
        <v>68</v>
      </c>
      <c r="P29" s="15" t="s">
        <v>69</v>
      </c>
    </row>
    <row r="30" spans="1:87">
      <c r="A30" s="15" t="s">
        <v>116</v>
      </c>
      <c r="B30" s="16" t="s">
        <v>117</v>
      </c>
      <c r="C30" s="16" t="s">
        <v>118</v>
      </c>
      <c r="D30" s="17">
        <v>5</v>
      </c>
      <c r="E30" s="15">
        <f>IF(D30=0,0,MAX(1,ROUNDUP(D30/$D$5,0)))</f>
        <v>5</v>
      </c>
      <c r="F30" s="15" t="s">
        <v>98</v>
      </c>
      <c r="G30" s="15" t="s">
        <v>76</v>
      </c>
      <c r="H30" s="15"/>
      <c r="I30" s="15"/>
      <c r="J30" s="15"/>
      <c r="K30" s="15"/>
      <c r="L30" s="18">
        <f>MAX($D$2-1,IFERROR(INDEX($N$11:$N$86,MATCH(F30,$A$11:$A$86,0)),0),IFERROR(INDEX($N$11:$N$86,MATCH(G30,$A$11:$A$86,0)),0),IFERROR(INDEX($N$11:$N$86,MATCH(H30,$A$11:$A$86,0)),0),IFERROR(INDEX($N$11:$N$86,MATCH(I30,$A$11:$A$86,0)),0),IFERROR(INDEX($N$11:$N$86,MATCH(J30,$A$11:$A$86,0)),0),IFERROR(INDEX($N$11:$N$86,MATCH(K30,$A$11:$A$86,0)),0))</f>
        <v>46359</v>
      </c>
      <c r="M30" s="18">
        <f>IF(E30=0,IF(COUNTA(F30:K30)=0,$D$2,L30),WORKDAY.INTL(L30,1,$D$3,'לוח שנה וחגים'!$F$5:$F$20))</f>
        <v>46362</v>
      </c>
      <c r="N30" s="18">
        <f>IF(E30=0,M30,WORKDAY.INTL(M30,E30-1,$D$3,'לוח שנה וחגים'!$F$5:$F$20))</f>
        <v>46366</v>
      </c>
      <c r="O30" s="19"/>
      <c r="P30" s="15" t="s">
        <v>69</v>
      </c>
    </row>
    <row r="31" spans="1:87">
      <c r="A31" s="15" t="s">
        <v>119</v>
      </c>
      <c r="B31" s="16" t="s">
        <v>120</v>
      </c>
      <c r="C31" s="16" t="s">
        <v>118</v>
      </c>
      <c r="D31" s="17">
        <v>1</v>
      </c>
      <c r="E31" s="15">
        <f>IF(D31=0,0,MAX(1,ROUNDUP(D31/$D$5,0)))</f>
        <v>1</v>
      </c>
      <c r="F31" s="15" t="s">
        <v>116</v>
      </c>
      <c r="G31" s="15"/>
      <c r="H31" s="15"/>
      <c r="I31" s="15"/>
      <c r="J31" s="15"/>
      <c r="K31" s="15"/>
      <c r="L31" s="18">
        <f>MAX($D$2-1,IFERROR(INDEX($N$11:$N$86,MATCH(F31,$A$11:$A$86,0)),0),IFERROR(INDEX($N$11:$N$86,MATCH(G31,$A$11:$A$86,0)),0),IFERROR(INDEX($N$11:$N$86,MATCH(H31,$A$11:$A$86,0)),0),IFERROR(INDEX($N$11:$N$86,MATCH(I31,$A$11:$A$86,0)),0),IFERROR(INDEX($N$11:$N$86,MATCH(J31,$A$11:$A$86,0)),0),IFERROR(INDEX($N$11:$N$86,MATCH(K31,$A$11:$A$86,0)),0))</f>
        <v>46366</v>
      </c>
      <c r="M31" s="18">
        <f>IF(E31=0,IF(COUNTA(F31:K31)=0,$D$2,L31),WORKDAY.INTL(L31,1,$D$3,'לוח שנה וחגים'!$F$5:$F$20))</f>
        <v>46369</v>
      </c>
      <c r="N31" s="18">
        <f>IF(E31=0,M31,WORKDAY.INTL(M31,E31-1,$D$3,'לוח שנה וחגים'!$F$5:$F$20))</f>
        <v>46369</v>
      </c>
      <c r="O31" s="19"/>
      <c r="P31" s="15" t="s">
        <v>69</v>
      </c>
    </row>
    <row r="32" spans="1:87" ht="26" customHeight="1">
      <c r="A32" s="15" t="s">
        <v>121</v>
      </c>
      <c r="B32" s="16" t="s">
        <v>122</v>
      </c>
      <c r="C32" s="16" t="s">
        <v>123</v>
      </c>
      <c r="D32" s="17">
        <v>6</v>
      </c>
      <c r="E32" s="15">
        <f>IF(D32=0,0,MAX(1,ROUNDUP(D32/$D$5,0)))</f>
        <v>6</v>
      </c>
      <c r="F32" s="15" t="s">
        <v>119</v>
      </c>
      <c r="G32" s="15" t="s">
        <v>101</v>
      </c>
      <c r="H32" s="15" t="s">
        <v>70</v>
      </c>
      <c r="I32" s="15"/>
      <c r="J32" s="15"/>
      <c r="K32" s="15"/>
      <c r="L32" s="18">
        <f>MAX($D$2-1,IFERROR(INDEX($N$11:$N$86,MATCH(F32,$A$11:$A$86,0)),0),IFERROR(INDEX($N$11:$N$86,MATCH(G32,$A$11:$A$86,0)),0),IFERROR(INDEX($N$11:$N$86,MATCH(H32,$A$11:$A$86,0)),0),IFERROR(INDEX($N$11:$N$86,MATCH(I32,$A$11:$A$86,0)),0),IFERROR(INDEX($N$11:$N$86,MATCH(J32,$A$11:$A$86,0)),0),IFERROR(INDEX($N$11:$N$86,MATCH(K32,$A$11:$A$86,0)),0))</f>
        <v>46370</v>
      </c>
      <c r="M32" s="18">
        <f>IF(E32=0,IF(COUNTA(F32:K32)=0,$D$2,L32),WORKDAY.INTL(L32,1,$D$3,'לוח שנה וחגים'!$F$5:$F$20))</f>
        <v>46371</v>
      </c>
      <c r="N32" s="18">
        <f>IF(E32=0,M32,WORKDAY.INTL(M32,E32-1,$D$3,'לוח שנה וחגים'!$F$5:$F$20))</f>
        <v>46378</v>
      </c>
      <c r="O32" s="19" t="s">
        <v>68</v>
      </c>
      <c r="P32" s="15" t="s">
        <v>69</v>
      </c>
    </row>
    <row r="33" spans="1:87">
      <c r="A33" s="15" t="s">
        <v>124</v>
      </c>
      <c r="B33" s="16" t="s">
        <v>125</v>
      </c>
      <c r="C33" s="16" t="s">
        <v>126</v>
      </c>
      <c r="D33" s="17">
        <v>7</v>
      </c>
      <c r="E33" s="15">
        <f>IF(D33=0,0,MAX(1,ROUNDUP(D33/$D$5,0)))</f>
        <v>6</v>
      </c>
      <c r="F33" s="15" t="s">
        <v>98</v>
      </c>
      <c r="G33" s="15"/>
      <c r="H33" s="15"/>
      <c r="I33" s="15"/>
      <c r="J33" s="15"/>
      <c r="K33" s="15"/>
      <c r="L33" s="18">
        <f>MAX($D$2-1,IFERROR(INDEX($N$11:$N$86,MATCH(F33,$A$11:$A$86,0)),0),IFERROR(INDEX($N$11:$N$86,MATCH(G33,$A$11:$A$86,0)),0),IFERROR(INDEX($N$11:$N$86,MATCH(H33,$A$11:$A$86,0)),0),IFERROR(INDEX($N$11:$N$86,MATCH(I33,$A$11:$A$86,0)),0),IFERROR(INDEX($N$11:$N$86,MATCH(J33,$A$11:$A$86,0)),0),IFERROR(INDEX($N$11:$N$86,MATCH(K33,$A$11:$A$86,0)),0))</f>
        <v>46359</v>
      </c>
      <c r="M33" s="18">
        <f>IF(E33=0,IF(COUNTA(F33:K33)=0,$D$2,L33),WORKDAY.INTL(L33,1,$D$3,'לוח שנה וחגים'!$F$5:$F$20))</f>
        <v>46362</v>
      </c>
      <c r="N33" s="18">
        <f>IF(E33=0,M33,WORKDAY.INTL(M33,E33-1,$D$3,'לוח שנה וחגים'!$F$5:$F$20))</f>
        <v>46369</v>
      </c>
      <c r="O33" s="19"/>
      <c r="P33" s="15" t="s">
        <v>69</v>
      </c>
    </row>
    <row r="34" spans="1:87">
      <c r="A34" s="15" t="s">
        <v>127</v>
      </c>
      <c r="B34" s="16" t="s">
        <v>128</v>
      </c>
      <c r="C34" s="16" t="s">
        <v>129</v>
      </c>
      <c r="D34" s="17">
        <v>4</v>
      </c>
      <c r="E34" s="15">
        <f>IF(D34=0,0,MAX(1,ROUNDUP(D34/$D$5,0)))</f>
        <v>4</v>
      </c>
      <c r="F34" s="15" t="s">
        <v>104</v>
      </c>
      <c r="G34" s="15" t="s">
        <v>107</v>
      </c>
      <c r="H34" s="15" t="s">
        <v>110</v>
      </c>
      <c r="I34" s="15" t="s">
        <v>113</v>
      </c>
      <c r="J34" s="15" t="s">
        <v>121</v>
      </c>
      <c r="K34" s="15" t="s">
        <v>124</v>
      </c>
      <c r="L34" s="18">
        <f>MAX($D$2-1,IFERROR(INDEX($N$11:$N$86,MATCH(F34,$A$11:$A$86,0)),0),IFERROR(INDEX($N$11:$N$86,MATCH(G34,$A$11:$A$86,0)),0),IFERROR(INDEX($N$11:$N$86,MATCH(H34,$A$11:$A$86,0)),0),IFERROR(INDEX($N$11:$N$86,MATCH(I34,$A$11:$A$86,0)),0),IFERROR(INDEX($N$11:$N$86,MATCH(J34,$A$11:$A$86,0)),0),IFERROR(INDEX($N$11:$N$86,MATCH(K34,$A$11:$A$86,0)),0))</f>
        <v>46378</v>
      </c>
      <c r="M34" s="18">
        <f>IF(E34=0,IF(COUNTA(F34:K34)=0,$D$2,L34),WORKDAY.INTL(L34,1,$D$3,'לוח שנה וחגים'!$F$5:$F$20))</f>
        <v>46379</v>
      </c>
      <c r="N34" s="18">
        <f>IF(E34=0,M34,WORKDAY.INTL(M34,E34-1,$D$3,'לוח שנה וחגים'!$F$5:$F$20))</f>
        <v>46384</v>
      </c>
      <c r="O34" s="19" t="s">
        <v>68</v>
      </c>
      <c r="P34" s="15" t="s">
        <v>69</v>
      </c>
    </row>
    <row r="35" spans="1:87">
      <c r="A35" s="15" t="s">
        <v>130</v>
      </c>
      <c r="B35" s="16" t="s">
        <v>131</v>
      </c>
      <c r="C35" s="16" t="s">
        <v>67</v>
      </c>
      <c r="D35" s="17">
        <v>2</v>
      </c>
      <c r="E35" s="15">
        <f>IF(D35=0,0,MAX(1,ROUNDUP(D35/$D$5,0)))</f>
        <v>2</v>
      </c>
      <c r="F35" s="15" t="s">
        <v>127</v>
      </c>
      <c r="G35" s="15"/>
      <c r="H35" s="15"/>
      <c r="I35" s="15"/>
      <c r="J35" s="15"/>
      <c r="K35" s="15"/>
      <c r="L35" s="18">
        <f>MAX($D$2-1,IFERROR(INDEX($N$11:$N$86,MATCH(F35,$A$11:$A$86,0)),0),IFERROR(INDEX($N$11:$N$86,MATCH(G35,$A$11:$A$86,0)),0),IFERROR(INDEX($N$11:$N$86,MATCH(H35,$A$11:$A$86,0)),0),IFERROR(INDEX($N$11:$N$86,MATCH(I35,$A$11:$A$86,0)),0),IFERROR(INDEX($N$11:$N$86,MATCH(J35,$A$11:$A$86,0)),0),IFERROR(INDEX($N$11:$N$86,MATCH(K35,$A$11:$A$86,0)),0))</f>
        <v>46384</v>
      </c>
      <c r="M35" s="18">
        <f>IF(E35=0,IF(COUNTA(F35:K35)=0,$D$2,L35),WORKDAY.INTL(L35,1,$D$3,'לוח שנה וחגים'!$F$5:$F$20))</f>
        <v>46385</v>
      </c>
      <c r="N35" s="18">
        <f>IF(E35=0,M35,WORKDAY.INTL(M35,E35-1,$D$3,'לוח שנה וחגים'!$F$5:$F$20))</f>
        <v>46386</v>
      </c>
      <c r="O35" s="19" t="s">
        <v>68</v>
      </c>
      <c r="P35" s="15" t="s">
        <v>69</v>
      </c>
    </row>
    <row r="36" spans="1:87">
      <c r="A36" s="13" t="s">
        <v>132</v>
      </c>
      <c r="B36" s="13"/>
      <c r="C36" s="13"/>
      <c r="D36" s="13"/>
      <c r="E36" s="13"/>
      <c r="F36" s="13"/>
      <c r="G36" s="13"/>
      <c r="H36" s="13"/>
      <c r="I36" s="13"/>
      <c r="J36" s="13"/>
      <c r="K36" s="13"/>
      <c r="L36" s="13"/>
      <c r="M36" s="13"/>
      <c r="N36" s="13"/>
      <c r="O36" s="13"/>
      <c r="P36" s="13"/>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row>
    <row r="37" spans="1:87">
      <c r="A37" s="15" t="s">
        <v>133</v>
      </c>
      <c r="B37" s="16" t="s">
        <v>134</v>
      </c>
      <c r="C37" s="16" t="s">
        <v>135</v>
      </c>
      <c r="D37" s="17">
        <v>10</v>
      </c>
      <c r="E37" s="15">
        <f>IF(D37=0,0,MAX(1,ROUNDUP(D37/$D$5,0)))</f>
        <v>9</v>
      </c>
      <c r="F37" s="15" t="s">
        <v>130</v>
      </c>
      <c r="G37" s="15"/>
      <c r="H37" s="15"/>
      <c r="I37" s="15"/>
      <c r="J37" s="15"/>
      <c r="K37" s="15"/>
      <c r="L37" s="18">
        <f>MAX($D$2-1,IFERROR(INDEX($N$11:$N$86,MATCH(F37,$A$11:$A$86,0)),0),IFERROR(INDEX($N$11:$N$86,MATCH(G37,$A$11:$A$86,0)),0),IFERROR(INDEX($N$11:$N$86,MATCH(H37,$A$11:$A$86,0)),0),IFERROR(INDEX($N$11:$N$86,MATCH(I37,$A$11:$A$86,0)),0),IFERROR(INDEX($N$11:$N$86,MATCH(J37,$A$11:$A$86,0)),0),IFERROR(INDEX($N$11:$N$86,MATCH(K37,$A$11:$A$86,0)),0))</f>
        <v>46386</v>
      </c>
      <c r="M37" s="18">
        <f>IF(E37=0,IF(COUNTA(F37:K37)=0,$D$2,L37),WORKDAY.INTL(L37,1,$D$3,'לוח שנה וחגים'!$F$5:$F$20))</f>
        <v>46387</v>
      </c>
      <c r="N37" s="18">
        <f>IF(E37=0,M37,WORKDAY.INTL(M37,E37-1,$D$3,'לוח שנה וחגים'!$F$5:$F$20))</f>
        <v>46399</v>
      </c>
      <c r="O37" s="19"/>
      <c r="P37" s="15" t="s">
        <v>69</v>
      </c>
    </row>
    <row r="38" spans="1:87">
      <c r="A38" s="15" t="s">
        <v>136</v>
      </c>
      <c r="B38" s="16" t="s">
        <v>137</v>
      </c>
      <c r="C38" s="16" t="s">
        <v>138</v>
      </c>
      <c r="D38" s="17">
        <v>15</v>
      </c>
      <c r="E38" s="15">
        <f>IF(D38=0,0,MAX(1,ROUNDUP(D38/$D$5,0)))</f>
        <v>13</v>
      </c>
      <c r="F38" s="15" t="s">
        <v>130</v>
      </c>
      <c r="G38" s="15" t="s">
        <v>70</v>
      </c>
      <c r="H38" s="15"/>
      <c r="I38" s="15"/>
      <c r="J38" s="15"/>
      <c r="K38" s="15"/>
      <c r="L38" s="18">
        <f>MAX($D$2-1,IFERROR(INDEX($N$11:$N$86,MATCH(F38,$A$11:$A$86,0)),0),IFERROR(INDEX($N$11:$N$86,MATCH(G38,$A$11:$A$86,0)),0),IFERROR(INDEX($N$11:$N$86,MATCH(H38,$A$11:$A$86,0)),0),IFERROR(INDEX($N$11:$N$86,MATCH(I38,$A$11:$A$86,0)),0),IFERROR(INDEX($N$11:$N$86,MATCH(J38,$A$11:$A$86,0)),0),IFERROR(INDEX($N$11:$N$86,MATCH(K38,$A$11:$A$86,0)),0))</f>
        <v>46386</v>
      </c>
      <c r="M38" s="18">
        <f>IF(E38=0,IF(COUNTA(F38:K38)=0,$D$2,L38),WORKDAY.INTL(L38,1,$D$3,'לוח שנה וחגים'!$F$5:$F$20))</f>
        <v>46387</v>
      </c>
      <c r="N38" s="18">
        <f>IF(E38=0,M38,WORKDAY.INTL(M38,E38-1,$D$3,'לוח שנה וחגים'!$F$5:$F$20))</f>
        <v>46405</v>
      </c>
      <c r="O38" s="19"/>
      <c r="P38" s="15" t="s">
        <v>69</v>
      </c>
    </row>
    <row r="39" spans="1:87">
      <c r="A39" s="15" t="s">
        <v>139</v>
      </c>
      <c r="B39" s="16" t="s">
        <v>140</v>
      </c>
      <c r="C39" s="16" t="s">
        <v>141</v>
      </c>
      <c r="D39" s="17">
        <v>8</v>
      </c>
      <c r="E39" s="15">
        <f>IF(D39=0,0,MAX(1,ROUNDUP(D39/$D$5,0)))</f>
        <v>7</v>
      </c>
      <c r="F39" s="15" t="s">
        <v>136</v>
      </c>
      <c r="G39" s="15"/>
      <c r="H39" s="15"/>
      <c r="I39" s="15"/>
      <c r="J39" s="15"/>
      <c r="K39" s="15"/>
      <c r="L39" s="18">
        <f>MAX($D$2-1,IFERROR(INDEX($N$11:$N$86,MATCH(F39,$A$11:$A$86,0)),0),IFERROR(INDEX($N$11:$N$86,MATCH(G39,$A$11:$A$86,0)),0),IFERROR(INDEX($N$11:$N$86,MATCH(H39,$A$11:$A$86,0)),0),IFERROR(INDEX($N$11:$N$86,MATCH(I39,$A$11:$A$86,0)),0),IFERROR(INDEX($N$11:$N$86,MATCH(J39,$A$11:$A$86,0)),0),IFERROR(INDEX($N$11:$N$86,MATCH(K39,$A$11:$A$86,0)),0))</f>
        <v>46405</v>
      </c>
      <c r="M39" s="18">
        <f>IF(E39=0,IF(COUNTA(F39:K39)=0,$D$2,L39),WORKDAY.INTL(L39,1,$D$3,'לוח שנה וחגים'!$F$5:$F$20))</f>
        <v>46406</v>
      </c>
      <c r="N39" s="18">
        <f>IF(E39=0,M39,WORKDAY.INTL(M39,E39-1,$D$3,'לוח שנה וחגים'!$F$5:$F$20))</f>
        <v>46414</v>
      </c>
      <c r="O39" s="19"/>
      <c r="P39" s="15" t="s">
        <v>69</v>
      </c>
    </row>
    <row r="40" spans="1:87">
      <c r="A40" s="15" t="s">
        <v>142</v>
      </c>
      <c r="B40" s="16" t="s">
        <v>143</v>
      </c>
      <c r="C40" s="16" t="s">
        <v>144</v>
      </c>
      <c r="D40" s="17">
        <v>28</v>
      </c>
      <c r="E40" s="15">
        <f>IF(D40=0,0,MAX(1,ROUNDUP(D40/$D$5,0)))</f>
        <v>24</v>
      </c>
      <c r="F40" s="15" t="s">
        <v>130</v>
      </c>
      <c r="G40" s="15" t="s">
        <v>70</v>
      </c>
      <c r="H40" s="15"/>
      <c r="I40" s="15"/>
      <c r="J40" s="15"/>
      <c r="K40" s="15"/>
      <c r="L40" s="18">
        <f>MAX($D$2-1,IFERROR(INDEX($N$11:$N$86,MATCH(F40,$A$11:$A$86,0)),0),IFERROR(INDEX($N$11:$N$86,MATCH(G40,$A$11:$A$86,0)),0),IFERROR(INDEX($N$11:$N$86,MATCH(H40,$A$11:$A$86,0)),0),IFERROR(INDEX($N$11:$N$86,MATCH(I40,$A$11:$A$86,0)),0),IFERROR(INDEX($N$11:$N$86,MATCH(J40,$A$11:$A$86,0)),0),IFERROR(INDEX($N$11:$N$86,MATCH(K40,$A$11:$A$86,0)),0))</f>
        <v>46386</v>
      </c>
      <c r="M40" s="18">
        <f>IF(E40=0,IF(COUNTA(F40:K40)=0,$D$2,L40),WORKDAY.INTL(L40,1,$D$3,'לוח שנה וחגים'!$F$5:$F$20))</f>
        <v>46387</v>
      </c>
      <c r="N40" s="18">
        <f>IF(E40=0,M40,WORKDAY.INTL(M40,E40-1,$D$3,'לוח שנה וחגים'!$F$5:$F$20))</f>
        <v>46420</v>
      </c>
      <c r="O40" s="19"/>
      <c r="P40" s="15" t="s">
        <v>69</v>
      </c>
    </row>
    <row r="41" spans="1:87">
      <c r="A41" s="15" t="s">
        <v>145</v>
      </c>
      <c r="B41" s="16" t="s">
        <v>146</v>
      </c>
      <c r="C41" s="16" t="s">
        <v>147</v>
      </c>
      <c r="D41" s="17">
        <v>35</v>
      </c>
      <c r="E41" s="15">
        <f>IF(D41=0,0,MAX(1,ROUNDUP(D41/$D$5,0)))</f>
        <v>30</v>
      </c>
      <c r="F41" s="15" t="s">
        <v>130</v>
      </c>
      <c r="G41" s="15" t="s">
        <v>70</v>
      </c>
      <c r="H41" s="15"/>
      <c r="I41" s="15"/>
      <c r="J41" s="15"/>
      <c r="K41" s="15"/>
      <c r="L41" s="18">
        <f>MAX($D$2-1,IFERROR(INDEX($N$11:$N$86,MATCH(F41,$A$11:$A$86,0)),0),IFERROR(INDEX($N$11:$N$86,MATCH(G41,$A$11:$A$86,0)),0),IFERROR(INDEX($N$11:$N$86,MATCH(H41,$A$11:$A$86,0)),0),IFERROR(INDEX($N$11:$N$86,MATCH(I41,$A$11:$A$86,0)),0),IFERROR(INDEX($N$11:$N$86,MATCH(J41,$A$11:$A$86,0)),0),IFERROR(INDEX($N$11:$N$86,MATCH(K41,$A$11:$A$86,0)),0))</f>
        <v>46386</v>
      </c>
      <c r="M41" s="18">
        <f>IF(E41=0,IF(COUNTA(F41:K41)=0,$D$2,L41),WORKDAY.INTL(L41,1,$D$3,'לוח שנה וחגים'!$F$5:$F$20))</f>
        <v>46387</v>
      </c>
      <c r="N41" s="18">
        <f>IF(E41=0,M41,WORKDAY.INTL(M41,E41-1,$D$3,'לוח שנה וחגים'!$F$5:$F$20))</f>
        <v>46428</v>
      </c>
      <c r="O41" s="19" t="s">
        <v>68</v>
      </c>
      <c r="P41" s="15" t="s">
        <v>69</v>
      </c>
    </row>
    <row r="42" spans="1:87">
      <c r="A42" s="15" t="s">
        <v>148</v>
      </c>
      <c r="B42" s="16" t="s">
        <v>149</v>
      </c>
      <c r="C42" s="16" t="s">
        <v>67</v>
      </c>
      <c r="D42" s="17">
        <v>2</v>
      </c>
      <c r="E42" s="15">
        <f>IF(D42=0,0,MAX(1,ROUNDUP(D42/$D$5,0)))</f>
        <v>2</v>
      </c>
      <c r="F42" s="15" t="s">
        <v>133</v>
      </c>
      <c r="G42" s="15" t="s">
        <v>136</v>
      </c>
      <c r="H42" s="15" t="s">
        <v>139</v>
      </c>
      <c r="I42" s="15" t="s">
        <v>142</v>
      </c>
      <c r="J42" s="15" t="s">
        <v>145</v>
      </c>
      <c r="K42" s="15"/>
      <c r="L42" s="18">
        <f>MAX($D$2-1,IFERROR(INDEX($N$11:$N$86,MATCH(F42,$A$11:$A$86,0)),0),IFERROR(INDEX($N$11:$N$86,MATCH(G42,$A$11:$A$86,0)),0),IFERROR(INDEX($N$11:$N$86,MATCH(H42,$A$11:$A$86,0)),0),IFERROR(INDEX($N$11:$N$86,MATCH(I42,$A$11:$A$86,0)),0),IFERROR(INDEX($N$11:$N$86,MATCH(J42,$A$11:$A$86,0)),0),IFERROR(INDEX($N$11:$N$86,MATCH(K42,$A$11:$A$86,0)),0))</f>
        <v>46428</v>
      </c>
      <c r="M42" s="18">
        <f>IF(E42=0,IF(COUNTA(F42:K42)=0,$D$2,L42),WORKDAY.INTL(L42,1,$D$3,'לוח שנה וחגים'!$F$5:$F$20))</f>
        <v>46429</v>
      </c>
      <c r="N42" s="18">
        <f>IF(E42=0,M42,WORKDAY.INTL(M42,E42-1,$D$3,'לוח שנה וחגים'!$F$5:$F$20))</f>
        <v>46432</v>
      </c>
      <c r="O42" s="19" t="s">
        <v>68</v>
      </c>
      <c r="P42" s="15" t="s">
        <v>69</v>
      </c>
    </row>
    <row r="43" spans="1:87">
      <c r="A43" s="13" t="s">
        <v>150</v>
      </c>
      <c r="B43" s="13"/>
      <c r="C43" s="13"/>
      <c r="D43" s="13"/>
      <c r="E43" s="13"/>
      <c r="F43" s="13"/>
      <c r="G43" s="13"/>
      <c r="H43" s="13"/>
      <c r="I43" s="13"/>
      <c r="J43" s="13"/>
      <c r="K43" s="13"/>
      <c r="L43" s="13"/>
      <c r="M43" s="13"/>
      <c r="N43" s="13"/>
      <c r="O43" s="13"/>
      <c r="P43" s="13"/>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row>
    <row r="44" spans="1:87">
      <c r="A44" s="15" t="s">
        <v>151</v>
      </c>
      <c r="B44" s="16" t="s">
        <v>152</v>
      </c>
      <c r="C44" s="16" t="s">
        <v>153</v>
      </c>
      <c r="D44" s="17">
        <v>4</v>
      </c>
      <c r="E44" s="15">
        <f>IF(D44=0,0,MAX(1,ROUNDUP(D44/$D$5,0)))</f>
        <v>4</v>
      </c>
      <c r="F44" s="15" t="s">
        <v>130</v>
      </c>
      <c r="G44" s="15"/>
      <c r="H44" s="15"/>
      <c r="I44" s="15"/>
      <c r="J44" s="15"/>
      <c r="K44" s="15"/>
      <c r="L44" s="18">
        <f>MAX($D$2-1,IFERROR(INDEX($N$11:$N$86,MATCH(F44,$A$11:$A$86,0)),0),IFERROR(INDEX($N$11:$N$86,MATCH(G44,$A$11:$A$86,0)),0),IFERROR(INDEX($N$11:$N$86,MATCH(H44,$A$11:$A$86,0)),0),IFERROR(INDEX($N$11:$N$86,MATCH(I44,$A$11:$A$86,0)),0),IFERROR(INDEX($N$11:$N$86,MATCH(J44,$A$11:$A$86,0)),0),IFERROR(INDEX($N$11:$N$86,MATCH(K44,$A$11:$A$86,0)),0))</f>
        <v>46386</v>
      </c>
      <c r="M44" s="18">
        <f>IF(E44=0,IF(COUNTA(F44:K44)=0,$D$2,L44),WORKDAY.INTL(L44,1,$D$3,'לוח שנה וחגים'!$F$5:$F$20))</f>
        <v>46387</v>
      </c>
      <c r="N44" s="18">
        <f>IF(E44=0,M44,WORKDAY.INTL(M44,E44-1,$D$3,'לוח שנה וחגים'!$F$5:$F$20))</f>
        <v>46392</v>
      </c>
      <c r="O44" s="19"/>
      <c r="P44" s="15" t="s">
        <v>69</v>
      </c>
    </row>
    <row r="45" spans="1:87">
      <c r="A45" s="15" t="s">
        <v>154</v>
      </c>
      <c r="B45" s="16" t="s">
        <v>155</v>
      </c>
      <c r="C45" s="16" t="s">
        <v>156</v>
      </c>
      <c r="D45" s="17">
        <v>20</v>
      </c>
      <c r="E45" s="15">
        <f>IF(D45=0,0,MAX(1,ROUNDUP(D45/$D$5,0)))</f>
        <v>17</v>
      </c>
      <c r="F45" s="15" t="s">
        <v>130</v>
      </c>
      <c r="G45" s="15" t="s">
        <v>151</v>
      </c>
      <c r="H45" s="15"/>
      <c r="I45" s="15"/>
      <c r="J45" s="15"/>
      <c r="K45" s="15"/>
      <c r="L45" s="18">
        <f>MAX($D$2-1,IFERROR(INDEX($N$11:$N$86,MATCH(F45,$A$11:$A$86,0)),0),IFERROR(INDEX($N$11:$N$86,MATCH(G45,$A$11:$A$86,0)),0),IFERROR(INDEX($N$11:$N$86,MATCH(H45,$A$11:$A$86,0)),0),IFERROR(INDEX($N$11:$N$86,MATCH(I45,$A$11:$A$86,0)),0),IFERROR(INDEX($N$11:$N$86,MATCH(J45,$A$11:$A$86,0)),0),IFERROR(INDEX($N$11:$N$86,MATCH(K45,$A$11:$A$86,0)),0))</f>
        <v>46392</v>
      </c>
      <c r="M45" s="18">
        <f>IF(E45=0,IF(COUNTA(F45:K45)=0,$D$2,L45),WORKDAY.INTL(L45,1,$D$3,'לוח שנה וחגים'!$F$5:$F$20))</f>
        <v>46393</v>
      </c>
      <c r="N45" s="18">
        <f>IF(E45=0,M45,WORKDAY.INTL(M45,E45-1,$D$3,'לוח שנה וחגים'!$F$5:$F$20))</f>
        <v>46415</v>
      </c>
      <c r="O45" s="19"/>
      <c r="P45" s="15" t="s">
        <v>69</v>
      </c>
    </row>
    <row r="46" spans="1:87">
      <c r="A46" s="15" t="s">
        <v>157</v>
      </c>
      <c r="B46" s="16" t="s">
        <v>158</v>
      </c>
      <c r="C46" s="16" t="s">
        <v>159</v>
      </c>
      <c r="D46" s="17">
        <v>20</v>
      </c>
      <c r="E46" s="15">
        <f>IF(D46=0,0,MAX(1,ROUNDUP(D46/$D$5,0)))</f>
        <v>17</v>
      </c>
      <c r="F46" s="15" t="s">
        <v>130</v>
      </c>
      <c r="G46" s="15" t="s">
        <v>151</v>
      </c>
      <c r="H46" s="15"/>
      <c r="I46" s="15"/>
      <c r="J46" s="15"/>
      <c r="K46" s="15"/>
      <c r="L46" s="18">
        <f>MAX($D$2-1,IFERROR(INDEX($N$11:$N$86,MATCH(F46,$A$11:$A$86,0)),0),IFERROR(INDEX($N$11:$N$86,MATCH(G46,$A$11:$A$86,0)),0),IFERROR(INDEX($N$11:$N$86,MATCH(H46,$A$11:$A$86,0)),0),IFERROR(INDEX($N$11:$N$86,MATCH(I46,$A$11:$A$86,0)),0),IFERROR(INDEX($N$11:$N$86,MATCH(J46,$A$11:$A$86,0)),0),IFERROR(INDEX($N$11:$N$86,MATCH(K46,$A$11:$A$86,0)),0))</f>
        <v>46392</v>
      </c>
      <c r="M46" s="18">
        <f>IF(E46=0,IF(COUNTA(F46:K46)=0,$D$2,L46),WORKDAY.INTL(L46,1,$D$3,'לוח שנה וחגים'!$F$5:$F$20))</f>
        <v>46393</v>
      </c>
      <c r="N46" s="18">
        <f>IF(E46=0,M46,WORKDAY.INTL(M46,E46-1,$D$3,'לוח שנה וחגים'!$F$5:$F$20))</f>
        <v>46415</v>
      </c>
      <c r="O46" s="19"/>
      <c r="P46" s="15" t="s">
        <v>69</v>
      </c>
    </row>
    <row r="47" spans="1:87">
      <c r="A47" s="15" t="s">
        <v>160</v>
      </c>
      <c r="B47" s="16" t="s">
        <v>161</v>
      </c>
      <c r="C47" s="16" t="s">
        <v>162</v>
      </c>
      <c r="D47" s="17">
        <v>3</v>
      </c>
      <c r="E47" s="15">
        <f>IF(D47=0,0,MAX(1,ROUNDUP(D47/$D$5,0)))</f>
        <v>3</v>
      </c>
      <c r="F47" s="15" t="s">
        <v>154</v>
      </c>
      <c r="G47" s="15"/>
      <c r="H47" s="15"/>
      <c r="I47" s="15"/>
      <c r="J47" s="15"/>
      <c r="K47" s="15"/>
      <c r="L47" s="18">
        <f>MAX($D$2-1,IFERROR(INDEX($N$11:$N$86,MATCH(F47,$A$11:$A$86,0)),0),IFERROR(INDEX($N$11:$N$86,MATCH(G47,$A$11:$A$86,0)),0),IFERROR(INDEX($N$11:$N$86,MATCH(H47,$A$11:$A$86,0)),0),IFERROR(INDEX($N$11:$N$86,MATCH(I47,$A$11:$A$86,0)),0),IFERROR(INDEX($N$11:$N$86,MATCH(J47,$A$11:$A$86,0)),0),IFERROR(INDEX($N$11:$N$86,MATCH(K47,$A$11:$A$86,0)),0))</f>
        <v>46415</v>
      </c>
      <c r="M47" s="18">
        <f>IF(E47=0,IF(COUNTA(F47:K47)=0,$D$2,L47),WORKDAY.INTL(L47,1,$D$3,'לוח שנה וחגים'!$F$5:$F$20))</f>
        <v>46418</v>
      </c>
      <c r="N47" s="18">
        <f>IF(E47=0,M47,WORKDAY.INTL(M47,E47-1,$D$3,'לוח שנה וחגים'!$F$5:$F$20))</f>
        <v>46420</v>
      </c>
      <c r="O47" s="19"/>
      <c r="P47" s="15" t="s">
        <v>69</v>
      </c>
    </row>
    <row r="48" spans="1:87">
      <c r="A48" s="15" t="s">
        <v>163</v>
      </c>
      <c r="B48" s="16" t="s">
        <v>164</v>
      </c>
      <c r="C48" s="16" t="s">
        <v>165</v>
      </c>
      <c r="D48" s="17">
        <v>3</v>
      </c>
      <c r="E48" s="15">
        <f>IF(D48=0,0,MAX(1,ROUNDUP(D48/$D$5,0)))</f>
        <v>3</v>
      </c>
      <c r="F48" s="15" t="s">
        <v>157</v>
      </c>
      <c r="G48" s="15"/>
      <c r="H48" s="15"/>
      <c r="I48" s="15"/>
      <c r="J48" s="15"/>
      <c r="K48" s="15"/>
      <c r="L48" s="18">
        <f>MAX($D$2-1,IFERROR(INDEX($N$11:$N$86,MATCH(F48,$A$11:$A$86,0)),0),IFERROR(INDEX($N$11:$N$86,MATCH(G48,$A$11:$A$86,0)),0),IFERROR(INDEX($N$11:$N$86,MATCH(H48,$A$11:$A$86,0)),0),IFERROR(INDEX($N$11:$N$86,MATCH(I48,$A$11:$A$86,0)),0),IFERROR(INDEX($N$11:$N$86,MATCH(J48,$A$11:$A$86,0)),0),IFERROR(INDEX($N$11:$N$86,MATCH(K48,$A$11:$A$86,0)),0))</f>
        <v>46415</v>
      </c>
      <c r="M48" s="18">
        <f>IF(E48=0,IF(COUNTA(F48:K48)=0,$D$2,L48),WORKDAY.INTL(L48,1,$D$3,'לוח שנה וחגים'!$F$5:$F$20))</f>
        <v>46418</v>
      </c>
      <c r="N48" s="18">
        <f>IF(E48=0,M48,WORKDAY.INTL(M48,E48-1,$D$3,'לוח שנה וחגים'!$F$5:$F$20))</f>
        <v>46420</v>
      </c>
      <c r="O48" s="19"/>
      <c r="P48" s="15" t="s">
        <v>69</v>
      </c>
    </row>
    <row r="49" spans="1:87">
      <c r="A49" s="13" t="s">
        <v>166</v>
      </c>
      <c r="B49" s="13"/>
      <c r="C49" s="13"/>
      <c r="D49" s="13"/>
      <c r="E49" s="13"/>
      <c r="F49" s="13"/>
      <c r="G49" s="13"/>
      <c r="H49" s="13"/>
      <c r="I49" s="13"/>
      <c r="J49" s="13"/>
      <c r="K49" s="13"/>
      <c r="L49" s="13"/>
      <c r="M49" s="13"/>
      <c r="N49" s="13"/>
      <c r="O49" s="13"/>
      <c r="P49" s="13"/>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row>
    <row r="50" spans="1:87">
      <c r="A50" s="15" t="s">
        <v>167</v>
      </c>
      <c r="B50" s="16" t="s">
        <v>168</v>
      </c>
      <c r="C50" s="16" t="s">
        <v>169</v>
      </c>
      <c r="D50" s="17">
        <v>12</v>
      </c>
      <c r="E50" s="15">
        <f>IF(D50=0,0,MAX(1,ROUNDUP(D50/$D$5,0)))</f>
        <v>11</v>
      </c>
      <c r="F50" s="15" t="s">
        <v>160</v>
      </c>
      <c r="G50" s="15" t="s">
        <v>163</v>
      </c>
      <c r="H50" s="15" t="s">
        <v>148</v>
      </c>
      <c r="I50" s="15"/>
      <c r="J50" s="15"/>
      <c r="K50" s="15"/>
      <c r="L50" s="18">
        <f>MAX($D$2-1,IFERROR(INDEX($N$11:$N$86,MATCH(F50,$A$11:$A$86,0)),0),IFERROR(INDEX($N$11:$N$86,MATCH(G50,$A$11:$A$86,0)),0),IFERROR(INDEX($N$11:$N$86,MATCH(H50,$A$11:$A$86,0)),0),IFERROR(INDEX($N$11:$N$86,MATCH(I50,$A$11:$A$86,0)),0),IFERROR(INDEX($N$11:$N$86,MATCH(J50,$A$11:$A$86,0)),0),IFERROR(INDEX($N$11:$N$86,MATCH(K50,$A$11:$A$86,0)),0))</f>
        <v>46432</v>
      </c>
      <c r="M50" s="18">
        <f>IF(E50=0,IF(COUNTA(F50:K50)=0,$D$2,L50),WORKDAY.INTL(L50,1,$D$3,'לוח שנה וחגים'!$F$5:$F$20))</f>
        <v>46433</v>
      </c>
      <c r="N50" s="18">
        <f>IF(E50=0,M50,WORKDAY.INTL(M50,E50-1,$D$3,'לוח שנה וחגים'!$F$5:$F$20))</f>
        <v>46447</v>
      </c>
      <c r="O50" s="19" t="s">
        <v>68</v>
      </c>
      <c r="P50" s="15" t="s">
        <v>69</v>
      </c>
    </row>
    <row r="51" spans="1:87">
      <c r="A51" s="15" t="s">
        <v>170</v>
      </c>
      <c r="B51" s="16" t="s">
        <v>171</v>
      </c>
      <c r="C51" s="16" t="s">
        <v>172</v>
      </c>
      <c r="D51" s="17">
        <v>6</v>
      </c>
      <c r="E51" s="15">
        <f>IF(D51=0,0,MAX(1,ROUNDUP(D51/$D$5,0)))</f>
        <v>6</v>
      </c>
      <c r="F51" s="15" t="s">
        <v>167</v>
      </c>
      <c r="G51" s="15"/>
      <c r="H51" s="15"/>
      <c r="I51" s="15"/>
      <c r="J51" s="15"/>
      <c r="K51" s="15"/>
      <c r="L51" s="18">
        <f>MAX($D$2-1,IFERROR(INDEX($N$11:$N$86,MATCH(F51,$A$11:$A$86,0)),0),IFERROR(INDEX($N$11:$N$86,MATCH(G51,$A$11:$A$86,0)),0),IFERROR(INDEX($N$11:$N$86,MATCH(H51,$A$11:$A$86,0)),0),IFERROR(INDEX($N$11:$N$86,MATCH(I51,$A$11:$A$86,0)),0),IFERROR(INDEX($N$11:$N$86,MATCH(J51,$A$11:$A$86,0)),0),IFERROR(INDEX($N$11:$N$86,MATCH(K51,$A$11:$A$86,0)),0))</f>
        <v>46447</v>
      </c>
      <c r="M51" s="18">
        <f>IF(E51=0,IF(COUNTA(F51:K51)=0,$D$2,L51),WORKDAY.INTL(L51,1,$D$3,'לוח שנה וחגים'!$F$5:$F$20))</f>
        <v>46448</v>
      </c>
      <c r="N51" s="18">
        <f>IF(E51=0,M51,WORKDAY.INTL(M51,E51-1,$D$3,'לוח שנה וחגים'!$F$5:$F$20))</f>
        <v>46455</v>
      </c>
      <c r="O51" s="19" t="s">
        <v>68</v>
      </c>
      <c r="P51" s="15" t="s">
        <v>69</v>
      </c>
    </row>
    <row r="52" spans="1:87">
      <c r="A52" s="15" t="s">
        <v>173</v>
      </c>
      <c r="B52" s="16" t="s">
        <v>174</v>
      </c>
      <c r="C52" s="16" t="s">
        <v>67</v>
      </c>
      <c r="D52" s="17">
        <v>2</v>
      </c>
      <c r="E52" s="15">
        <f>IF(D52=0,0,MAX(1,ROUNDUP(D52/$D$5,0)))</f>
        <v>2</v>
      </c>
      <c r="F52" s="15" t="s">
        <v>170</v>
      </c>
      <c r="G52" s="15"/>
      <c r="H52" s="15"/>
      <c r="I52" s="15"/>
      <c r="J52" s="15"/>
      <c r="K52" s="15"/>
      <c r="L52" s="18">
        <f>MAX($D$2-1,IFERROR(INDEX($N$11:$N$86,MATCH(F52,$A$11:$A$86,0)),0),IFERROR(INDEX($N$11:$N$86,MATCH(G52,$A$11:$A$86,0)),0),IFERROR(INDEX($N$11:$N$86,MATCH(H52,$A$11:$A$86,0)),0),IFERROR(INDEX($N$11:$N$86,MATCH(I52,$A$11:$A$86,0)),0),IFERROR(INDEX($N$11:$N$86,MATCH(J52,$A$11:$A$86,0)),0),IFERROR(INDEX($N$11:$N$86,MATCH(K52,$A$11:$A$86,0)),0))</f>
        <v>46455</v>
      </c>
      <c r="M52" s="18">
        <f>IF(E52=0,IF(COUNTA(F52:K52)=0,$D$2,L52),WORKDAY.INTL(L52,1,$D$3,'לוח שנה וחגים'!$F$5:$F$20))</f>
        <v>46456</v>
      </c>
      <c r="N52" s="18">
        <f>IF(E52=0,M52,WORKDAY.INTL(M52,E52-1,$D$3,'לוח שנה וחגים'!$F$5:$F$20))</f>
        <v>46457</v>
      </c>
      <c r="O52" s="19" t="s">
        <v>68</v>
      </c>
      <c r="P52" s="15" t="s">
        <v>69</v>
      </c>
    </row>
    <row r="53" spans="1:87">
      <c r="A53" s="15" t="s">
        <v>175</v>
      </c>
      <c r="B53" s="16" t="s">
        <v>176</v>
      </c>
      <c r="C53" s="16" t="s">
        <v>177</v>
      </c>
      <c r="D53" s="17">
        <v>6</v>
      </c>
      <c r="E53" s="15">
        <f>IF(D53=0,0,MAX(1,ROUNDUP(D53/$D$5,0)))</f>
        <v>6</v>
      </c>
      <c r="F53" s="15" t="s">
        <v>160</v>
      </c>
      <c r="G53" s="15" t="s">
        <v>151</v>
      </c>
      <c r="H53" s="15"/>
      <c r="I53" s="15"/>
      <c r="J53" s="15"/>
      <c r="K53" s="15"/>
      <c r="L53" s="18">
        <f>MAX($D$2-1,IFERROR(INDEX($N$11:$N$86,MATCH(F53,$A$11:$A$86,0)),0),IFERROR(INDEX($N$11:$N$86,MATCH(G53,$A$11:$A$86,0)),0),IFERROR(INDEX($N$11:$N$86,MATCH(H53,$A$11:$A$86,0)),0),IFERROR(INDEX($N$11:$N$86,MATCH(I53,$A$11:$A$86,0)),0),IFERROR(INDEX($N$11:$N$86,MATCH(J53,$A$11:$A$86,0)),0),IFERROR(INDEX($N$11:$N$86,MATCH(K53,$A$11:$A$86,0)),0))</f>
        <v>46420</v>
      </c>
      <c r="M53" s="18">
        <f>IF(E53=0,IF(COUNTA(F53:K53)=0,$D$2,L53),WORKDAY.INTL(L53,1,$D$3,'לוח שנה וחגים'!$F$5:$F$20))</f>
        <v>46421</v>
      </c>
      <c r="N53" s="18">
        <f>IF(E53=0,M53,WORKDAY.INTL(M53,E53-1,$D$3,'לוח שנה וחגים'!$F$5:$F$20))</f>
        <v>46428</v>
      </c>
      <c r="O53" s="19"/>
      <c r="P53" s="15" t="s">
        <v>69</v>
      </c>
    </row>
    <row r="54" spans="1:87">
      <c r="A54" s="15" t="s">
        <v>178</v>
      </c>
      <c r="B54" s="16" t="s">
        <v>179</v>
      </c>
      <c r="C54" s="16" t="s">
        <v>180</v>
      </c>
      <c r="D54" s="17">
        <v>6</v>
      </c>
      <c r="E54" s="15">
        <f>IF(D54=0,0,MAX(1,ROUNDUP(D54/$D$5,0)))</f>
        <v>6</v>
      </c>
      <c r="F54" s="15" t="s">
        <v>142</v>
      </c>
      <c r="G54" s="15" t="s">
        <v>160</v>
      </c>
      <c r="H54" s="15"/>
      <c r="I54" s="15"/>
      <c r="J54" s="15"/>
      <c r="K54" s="15"/>
      <c r="L54" s="18">
        <f>MAX($D$2-1,IFERROR(INDEX($N$11:$N$86,MATCH(F54,$A$11:$A$86,0)),0),IFERROR(INDEX($N$11:$N$86,MATCH(G54,$A$11:$A$86,0)),0),IFERROR(INDEX($N$11:$N$86,MATCH(H54,$A$11:$A$86,0)),0),IFERROR(INDEX($N$11:$N$86,MATCH(I54,$A$11:$A$86,0)),0),IFERROR(INDEX($N$11:$N$86,MATCH(J54,$A$11:$A$86,0)),0),IFERROR(INDEX($N$11:$N$86,MATCH(K54,$A$11:$A$86,0)),0))</f>
        <v>46420</v>
      </c>
      <c r="M54" s="18">
        <f>IF(E54=0,IF(COUNTA(F54:K54)=0,$D$2,L54),WORKDAY.INTL(L54,1,$D$3,'לוח שנה וחגים'!$F$5:$F$20))</f>
        <v>46421</v>
      </c>
      <c r="N54" s="18">
        <f>IF(E54=0,M54,WORKDAY.INTL(M54,E54-1,$D$3,'לוח שנה וחגים'!$F$5:$F$20))</f>
        <v>46428</v>
      </c>
      <c r="O54" s="19"/>
      <c r="P54" s="15" t="s">
        <v>69</v>
      </c>
    </row>
    <row r="55" spans="1:87">
      <c r="A55" s="15" t="s">
        <v>181</v>
      </c>
      <c r="B55" s="16" t="s">
        <v>182</v>
      </c>
      <c r="C55" s="16" t="s">
        <v>183</v>
      </c>
      <c r="D55" s="17">
        <v>3</v>
      </c>
      <c r="E55" s="15">
        <f>IF(D55=0,0,MAX(1,ROUNDUP(D55/$D$5,0)))</f>
        <v>3</v>
      </c>
      <c r="F55" s="15" t="s">
        <v>175</v>
      </c>
      <c r="G55" s="15" t="s">
        <v>178</v>
      </c>
      <c r="H55" s="15"/>
      <c r="I55" s="15"/>
      <c r="J55" s="15"/>
      <c r="K55" s="15"/>
      <c r="L55" s="18">
        <f>MAX($D$2-1,IFERROR(INDEX($N$11:$N$86,MATCH(F55,$A$11:$A$86,0)),0),IFERROR(INDEX($N$11:$N$86,MATCH(G55,$A$11:$A$86,0)),0),IFERROR(INDEX($N$11:$N$86,MATCH(H55,$A$11:$A$86,0)),0),IFERROR(INDEX($N$11:$N$86,MATCH(I55,$A$11:$A$86,0)),0),IFERROR(INDEX($N$11:$N$86,MATCH(J55,$A$11:$A$86,0)),0),IFERROR(INDEX($N$11:$N$86,MATCH(K55,$A$11:$A$86,0)),0))</f>
        <v>46428</v>
      </c>
      <c r="M55" s="18">
        <f>IF(E55=0,IF(COUNTA(F55:K55)=0,$D$2,L55),WORKDAY.INTL(L55,1,$D$3,'לוח שנה וחגים'!$F$5:$F$20))</f>
        <v>46429</v>
      </c>
      <c r="N55" s="18">
        <f>IF(E55=0,M55,WORKDAY.INTL(M55,E55-1,$D$3,'לוח שנה וחגים'!$F$5:$F$20))</f>
        <v>46433</v>
      </c>
      <c r="O55" s="19"/>
      <c r="P55" s="15" t="s">
        <v>69</v>
      </c>
    </row>
    <row r="56" spans="1:87">
      <c r="A56" s="15" t="s">
        <v>184</v>
      </c>
      <c r="B56" s="16" t="s">
        <v>185</v>
      </c>
      <c r="C56" s="16" t="s">
        <v>67</v>
      </c>
      <c r="D56" s="17">
        <v>1</v>
      </c>
      <c r="E56" s="15">
        <f>IF(D56=0,0,MAX(1,ROUNDUP(D56/$D$5,0)))</f>
        <v>1</v>
      </c>
      <c r="F56" s="15" t="s">
        <v>181</v>
      </c>
      <c r="G56" s="15"/>
      <c r="H56" s="15"/>
      <c r="I56" s="15"/>
      <c r="J56" s="15"/>
      <c r="K56" s="15"/>
      <c r="L56" s="18">
        <f>MAX($D$2-1,IFERROR(INDEX($N$11:$N$86,MATCH(F56,$A$11:$A$86,0)),0),IFERROR(INDEX($N$11:$N$86,MATCH(G56,$A$11:$A$86,0)),0),IFERROR(INDEX($N$11:$N$86,MATCH(H56,$A$11:$A$86,0)),0),IFERROR(INDEX($N$11:$N$86,MATCH(I56,$A$11:$A$86,0)),0),IFERROR(INDEX($N$11:$N$86,MATCH(J56,$A$11:$A$86,0)),0),IFERROR(INDEX($N$11:$N$86,MATCH(K56,$A$11:$A$86,0)),0))</f>
        <v>46433</v>
      </c>
      <c r="M56" s="18">
        <f>IF(E56=0,IF(COUNTA(F56:K56)=0,$D$2,L56),WORKDAY.INTL(L56,1,$D$3,'לוח שנה וחגים'!$F$5:$F$20))</f>
        <v>46434</v>
      </c>
      <c r="N56" s="18">
        <f>IF(E56=0,M56,WORKDAY.INTL(M56,E56-1,$D$3,'לוח שנה וחגים'!$F$5:$F$20))</f>
        <v>46434</v>
      </c>
      <c r="O56" s="19"/>
      <c r="P56" s="15" t="s">
        <v>69</v>
      </c>
    </row>
    <row r="57" spans="1:87">
      <c r="A57" s="13" t="s">
        <v>186</v>
      </c>
      <c r="B57" s="13"/>
      <c r="C57" s="13"/>
      <c r="D57" s="13"/>
      <c r="E57" s="13"/>
      <c r="F57" s="13"/>
      <c r="G57" s="13"/>
      <c r="H57" s="13"/>
      <c r="I57" s="13"/>
      <c r="J57" s="13"/>
      <c r="K57" s="13"/>
      <c r="L57" s="13"/>
      <c r="M57" s="13"/>
      <c r="N57" s="13"/>
      <c r="O57" s="13"/>
      <c r="P57" s="13"/>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row>
    <row r="58" spans="1:87">
      <c r="A58" s="15" t="s">
        <v>187</v>
      </c>
      <c r="B58" s="16" t="s">
        <v>188</v>
      </c>
      <c r="C58" s="16" t="s">
        <v>189</v>
      </c>
      <c r="D58" s="17">
        <v>40</v>
      </c>
      <c r="E58" s="15">
        <f>IF(D58=0,0,MAX(1,ROUNDUP(D58/$D$5,0)))</f>
        <v>34</v>
      </c>
      <c r="F58" s="15" t="s">
        <v>130</v>
      </c>
      <c r="G58" s="15"/>
      <c r="H58" s="15"/>
      <c r="I58" s="15"/>
      <c r="J58" s="15"/>
      <c r="K58" s="15"/>
      <c r="L58" s="18">
        <f>MAX($D$2-1,IFERROR(INDEX($N$11:$N$86,MATCH(F58,$A$11:$A$86,0)),0),IFERROR(INDEX($N$11:$N$86,MATCH(G58,$A$11:$A$86,0)),0),IFERROR(INDEX($N$11:$N$86,MATCH(H58,$A$11:$A$86,0)),0),IFERROR(INDEX($N$11:$N$86,MATCH(I58,$A$11:$A$86,0)),0),IFERROR(INDEX($N$11:$N$86,MATCH(J58,$A$11:$A$86,0)),0),IFERROR(INDEX($N$11:$N$86,MATCH(K58,$A$11:$A$86,0)),0))</f>
        <v>46386</v>
      </c>
      <c r="M58" s="18">
        <f>IF(E58=0,IF(COUNTA(F58:K58)=0,$D$2,L58),WORKDAY.INTL(L58,1,$D$3,'לוח שנה וחגים'!$F$5:$F$20))</f>
        <v>46387</v>
      </c>
      <c r="N58" s="18">
        <f>IF(E58=0,M58,WORKDAY.INTL(M58,E58-1,$D$3,'לוח שנה וחגים'!$F$5:$F$20))</f>
        <v>46434</v>
      </c>
      <c r="O58" s="19"/>
      <c r="P58" s="15" t="s">
        <v>73</v>
      </c>
    </row>
    <row r="59" spans="1:87">
      <c r="A59" s="15" t="s">
        <v>190</v>
      </c>
      <c r="B59" s="16" t="s">
        <v>191</v>
      </c>
      <c r="C59" s="16" t="s">
        <v>84</v>
      </c>
      <c r="D59" s="17">
        <v>20</v>
      </c>
      <c r="E59" s="15">
        <f>IF(D59=0,0,MAX(1,ROUNDUP(D59/$D$5,0)))</f>
        <v>17</v>
      </c>
      <c r="F59" s="15" t="s">
        <v>119</v>
      </c>
      <c r="G59" s="15" t="s">
        <v>187</v>
      </c>
      <c r="H59" s="15" t="s">
        <v>121</v>
      </c>
      <c r="I59" s="15"/>
      <c r="J59" s="15"/>
      <c r="K59" s="15"/>
      <c r="L59" s="18">
        <f>MAX($D$2-1,IFERROR(INDEX($N$11:$N$86,MATCH(F59,$A$11:$A$86,0)),0),IFERROR(INDEX($N$11:$N$86,MATCH(G59,$A$11:$A$86,0)),0),IFERROR(INDEX($N$11:$N$86,MATCH(H59,$A$11:$A$86,0)),0),IFERROR(INDEX($N$11:$N$86,MATCH(I59,$A$11:$A$86,0)),0),IFERROR(INDEX($N$11:$N$86,MATCH(J59,$A$11:$A$86,0)),0),IFERROR(INDEX($N$11:$N$86,MATCH(K59,$A$11:$A$86,0)),0))</f>
        <v>46434</v>
      </c>
      <c r="M59" s="18">
        <f>IF(E59=0,IF(COUNTA(F59:K59)=0,$D$2,L59),WORKDAY.INTL(L59,1,$D$3,'לוח שנה וחגים'!$F$5:$F$20))</f>
        <v>46435</v>
      </c>
      <c r="N59" s="18">
        <f>IF(E59=0,M59,WORKDAY.INTL(M59,E59-1,$D$3,'לוח שנה וחגים'!$F$5:$F$20))</f>
        <v>46457</v>
      </c>
      <c r="O59" s="19"/>
      <c r="P59" s="15" t="s">
        <v>69</v>
      </c>
    </row>
    <row r="60" spans="1:87">
      <c r="A60" s="15" t="s">
        <v>192</v>
      </c>
      <c r="B60" s="16" t="s">
        <v>193</v>
      </c>
      <c r="C60" s="16" t="s">
        <v>194</v>
      </c>
      <c r="D60" s="17">
        <v>8</v>
      </c>
      <c r="E60" s="15">
        <f>IF(D60=0,0,MAX(1,ROUNDUP(D60/$D$5,0)))</f>
        <v>7</v>
      </c>
      <c r="F60" s="15" t="s">
        <v>187</v>
      </c>
      <c r="G60" s="15" t="s">
        <v>190</v>
      </c>
      <c r="H60" s="15"/>
      <c r="I60" s="15"/>
      <c r="J60" s="15"/>
      <c r="K60" s="15"/>
      <c r="L60" s="18">
        <f>MAX($D$2-1,IFERROR(INDEX($N$11:$N$86,MATCH(F60,$A$11:$A$86,0)),0),IFERROR(INDEX($N$11:$N$86,MATCH(G60,$A$11:$A$86,0)),0),IFERROR(INDEX($N$11:$N$86,MATCH(H60,$A$11:$A$86,0)),0),IFERROR(INDEX($N$11:$N$86,MATCH(I60,$A$11:$A$86,0)),0),IFERROR(INDEX($N$11:$N$86,MATCH(J60,$A$11:$A$86,0)),0),IFERROR(INDEX($N$11:$N$86,MATCH(K60,$A$11:$A$86,0)),0))</f>
        <v>46457</v>
      </c>
      <c r="M60" s="18">
        <f>IF(E60=0,IF(COUNTA(F60:K60)=0,$D$2,L60),WORKDAY.INTL(L60,1,$D$3,'לוח שנה וחגים'!$F$5:$F$20))</f>
        <v>46460</v>
      </c>
      <c r="N60" s="18">
        <f>IF(E60=0,M60,WORKDAY.INTL(M60,E60-1,$D$3,'לוח שנה וחגים'!$F$5:$F$20))</f>
        <v>46468</v>
      </c>
      <c r="O60" s="19"/>
      <c r="P60" s="15" t="s">
        <v>69</v>
      </c>
    </row>
    <row r="61" spans="1:87">
      <c r="A61" s="15" t="s">
        <v>195</v>
      </c>
      <c r="B61" s="16" t="s">
        <v>196</v>
      </c>
      <c r="C61" s="16" t="s">
        <v>118</v>
      </c>
      <c r="D61" s="17">
        <v>4</v>
      </c>
      <c r="E61" s="15">
        <f>IF(D61=0,0,MAX(1,ROUNDUP(D61/$D$5,0)))</f>
        <v>4</v>
      </c>
      <c r="F61" s="15" t="s">
        <v>190</v>
      </c>
      <c r="G61" s="15" t="s">
        <v>192</v>
      </c>
      <c r="H61" s="15"/>
      <c r="I61" s="15"/>
      <c r="J61" s="15"/>
      <c r="K61" s="15"/>
      <c r="L61" s="18">
        <f>MAX($D$2-1,IFERROR(INDEX($N$11:$N$86,MATCH(F61,$A$11:$A$86,0)),0),IFERROR(INDEX($N$11:$N$86,MATCH(G61,$A$11:$A$86,0)),0),IFERROR(INDEX($N$11:$N$86,MATCH(H61,$A$11:$A$86,0)),0),IFERROR(INDEX($N$11:$N$86,MATCH(I61,$A$11:$A$86,0)),0),IFERROR(INDEX($N$11:$N$86,MATCH(J61,$A$11:$A$86,0)),0),IFERROR(INDEX($N$11:$N$86,MATCH(K61,$A$11:$A$86,0)),0))</f>
        <v>46468</v>
      </c>
      <c r="M61" s="18">
        <f>IF(E61=0,IF(COUNTA(F61:K61)=0,$D$2,L61),WORKDAY.INTL(L61,1,$D$3,'לוח שנה וחגים'!$F$5:$F$20))</f>
        <v>46469</v>
      </c>
      <c r="N61" s="18">
        <f>IF(E61=0,M61,WORKDAY.INTL(M61,E61-1,$D$3,'לוח שנה וחגים'!$F$5:$F$20))</f>
        <v>46474</v>
      </c>
      <c r="O61" s="19"/>
      <c r="P61" s="15" t="s">
        <v>69</v>
      </c>
    </row>
    <row r="62" spans="1:87">
      <c r="A62" s="13" t="s">
        <v>197</v>
      </c>
      <c r="B62" s="13"/>
      <c r="C62" s="13"/>
      <c r="D62" s="13"/>
      <c r="E62" s="13"/>
      <c r="F62" s="13"/>
      <c r="G62" s="13"/>
      <c r="H62" s="13"/>
      <c r="I62" s="13"/>
      <c r="J62" s="13"/>
      <c r="K62" s="13"/>
      <c r="L62" s="13"/>
      <c r="M62" s="13"/>
      <c r="N62" s="13"/>
      <c r="O62" s="13"/>
      <c r="P62" s="13"/>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row>
    <row r="63" spans="1:87">
      <c r="A63" s="15" t="s">
        <v>198</v>
      </c>
      <c r="B63" s="16" t="s">
        <v>199</v>
      </c>
      <c r="C63" s="16" t="s">
        <v>200</v>
      </c>
      <c r="D63" s="17">
        <v>12</v>
      </c>
      <c r="E63" s="15">
        <f>IF(D63=0,0,MAX(1,ROUNDUP(D63/$D$5,0)))</f>
        <v>11</v>
      </c>
      <c r="F63" s="15" t="s">
        <v>173</v>
      </c>
      <c r="G63" s="15" t="s">
        <v>187</v>
      </c>
      <c r="H63" s="15"/>
      <c r="I63" s="15"/>
      <c r="J63" s="15"/>
      <c r="K63" s="15"/>
      <c r="L63" s="18">
        <f>MAX($D$2-1,IFERROR(INDEX($N$11:$N$86,MATCH(F63,$A$11:$A$86,0)),0),IFERROR(INDEX($N$11:$N$86,MATCH(G63,$A$11:$A$86,0)),0),IFERROR(INDEX($N$11:$N$86,MATCH(H63,$A$11:$A$86,0)),0),IFERROR(INDEX($N$11:$N$86,MATCH(I63,$A$11:$A$86,0)),0),IFERROR(INDEX($N$11:$N$86,MATCH(J63,$A$11:$A$86,0)),0),IFERROR(INDEX($N$11:$N$86,MATCH(K63,$A$11:$A$86,0)),0))</f>
        <v>46457</v>
      </c>
      <c r="M63" s="18">
        <f>IF(E63=0,IF(COUNTA(F63:K63)=0,$D$2,L63),WORKDAY.INTL(L63,1,$D$3,'לוח שנה וחגים'!$F$5:$F$20))</f>
        <v>46460</v>
      </c>
      <c r="N63" s="18">
        <f>IF(E63=0,M63,WORKDAY.INTL(M63,E63-1,$D$3,'לוח שנה וחגים'!$F$5:$F$20))</f>
        <v>46474</v>
      </c>
      <c r="O63" s="19"/>
      <c r="P63" s="15" t="s">
        <v>69</v>
      </c>
    </row>
    <row r="64" spans="1:87">
      <c r="A64" s="15" t="s">
        <v>201</v>
      </c>
      <c r="B64" s="16" t="s">
        <v>202</v>
      </c>
      <c r="C64" s="16" t="s">
        <v>203</v>
      </c>
      <c r="D64" s="17">
        <v>14</v>
      </c>
      <c r="E64" s="15">
        <f>IF(D64=0,0,MAX(1,ROUNDUP(D64/$D$5,0)))</f>
        <v>12</v>
      </c>
      <c r="F64" s="15" t="s">
        <v>184</v>
      </c>
      <c r="G64" s="15" t="s">
        <v>173</v>
      </c>
      <c r="H64" s="15" t="s">
        <v>88</v>
      </c>
      <c r="I64" s="15"/>
      <c r="J64" s="15"/>
      <c r="K64" s="15"/>
      <c r="L64" s="18">
        <f>MAX($D$2-1,IFERROR(INDEX($N$11:$N$86,MATCH(F64,$A$11:$A$86,0)),0),IFERROR(INDEX($N$11:$N$86,MATCH(G64,$A$11:$A$86,0)),0),IFERROR(INDEX($N$11:$N$86,MATCH(H64,$A$11:$A$86,0)),0),IFERROR(INDEX($N$11:$N$86,MATCH(I64,$A$11:$A$86,0)),0),IFERROR(INDEX($N$11:$N$86,MATCH(J64,$A$11:$A$86,0)),0),IFERROR(INDEX($N$11:$N$86,MATCH(K64,$A$11:$A$86,0)),0))</f>
        <v>46457</v>
      </c>
      <c r="M64" s="18">
        <f>IF(E64=0,IF(COUNTA(F64:K64)=0,$D$2,L64),WORKDAY.INTL(L64,1,$D$3,'לוח שנה וחגים'!$F$5:$F$20))</f>
        <v>46460</v>
      </c>
      <c r="N64" s="18">
        <f>IF(E64=0,M64,WORKDAY.INTL(M64,E64-1,$D$3,'לוח שנה וחגים'!$F$5:$F$20))</f>
        <v>46475</v>
      </c>
      <c r="O64" s="19" t="s">
        <v>68</v>
      </c>
      <c r="P64" s="15" t="s">
        <v>69</v>
      </c>
    </row>
    <row r="65" spans="1:87">
      <c r="A65" s="15" t="s">
        <v>204</v>
      </c>
      <c r="B65" s="16" t="s">
        <v>205</v>
      </c>
      <c r="C65" s="16" t="s">
        <v>206</v>
      </c>
      <c r="D65" s="17">
        <v>8</v>
      </c>
      <c r="E65" s="15">
        <f>IF(D65=0,0,MAX(1,ROUNDUP(D65/$D$5,0)))</f>
        <v>7</v>
      </c>
      <c r="F65" s="15" t="s">
        <v>184</v>
      </c>
      <c r="G65" s="15" t="s">
        <v>88</v>
      </c>
      <c r="H65" s="15"/>
      <c r="I65" s="15"/>
      <c r="J65" s="15"/>
      <c r="K65" s="15"/>
      <c r="L65" s="18">
        <f>MAX($D$2-1,IFERROR(INDEX($N$11:$N$86,MATCH(F65,$A$11:$A$86,0)),0),IFERROR(INDEX($N$11:$N$86,MATCH(G65,$A$11:$A$86,0)),0),IFERROR(INDEX($N$11:$N$86,MATCH(H65,$A$11:$A$86,0)),0),IFERROR(INDEX($N$11:$N$86,MATCH(I65,$A$11:$A$86,0)),0),IFERROR(INDEX($N$11:$N$86,MATCH(J65,$A$11:$A$86,0)),0),IFERROR(INDEX($N$11:$N$86,MATCH(K65,$A$11:$A$86,0)),0))</f>
        <v>46434</v>
      </c>
      <c r="M65" s="18">
        <f>IF(E65=0,IF(COUNTA(F65:K65)=0,$D$2,L65),WORKDAY.INTL(L65,1,$D$3,'לוח שנה וחגים'!$F$5:$F$20))</f>
        <v>46435</v>
      </c>
      <c r="N65" s="18">
        <f>IF(E65=0,M65,WORKDAY.INTL(M65,E65-1,$D$3,'לוח שנה וחגים'!$F$5:$F$20))</f>
        <v>46443</v>
      </c>
      <c r="O65" s="19"/>
      <c r="P65" s="15" t="s">
        <v>69</v>
      </c>
    </row>
    <row r="66" spans="1:87">
      <c r="A66" s="15" t="s">
        <v>207</v>
      </c>
      <c r="B66" s="16" t="s">
        <v>208</v>
      </c>
      <c r="C66" s="16" t="s">
        <v>209</v>
      </c>
      <c r="D66" s="17">
        <v>16</v>
      </c>
      <c r="E66" s="15">
        <f>IF(D66=0,0,MAX(1,ROUNDUP(D66/$D$5,0)))</f>
        <v>14</v>
      </c>
      <c r="F66" s="15" t="s">
        <v>181</v>
      </c>
      <c r="G66" s="15" t="s">
        <v>88</v>
      </c>
      <c r="H66" s="15"/>
      <c r="I66" s="15"/>
      <c r="J66" s="15"/>
      <c r="K66" s="15"/>
      <c r="L66" s="18">
        <f>MAX($D$2-1,IFERROR(INDEX($N$11:$N$86,MATCH(F66,$A$11:$A$86,0)),0),IFERROR(INDEX($N$11:$N$86,MATCH(G66,$A$11:$A$86,0)),0),IFERROR(INDEX($N$11:$N$86,MATCH(H66,$A$11:$A$86,0)),0),IFERROR(INDEX($N$11:$N$86,MATCH(I66,$A$11:$A$86,0)),0),IFERROR(INDEX($N$11:$N$86,MATCH(J66,$A$11:$A$86,0)),0),IFERROR(INDEX($N$11:$N$86,MATCH(K66,$A$11:$A$86,0)),0))</f>
        <v>46433</v>
      </c>
      <c r="M66" s="18">
        <f>IF(E66=0,IF(COUNTA(F66:K66)=0,$D$2,L66),WORKDAY.INTL(L66,1,$D$3,'לוח שנה וחגים'!$F$5:$F$20))</f>
        <v>46434</v>
      </c>
      <c r="N66" s="18">
        <f>IF(E66=0,M66,WORKDAY.INTL(M66,E66-1,$D$3,'לוח שנה וחגים'!$F$5:$F$20))</f>
        <v>46453</v>
      </c>
      <c r="O66" s="19"/>
      <c r="P66" s="15" t="s">
        <v>69</v>
      </c>
    </row>
    <row r="67" spans="1:87">
      <c r="A67" s="15" t="s">
        <v>210</v>
      </c>
      <c r="B67" s="16" t="s">
        <v>211</v>
      </c>
      <c r="C67" s="16" t="s">
        <v>212</v>
      </c>
      <c r="D67" s="17">
        <v>8</v>
      </c>
      <c r="E67" s="15">
        <f>IF(D67=0,0,MAX(1,ROUNDUP(D67/$D$5,0)))</f>
        <v>7</v>
      </c>
      <c r="F67" s="15" t="s">
        <v>201</v>
      </c>
      <c r="G67" s="15" t="s">
        <v>148</v>
      </c>
      <c r="H67" s="15" t="s">
        <v>139</v>
      </c>
      <c r="I67" s="15" t="s">
        <v>88</v>
      </c>
      <c r="J67" s="15"/>
      <c r="K67" s="15"/>
      <c r="L67" s="18">
        <f>MAX($D$2-1,IFERROR(INDEX($N$11:$N$86,MATCH(F67,$A$11:$A$86,0)),0),IFERROR(INDEX($N$11:$N$86,MATCH(G67,$A$11:$A$86,0)),0),IFERROR(INDEX($N$11:$N$86,MATCH(H67,$A$11:$A$86,0)),0),IFERROR(INDEX($N$11:$N$86,MATCH(I67,$A$11:$A$86,0)),0),IFERROR(INDEX($N$11:$N$86,MATCH(J67,$A$11:$A$86,0)),0),IFERROR(INDEX($N$11:$N$86,MATCH(K67,$A$11:$A$86,0)),0))</f>
        <v>46475</v>
      </c>
      <c r="M67" s="18">
        <f>IF(E67=0,IF(COUNTA(F67:K67)=0,$D$2,L67),WORKDAY.INTL(L67,1,$D$3,'לוח שנה וחגים'!$F$5:$F$20))</f>
        <v>46476</v>
      </c>
      <c r="N67" s="18">
        <f>IF(E67=0,M67,WORKDAY.INTL(M67,E67-1,$D$3,'לוח שנה וחגים'!$F$5:$F$20))</f>
        <v>46484</v>
      </c>
      <c r="O67" s="19"/>
      <c r="P67" s="15" t="s">
        <v>69</v>
      </c>
    </row>
    <row r="68" spans="1:87">
      <c r="A68" s="15" t="s">
        <v>213</v>
      </c>
      <c r="B68" s="16" t="s">
        <v>214</v>
      </c>
      <c r="C68" s="16" t="s">
        <v>215</v>
      </c>
      <c r="D68" s="17">
        <v>12</v>
      </c>
      <c r="E68" s="15">
        <f>IF(D68=0,0,MAX(1,ROUNDUP(D68/$D$5,0)))</f>
        <v>11</v>
      </c>
      <c r="F68" s="15" t="s">
        <v>198</v>
      </c>
      <c r="G68" s="15" t="s">
        <v>201</v>
      </c>
      <c r="H68" s="15" t="s">
        <v>85</v>
      </c>
      <c r="I68" s="15"/>
      <c r="J68" s="15"/>
      <c r="K68" s="15"/>
      <c r="L68" s="18">
        <f>MAX($D$2-1,IFERROR(INDEX($N$11:$N$86,MATCH(F68,$A$11:$A$86,0)),0),IFERROR(INDEX($N$11:$N$86,MATCH(G68,$A$11:$A$86,0)),0),IFERROR(INDEX($N$11:$N$86,MATCH(H68,$A$11:$A$86,0)),0),IFERROR(INDEX($N$11:$N$86,MATCH(I68,$A$11:$A$86,0)),0),IFERROR(INDEX($N$11:$N$86,MATCH(J68,$A$11:$A$86,0)),0),IFERROR(INDEX($N$11:$N$86,MATCH(K68,$A$11:$A$86,0)),0))</f>
        <v>46475</v>
      </c>
      <c r="M68" s="18">
        <f>IF(E68=0,IF(COUNTA(F68:K68)=0,$D$2,L68),WORKDAY.INTL(L68,1,$D$3,'לוח שנה וחגים'!$F$5:$F$20))</f>
        <v>46476</v>
      </c>
      <c r="N68" s="18">
        <f>IF(E68=0,M68,WORKDAY.INTL(M68,E68-1,$D$3,'לוח שנה וחגים'!$F$5:$F$20))</f>
        <v>46490</v>
      </c>
      <c r="O68" s="19" t="s">
        <v>68</v>
      </c>
      <c r="P68" s="15" t="s">
        <v>69</v>
      </c>
    </row>
    <row r="69" spans="1:87">
      <c r="A69" s="15" t="s">
        <v>216</v>
      </c>
      <c r="B69" s="16" t="s">
        <v>217</v>
      </c>
      <c r="C69" s="16" t="s">
        <v>218</v>
      </c>
      <c r="D69" s="17">
        <v>15</v>
      </c>
      <c r="E69" s="15">
        <f>IF(D69=0,0,MAX(1,ROUNDUP(D69/$D$5,0)))</f>
        <v>13</v>
      </c>
      <c r="F69" s="15" t="s">
        <v>213</v>
      </c>
      <c r="G69" s="15" t="s">
        <v>204</v>
      </c>
      <c r="H69" s="15" t="s">
        <v>210</v>
      </c>
      <c r="I69" s="15" t="s">
        <v>198</v>
      </c>
      <c r="J69" s="15"/>
      <c r="K69" s="15"/>
      <c r="L69" s="18">
        <f>MAX($D$2-1,IFERROR(INDEX($N$11:$N$86,MATCH(F69,$A$11:$A$86,0)),0),IFERROR(INDEX($N$11:$N$86,MATCH(G69,$A$11:$A$86,0)),0),IFERROR(INDEX($N$11:$N$86,MATCH(H69,$A$11:$A$86,0)),0),IFERROR(INDEX($N$11:$N$86,MATCH(I69,$A$11:$A$86,0)),0),IFERROR(INDEX($N$11:$N$86,MATCH(J69,$A$11:$A$86,0)),0),IFERROR(INDEX($N$11:$N$86,MATCH(K69,$A$11:$A$86,0)),0))</f>
        <v>46490</v>
      </c>
      <c r="M69" s="18">
        <f>IF(E69=0,IF(COUNTA(F69:K69)=0,$D$2,L69),WORKDAY.INTL(L69,1,$D$3,'לוח שנה וחגים'!$F$5:$F$20))</f>
        <v>46491</v>
      </c>
      <c r="N69" s="18">
        <f>IF(E69=0,M69,WORKDAY.INTL(M69,E69-1,$D$3,'לוח שנה וחגים'!$F$5:$F$20))</f>
        <v>46516</v>
      </c>
      <c r="O69" s="19" t="s">
        <v>68</v>
      </c>
      <c r="P69" s="15" t="s">
        <v>69</v>
      </c>
    </row>
    <row r="70" spans="1:87">
      <c r="A70" s="15" t="s">
        <v>219</v>
      </c>
      <c r="B70" s="16" t="s">
        <v>220</v>
      </c>
      <c r="C70" s="16" t="s">
        <v>221</v>
      </c>
      <c r="D70" s="17">
        <v>8</v>
      </c>
      <c r="E70" s="15">
        <f>IF(D70=0,0,MAX(1,ROUNDUP(D70/$D$5,0)))</f>
        <v>7</v>
      </c>
      <c r="F70" s="15" t="s">
        <v>216</v>
      </c>
      <c r="G70" s="15"/>
      <c r="H70" s="15"/>
      <c r="I70" s="15"/>
      <c r="J70" s="15"/>
      <c r="K70" s="15"/>
      <c r="L70" s="18">
        <f>MAX($D$2-1,IFERROR(INDEX($N$11:$N$86,MATCH(F70,$A$11:$A$86,0)),0),IFERROR(INDEX($N$11:$N$86,MATCH(G70,$A$11:$A$86,0)),0),IFERROR(INDEX($N$11:$N$86,MATCH(H70,$A$11:$A$86,0)),0),IFERROR(INDEX($N$11:$N$86,MATCH(I70,$A$11:$A$86,0)),0),IFERROR(INDEX($N$11:$N$86,MATCH(J70,$A$11:$A$86,0)),0),IFERROR(INDEX($N$11:$N$86,MATCH(K70,$A$11:$A$86,0)),0))</f>
        <v>46516</v>
      </c>
      <c r="M70" s="18">
        <f>IF(E70=0,IF(COUNTA(F70:K70)=0,$D$2,L70),WORKDAY.INTL(L70,1,$D$3,'לוח שנה וחגים'!$F$5:$F$20))</f>
        <v>46517</v>
      </c>
      <c r="N70" s="18">
        <f>IF(E70=0,M70,WORKDAY.INTL(M70,E70-1,$D$3,'לוח שנה וחגים'!$F$5:$F$20))</f>
        <v>46526</v>
      </c>
      <c r="O70" s="19"/>
      <c r="P70" s="15" t="s">
        <v>69</v>
      </c>
    </row>
    <row r="71" spans="1:87">
      <c r="A71" s="15" t="s">
        <v>222</v>
      </c>
      <c r="B71" s="16" t="s">
        <v>223</v>
      </c>
      <c r="C71" s="16" t="s">
        <v>224</v>
      </c>
      <c r="D71" s="17">
        <v>3</v>
      </c>
      <c r="E71" s="15">
        <f>IF(D71=0,0,MAX(1,ROUNDUP(D71/$D$5,0)))</f>
        <v>3</v>
      </c>
      <c r="F71" s="15" t="s">
        <v>216</v>
      </c>
      <c r="G71" s="15"/>
      <c r="H71" s="15"/>
      <c r="I71" s="15"/>
      <c r="J71" s="15"/>
      <c r="K71" s="15"/>
      <c r="L71" s="18">
        <f>MAX($D$2-1,IFERROR(INDEX($N$11:$N$86,MATCH(F71,$A$11:$A$86,0)),0),IFERROR(INDEX($N$11:$N$86,MATCH(G71,$A$11:$A$86,0)),0),IFERROR(INDEX($N$11:$N$86,MATCH(H71,$A$11:$A$86,0)),0),IFERROR(INDEX($N$11:$N$86,MATCH(I71,$A$11:$A$86,0)),0),IFERROR(INDEX($N$11:$N$86,MATCH(J71,$A$11:$A$86,0)),0),IFERROR(INDEX($N$11:$N$86,MATCH(K71,$A$11:$A$86,0)),0))</f>
        <v>46516</v>
      </c>
      <c r="M71" s="18">
        <f>IF(E71=0,IF(COUNTA(F71:K71)=0,$D$2,L71),WORKDAY.INTL(L71,1,$D$3,'לוח שנה וחגים'!$F$5:$F$20))</f>
        <v>46517</v>
      </c>
      <c r="N71" s="18">
        <f>IF(E71=0,M71,WORKDAY.INTL(M71,E71-1,$D$3,'לוח שנה וחגים'!$F$5:$F$20))</f>
        <v>46520</v>
      </c>
      <c r="O71" s="19"/>
      <c r="P71" s="15" t="s">
        <v>69</v>
      </c>
    </row>
    <row r="72" spans="1:87">
      <c r="A72" s="15" t="s">
        <v>225</v>
      </c>
      <c r="B72" s="16" t="s">
        <v>226</v>
      </c>
      <c r="C72" s="16" t="s">
        <v>227</v>
      </c>
      <c r="D72" s="17">
        <v>8</v>
      </c>
      <c r="E72" s="15">
        <f>IF(D72=0,0,MAX(1,ROUNDUP(D72/$D$5,0)))</f>
        <v>7</v>
      </c>
      <c r="F72" s="15" t="s">
        <v>216</v>
      </c>
      <c r="G72" s="15" t="s">
        <v>204</v>
      </c>
      <c r="H72" s="15" t="s">
        <v>85</v>
      </c>
      <c r="I72" s="15"/>
      <c r="J72" s="15"/>
      <c r="K72" s="15"/>
      <c r="L72" s="18">
        <f>MAX($D$2-1,IFERROR(INDEX($N$11:$N$86,MATCH(F72,$A$11:$A$86,0)),0),IFERROR(INDEX($N$11:$N$86,MATCH(G72,$A$11:$A$86,0)),0),IFERROR(INDEX($N$11:$N$86,MATCH(H72,$A$11:$A$86,0)),0),IFERROR(INDEX($N$11:$N$86,MATCH(I72,$A$11:$A$86,0)),0),IFERROR(INDEX($N$11:$N$86,MATCH(J72,$A$11:$A$86,0)),0),IFERROR(INDEX($N$11:$N$86,MATCH(K72,$A$11:$A$86,0)),0))</f>
        <v>46516</v>
      </c>
      <c r="M72" s="18">
        <f>IF(E72=0,IF(COUNTA(F72:K72)=0,$D$2,L72),WORKDAY.INTL(L72,1,$D$3,'לוח שנה וחגים'!$F$5:$F$20))</f>
        <v>46517</v>
      </c>
      <c r="N72" s="18">
        <f>IF(E72=0,M72,WORKDAY.INTL(M72,E72-1,$D$3,'לוח שנה וחגים'!$F$5:$F$20))</f>
        <v>46526</v>
      </c>
      <c r="O72" s="19" t="s">
        <v>68</v>
      </c>
      <c r="P72" s="15" t="s">
        <v>69</v>
      </c>
    </row>
    <row r="73" spans="1:87">
      <c r="A73" s="13" t="s">
        <v>228</v>
      </c>
      <c r="B73" s="13"/>
      <c r="C73" s="13"/>
      <c r="D73" s="13"/>
      <c r="E73" s="13"/>
      <c r="F73" s="13"/>
      <c r="G73" s="13"/>
      <c r="H73" s="13"/>
      <c r="I73" s="13"/>
      <c r="J73" s="13"/>
      <c r="K73" s="13"/>
      <c r="L73" s="13"/>
      <c r="M73" s="13"/>
      <c r="N73" s="13"/>
      <c r="O73" s="13"/>
      <c r="P73" s="13"/>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row>
    <row r="74" spans="1:87">
      <c r="A74" s="15" t="s">
        <v>229</v>
      </c>
      <c r="B74" s="16" t="s">
        <v>230</v>
      </c>
      <c r="C74" s="16" t="s">
        <v>81</v>
      </c>
      <c r="D74" s="17">
        <v>5</v>
      </c>
      <c r="E74" s="15">
        <f>IF(D74=0,0,MAX(1,ROUNDUP(D74/$D$5,0)))</f>
        <v>5</v>
      </c>
      <c r="F74" s="15" t="s">
        <v>79</v>
      </c>
      <c r="G74" s="15" t="s">
        <v>98</v>
      </c>
      <c r="H74" s="15"/>
      <c r="I74" s="15"/>
      <c r="J74" s="15"/>
      <c r="K74" s="15"/>
      <c r="L74" s="18">
        <f>MAX($D$2-1,IFERROR(INDEX($N$11:$N$86,MATCH(F74,$A$11:$A$86,0)),0),IFERROR(INDEX($N$11:$N$86,MATCH(G74,$A$11:$A$86,0)),0),IFERROR(INDEX($N$11:$N$86,MATCH(H74,$A$11:$A$86,0)),0),IFERROR(INDEX($N$11:$N$86,MATCH(I74,$A$11:$A$86,0)),0),IFERROR(INDEX($N$11:$N$86,MATCH(J74,$A$11:$A$86,0)),0),IFERROR(INDEX($N$11:$N$86,MATCH(K74,$A$11:$A$86,0)),0))</f>
        <v>46380</v>
      </c>
      <c r="M74" s="18">
        <f>IF(E74=0,IF(COUNTA(F74:K74)=0,$D$2,L74),WORKDAY.INTL(L74,1,$D$3,'לוח שנה וחגים'!$F$5:$F$20))</f>
        <v>46383</v>
      </c>
      <c r="N74" s="18">
        <f>IF(E74=0,M74,WORKDAY.INTL(M74,E74-1,$D$3,'לוח שנה וחגים'!$F$5:$F$20))</f>
        <v>46387</v>
      </c>
      <c r="O74" s="19"/>
      <c r="P74" s="15" t="s">
        <v>69</v>
      </c>
    </row>
    <row r="75" spans="1:87">
      <c r="A75" s="15" t="s">
        <v>231</v>
      </c>
      <c r="B75" s="16" t="s">
        <v>232</v>
      </c>
      <c r="C75" s="16" t="s">
        <v>233</v>
      </c>
      <c r="D75" s="17">
        <v>9</v>
      </c>
      <c r="E75" s="15">
        <f>IF(D75=0,0,MAX(1,ROUNDUP(D75/$D$5,0)))</f>
        <v>8</v>
      </c>
      <c r="F75" s="15" t="s">
        <v>190</v>
      </c>
      <c r="G75" s="15"/>
      <c r="H75" s="15"/>
      <c r="I75" s="15"/>
      <c r="J75" s="15"/>
      <c r="K75" s="15"/>
      <c r="L75" s="18">
        <f>MAX($D$2-1,IFERROR(INDEX($N$11:$N$86,MATCH(F75,$A$11:$A$86,0)),0),IFERROR(INDEX($N$11:$N$86,MATCH(G75,$A$11:$A$86,0)),0),IFERROR(INDEX($N$11:$N$86,MATCH(H75,$A$11:$A$86,0)),0),IFERROR(INDEX($N$11:$N$86,MATCH(I75,$A$11:$A$86,0)),0),IFERROR(INDEX($N$11:$N$86,MATCH(J75,$A$11:$A$86,0)),0),IFERROR(INDEX($N$11:$N$86,MATCH(K75,$A$11:$A$86,0)),0))</f>
        <v>46457</v>
      </c>
      <c r="M75" s="18">
        <f>IF(E75=0,IF(COUNTA(F75:K75)=0,$D$2,L75),WORKDAY.INTL(L75,1,$D$3,'לוח שנה וחגים'!$F$5:$F$20))</f>
        <v>46460</v>
      </c>
      <c r="N75" s="18">
        <f>IF(E75=0,M75,WORKDAY.INTL(M75,E75-1,$D$3,'לוח שנה וחגים'!$F$5:$F$20))</f>
        <v>46469</v>
      </c>
      <c r="O75" s="19"/>
      <c r="P75" s="15" t="s">
        <v>69</v>
      </c>
    </row>
    <row r="76" spans="1:87">
      <c r="A76" s="15" t="s">
        <v>234</v>
      </c>
      <c r="B76" s="16" t="s">
        <v>235</v>
      </c>
      <c r="C76" s="16" t="s">
        <v>236</v>
      </c>
      <c r="D76" s="17">
        <v>7</v>
      </c>
      <c r="E76" s="15">
        <f>IF(D76=0,0,MAX(1,ROUNDUP(D76/$D$5,0)))</f>
        <v>6</v>
      </c>
      <c r="F76" s="15" t="s">
        <v>231</v>
      </c>
      <c r="G76" s="15"/>
      <c r="H76" s="15"/>
      <c r="I76" s="15"/>
      <c r="J76" s="15"/>
      <c r="K76" s="15"/>
      <c r="L76" s="18">
        <f>MAX($D$2-1,IFERROR(INDEX($N$11:$N$86,MATCH(F76,$A$11:$A$86,0)),0),IFERROR(INDEX($N$11:$N$86,MATCH(G76,$A$11:$A$86,0)),0),IFERROR(INDEX($N$11:$N$86,MATCH(H76,$A$11:$A$86,0)),0),IFERROR(INDEX($N$11:$N$86,MATCH(I76,$A$11:$A$86,0)),0),IFERROR(INDEX($N$11:$N$86,MATCH(J76,$A$11:$A$86,0)),0),IFERROR(INDEX($N$11:$N$86,MATCH(K76,$A$11:$A$86,0)),0))</f>
        <v>46469</v>
      </c>
      <c r="M76" s="18">
        <f>IF(E76=0,IF(COUNTA(F76:K76)=0,$D$2,L76),WORKDAY.INTL(L76,1,$D$3,'לוח שנה וחגים'!$F$5:$F$20))</f>
        <v>46470</v>
      </c>
      <c r="N76" s="18">
        <f>IF(E76=0,M76,WORKDAY.INTL(M76,E76-1,$D$3,'לוח שנה וחגים'!$F$5:$F$20))</f>
        <v>46477</v>
      </c>
      <c r="O76" s="19"/>
      <c r="P76" s="15" t="s">
        <v>69</v>
      </c>
    </row>
    <row r="77" spans="1:87">
      <c r="A77" s="15" t="s">
        <v>237</v>
      </c>
      <c r="B77" s="16" t="s">
        <v>238</v>
      </c>
      <c r="C77" s="16" t="s">
        <v>239</v>
      </c>
      <c r="D77" s="17">
        <v>11</v>
      </c>
      <c r="E77" s="15">
        <f>IF(D77=0,0,MAX(1,ROUNDUP(D77/$D$5,0)))</f>
        <v>10</v>
      </c>
      <c r="F77" s="15" t="s">
        <v>234</v>
      </c>
      <c r="G77" s="15" t="s">
        <v>207</v>
      </c>
      <c r="H77" s="15"/>
      <c r="I77" s="15"/>
      <c r="J77" s="15"/>
      <c r="K77" s="15"/>
      <c r="L77" s="18">
        <f>MAX($D$2-1,IFERROR(INDEX($N$11:$N$86,MATCH(F77,$A$11:$A$86,0)),0),IFERROR(INDEX($N$11:$N$86,MATCH(G77,$A$11:$A$86,0)),0),IFERROR(INDEX($N$11:$N$86,MATCH(H77,$A$11:$A$86,0)),0),IFERROR(INDEX($N$11:$N$86,MATCH(I77,$A$11:$A$86,0)),0),IFERROR(INDEX($N$11:$N$86,MATCH(J77,$A$11:$A$86,0)),0),IFERROR(INDEX($N$11:$N$86,MATCH(K77,$A$11:$A$86,0)),0))</f>
        <v>46477</v>
      </c>
      <c r="M77" s="18">
        <f>IF(E77=0,IF(COUNTA(F77:K77)=0,$D$2,L77),WORKDAY.INTL(L77,1,$D$3,'לוח שנה וחגים'!$F$5:$F$20))</f>
        <v>46478</v>
      </c>
      <c r="N77" s="18">
        <f>IF(E77=0,M77,WORKDAY.INTL(M77,E77-1,$D$3,'לוח שנה וחגים'!$F$5:$F$20))</f>
        <v>46491</v>
      </c>
      <c r="O77" s="19"/>
      <c r="P77" s="15" t="s">
        <v>69</v>
      </c>
    </row>
    <row r="78" spans="1:87">
      <c r="A78" s="13" t="s">
        <v>240</v>
      </c>
      <c r="B78" s="13"/>
      <c r="C78" s="13"/>
      <c r="D78" s="13"/>
      <c r="E78" s="13"/>
      <c r="F78" s="13"/>
      <c r="G78" s="13"/>
      <c r="H78" s="13"/>
      <c r="I78" s="13"/>
      <c r="J78" s="13"/>
      <c r="K78" s="13"/>
      <c r="L78" s="13"/>
      <c r="M78" s="13"/>
      <c r="N78" s="13"/>
      <c r="O78" s="13"/>
      <c r="P78" s="13"/>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row>
    <row r="79" spans="1:87">
      <c r="A79" s="15" t="s">
        <v>241</v>
      </c>
      <c r="B79" s="16" t="s">
        <v>242</v>
      </c>
      <c r="C79" s="16" t="s">
        <v>165</v>
      </c>
      <c r="D79" s="17">
        <v>3</v>
      </c>
      <c r="E79" s="15">
        <f>IF(D79=0,0,MAX(1,ROUNDUP(D79/$D$5,0)))</f>
        <v>3</v>
      </c>
      <c r="F79" s="15" t="s">
        <v>219</v>
      </c>
      <c r="G79" s="15" t="s">
        <v>222</v>
      </c>
      <c r="H79" s="15" t="s">
        <v>213</v>
      </c>
      <c r="I79" s="15" t="s">
        <v>229</v>
      </c>
      <c r="J79" s="15"/>
      <c r="K79" s="15"/>
      <c r="L79" s="18">
        <f>MAX($D$2-1,IFERROR(INDEX($N$11:$N$86,MATCH(F79,$A$11:$A$86,0)),0),IFERROR(INDEX($N$11:$N$86,MATCH(G79,$A$11:$A$86,0)),0),IFERROR(INDEX($N$11:$N$86,MATCH(H79,$A$11:$A$86,0)),0),IFERROR(INDEX($N$11:$N$86,MATCH(I79,$A$11:$A$86,0)),0),IFERROR(INDEX($N$11:$N$86,MATCH(J79,$A$11:$A$86,0)),0),IFERROR(INDEX($N$11:$N$86,MATCH(K79,$A$11:$A$86,0)),0))</f>
        <v>46526</v>
      </c>
      <c r="M79" s="18">
        <f>IF(E79=0,IF(COUNTA(F79:K79)=0,$D$2,L79),WORKDAY.INTL(L79,1,$D$3,'לוח שנה וחגים'!$F$5:$F$20))</f>
        <v>46527</v>
      </c>
      <c r="N79" s="18">
        <f>IF(E79=0,M79,WORKDAY.INTL(M79,E79-1,$D$3,'לוח שנה וחגים'!$F$5:$F$20))</f>
        <v>46531</v>
      </c>
      <c r="O79" s="19"/>
      <c r="P79" s="15" t="s">
        <v>69</v>
      </c>
    </row>
    <row r="80" spans="1:87">
      <c r="A80" s="15" t="s">
        <v>243</v>
      </c>
      <c r="B80" s="16" t="s">
        <v>244</v>
      </c>
      <c r="C80" s="16" t="s">
        <v>67</v>
      </c>
      <c r="D80" s="17">
        <v>4</v>
      </c>
      <c r="E80" s="15">
        <f>IF(D80=0,0,MAX(1,ROUNDUP(D80/$D$5,0)))</f>
        <v>4</v>
      </c>
      <c r="F80" s="15" t="s">
        <v>225</v>
      </c>
      <c r="G80" s="15"/>
      <c r="H80" s="15"/>
      <c r="I80" s="15"/>
      <c r="J80" s="15"/>
      <c r="K80" s="15"/>
      <c r="L80" s="18">
        <f>MAX($D$2-1,IFERROR(INDEX($N$11:$N$86,MATCH(F80,$A$11:$A$86,0)),0),IFERROR(INDEX($N$11:$N$86,MATCH(G80,$A$11:$A$86,0)),0),IFERROR(INDEX($N$11:$N$86,MATCH(H80,$A$11:$A$86,0)),0),IFERROR(INDEX($N$11:$N$86,MATCH(I80,$A$11:$A$86,0)),0),IFERROR(INDEX($N$11:$N$86,MATCH(J80,$A$11:$A$86,0)),0),IFERROR(INDEX($N$11:$N$86,MATCH(K80,$A$11:$A$86,0)),0))</f>
        <v>46526</v>
      </c>
      <c r="M80" s="18">
        <f>IF(E80=0,IF(COUNTA(F80:K80)=0,$D$2,L80),WORKDAY.INTL(L80,1,$D$3,'לוח שנה וחגים'!$F$5:$F$20))</f>
        <v>46527</v>
      </c>
      <c r="N80" s="18">
        <f>IF(E80=0,M80,WORKDAY.INTL(M80,E80-1,$D$3,'לוח שנה וחגים'!$F$5:$F$20))</f>
        <v>46532</v>
      </c>
      <c r="O80" s="19" t="s">
        <v>68</v>
      </c>
      <c r="P80" s="15" t="s">
        <v>69</v>
      </c>
    </row>
    <row r="81" spans="1:16">
      <c r="A81" s="15" t="s">
        <v>245</v>
      </c>
      <c r="B81" s="16" t="s">
        <v>246</v>
      </c>
      <c r="C81" s="16" t="s">
        <v>67</v>
      </c>
      <c r="D81" s="17">
        <v>3</v>
      </c>
      <c r="E81" s="15">
        <f>IF(D81=0,0,MAX(1,ROUNDUP(D81/$D$5,0)))</f>
        <v>3</v>
      </c>
      <c r="F81" s="15" t="s">
        <v>216</v>
      </c>
      <c r="G81" s="15" t="s">
        <v>225</v>
      </c>
      <c r="H81" s="15" t="s">
        <v>237</v>
      </c>
      <c r="I81" s="15" t="s">
        <v>195</v>
      </c>
      <c r="J81" s="15" t="s">
        <v>192</v>
      </c>
      <c r="K81" s="15"/>
      <c r="L81" s="18">
        <f>MAX($D$2-1,IFERROR(INDEX($N$11:$N$86,MATCH(F81,$A$11:$A$86,0)),0),IFERROR(INDEX($N$11:$N$86,MATCH(G81,$A$11:$A$86,0)),0),IFERROR(INDEX($N$11:$N$86,MATCH(H81,$A$11:$A$86,0)),0),IFERROR(INDEX($N$11:$N$86,MATCH(I81,$A$11:$A$86,0)),0),IFERROR(INDEX($N$11:$N$86,MATCH(J81,$A$11:$A$86,0)),0),IFERROR(INDEX($N$11:$N$86,MATCH(K81,$A$11:$A$86,0)),0))</f>
        <v>46526</v>
      </c>
      <c r="M81" s="18">
        <f>IF(E81=0,IF(COUNTA(F81:K81)=0,$D$2,L81),WORKDAY.INTL(L81,1,$D$3,'לוח שנה וחגים'!$F$5:$F$20))</f>
        <v>46527</v>
      </c>
      <c r="N81" s="18">
        <f>IF(E81=0,M81,WORKDAY.INTL(M81,E81-1,$D$3,'לוח שנה וחגים'!$F$5:$F$20))</f>
        <v>46531</v>
      </c>
      <c r="O81" s="19"/>
      <c r="P81" s="15" t="s">
        <v>69</v>
      </c>
    </row>
    <row r="82" spans="1:16">
      <c r="A82" s="15" t="s">
        <v>247</v>
      </c>
      <c r="B82" s="16" t="s">
        <v>248</v>
      </c>
      <c r="C82" s="16" t="s">
        <v>67</v>
      </c>
      <c r="D82" s="17">
        <v>3</v>
      </c>
      <c r="E82" s="15">
        <f>IF(D82=0,0,MAX(1,ROUNDUP(D82/$D$5,0)))</f>
        <v>3</v>
      </c>
      <c r="F82" s="15" t="s">
        <v>241</v>
      </c>
      <c r="G82" s="15" t="s">
        <v>243</v>
      </c>
      <c r="H82" s="15" t="s">
        <v>245</v>
      </c>
      <c r="I82" s="15"/>
      <c r="J82" s="15"/>
      <c r="K82" s="15"/>
      <c r="L82" s="18">
        <f>MAX($D$2-1,IFERROR(INDEX($N$11:$N$86,MATCH(F82,$A$11:$A$86,0)),0),IFERROR(INDEX($N$11:$N$86,MATCH(G82,$A$11:$A$86,0)),0),IFERROR(INDEX($N$11:$N$86,MATCH(H82,$A$11:$A$86,0)),0),IFERROR(INDEX($N$11:$N$86,MATCH(I82,$A$11:$A$86,0)),0),IFERROR(INDEX($N$11:$N$86,MATCH(J82,$A$11:$A$86,0)),0),IFERROR(INDEX($N$11:$N$86,MATCH(K82,$A$11:$A$86,0)),0))</f>
        <v>46532</v>
      </c>
      <c r="M82" s="18">
        <f>IF(E82=0,IF(COUNTA(F82:K82)=0,$D$2,L82),WORKDAY.INTL(L82,1,$D$3,'לוח שנה וחגים'!$F$5:$F$20))</f>
        <v>46533</v>
      </c>
      <c r="N82" s="18">
        <f>IF(E82=0,M82,WORKDAY.INTL(M82,E82-1,$D$3,'לוח שנה וחגים'!$F$5:$F$20))</f>
        <v>46537</v>
      </c>
      <c r="O82" s="19" t="s">
        <v>68</v>
      </c>
      <c r="P82" s="15" t="s">
        <v>69</v>
      </c>
    </row>
    <row r="83" spans="1:16">
      <c r="A83" s="15" t="s">
        <v>249</v>
      </c>
      <c r="B83" s="16" t="s">
        <v>250</v>
      </c>
      <c r="C83" s="16" t="s">
        <v>67</v>
      </c>
      <c r="D83" s="17">
        <v>8</v>
      </c>
      <c r="E83" s="15">
        <f>IF(D83=0,0,MAX(1,ROUNDUP(D83/$D$5,0)))</f>
        <v>7</v>
      </c>
      <c r="F83" s="15" t="s">
        <v>247</v>
      </c>
      <c r="G83" s="15"/>
      <c r="H83" s="15"/>
      <c r="I83" s="15"/>
      <c r="J83" s="15"/>
      <c r="K83" s="15"/>
      <c r="L83" s="18">
        <f>MAX($D$2-1,IFERROR(INDEX($N$11:$N$86,MATCH(F83,$A$11:$A$86,0)),0),IFERROR(INDEX($N$11:$N$86,MATCH(G83,$A$11:$A$86,0)),0),IFERROR(INDEX($N$11:$N$86,MATCH(H83,$A$11:$A$86,0)),0),IFERROR(INDEX($N$11:$N$86,MATCH(I83,$A$11:$A$86,0)),0),IFERROR(INDEX($N$11:$N$86,MATCH(J83,$A$11:$A$86,0)),0),IFERROR(INDEX($N$11:$N$86,MATCH(K83,$A$11:$A$86,0)),0))</f>
        <v>46537</v>
      </c>
      <c r="M83" s="18">
        <f>IF(E83=0,IF(COUNTA(F83:K83)=0,$D$2,L83),WORKDAY.INTL(L83,1,$D$3,'לוח שנה וחגים'!$F$5:$F$20))</f>
        <v>46538</v>
      </c>
      <c r="N83" s="18">
        <f>IF(E83=0,M83,WORKDAY.INTL(M83,E83-1,$D$3,'לוח שנה וחגים'!$F$5:$F$20))</f>
        <v>46546</v>
      </c>
      <c r="O83" s="19"/>
      <c r="P83" s="15" t="s">
        <v>69</v>
      </c>
    </row>
    <row r="84" spans="1:16" ht="26" customHeight="1">
      <c r="A84" s="15" t="s">
        <v>251</v>
      </c>
      <c r="B84" s="16" t="s">
        <v>252</v>
      </c>
      <c r="C84" s="16" t="s">
        <v>67</v>
      </c>
      <c r="D84" s="17">
        <v>10</v>
      </c>
      <c r="E84" s="15">
        <f>IF(D84=0,0,MAX(1,ROUNDUP(D84/$D$5,0)))</f>
        <v>9</v>
      </c>
      <c r="F84" s="15" t="s">
        <v>247</v>
      </c>
      <c r="G84" s="15"/>
      <c r="H84" s="15"/>
      <c r="I84" s="15"/>
      <c r="J84" s="15"/>
      <c r="K84" s="15"/>
      <c r="L84" s="18">
        <f>MAX($D$2-1,IFERROR(INDEX($N$11:$N$86,MATCH(F84,$A$11:$A$86,0)),0),IFERROR(INDEX($N$11:$N$86,MATCH(G84,$A$11:$A$86,0)),0),IFERROR(INDEX($N$11:$N$86,MATCH(H84,$A$11:$A$86,0)),0),IFERROR(INDEX($N$11:$N$86,MATCH(I84,$A$11:$A$86,0)),0),IFERROR(INDEX($N$11:$N$86,MATCH(J84,$A$11:$A$86,0)),0),IFERROR(INDEX($N$11:$N$86,MATCH(K84,$A$11:$A$86,0)),0))</f>
        <v>46537</v>
      </c>
      <c r="M84" s="18">
        <f>IF(E84=0,IF(COUNTA(F84:K84)=0,$D$2,L84),WORKDAY.INTL(L84,1,$D$3,'לוח שנה וחגים'!$F$5:$F$20))</f>
        <v>46538</v>
      </c>
      <c r="N84" s="18">
        <f>IF(E84=0,M84,WORKDAY.INTL(M84,E84-1,$D$3,'לוח שנה וחגים'!$F$5:$F$20))</f>
        <v>46548</v>
      </c>
      <c r="O84" s="19" t="s">
        <v>68</v>
      </c>
      <c r="P84" s="15" t="s">
        <v>69</v>
      </c>
    </row>
    <row r="85" spans="1:16">
      <c r="A85" s="15" t="s">
        <v>253</v>
      </c>
      <c r="B85" s="16" t="s">
        <v>254</v>
      </c>
      <c r="C85" s="16" t="s">
        <v>67</v>
      </c>
      <c r="D85" s="17">
        <v>0</v>
      </c>
      <c r="E85" s="15">
        <f>IF(D85=0,0,MAX(1,ROUNDUP(D85/$D$5,0)))</f>
        <v>0</v>
      </c>
      <c r="F85" s="15" t="s">
        <v>249</v>
      </c>
      <c r="G85" s="15"/>
      <c r="H85" s="15"/>
      <c r="I85" s="15"/>
      <c r="J85" s="15"/>
      <c r="K85" s="15"/>
      <c r="L85" s="18">
        <f>MAX($D$2-1,IFERROR(INDEX($N$11:$N$86,MATCH(F85,$A$11:$A$86,0)),0),IFERROR(INDEX($N$11:$N$86,MATCH(G85,$A$11:$A$86,0)),0),IFERROR(INDEX($N$11:$N$86,MATCH(H85,$A$11:$A$86,0)),0),IFERROR(INDEX($N$11:$N$86,MATCH(I85,$A$11:$A$86,0)),0),IFERROR(INDEX($N$11:$N$86,MATCH(J85,$A$11:$A$86,0)),0),IFERROR(INDEX($N$11:$N$86,MATCH(K85,$A$11:$A$86,0)),0))</f>
        <v>46546</v>
      </c>
      <c r="M85" s="18">
        <f>IF(E85=0,IF(COUNTA(F85:K85)=0,$D$2,L85),WORKDAY.INTL(L85,1,$D$3,'לוח שנה וחגים'!$F$5:$F$20))</f>
        <v>46546</v>
      </c>
      <c r="N85" s="18">
        <f>IF(E85=0,M85,WORKDAY.INTL(M85,E85-1,$D$3,'לוח שנה וחגים'!$F$5:$F$20))</f>
        <v>46546</v>
      </c>
      <c r="O85" s="19"/>
      <c r="P85" s="15" t="s">
        <v>69</v>
      </c>
    </row>
    <row r="86" spans="1:16">
      <c r="A86" s="15" t="s">
        <v>255</v>
      </c>
      <c r="B86" s="16" t="s">
        <v>256</v>
      </c>
      <c r="C86" s="16" t="s">
        <v>67</v>
      </c>
      <c r="D86" s="17">
        <v>30</v>
      </c>
      <c r="E86" s="15">
        <f>IF(D86=0,0,MAX(1,ROUNDUP(D86/$D$5,0)))</f>
        <v>26</v>
      </c>
      <c r="F86" s="15" t="s">
        <v>251</v>
      </c>
      <c r="G86" s="15" t="s">
        <v>249</v>
      </c>
      <c r="H86" s="15"/>
      <c r="I86" s="15"/>
      <c r="J86" s="15"/>
      <c r="K86" s="15"/>
      <c r="L86" s="18">
        <f>MAX($D$2-1,IFERROR(INDEX($N$11:$N$86,MATCH(F86,$A$11:$A$86,0)),0),IFERROR(INDEX($N$11:$N$86,MATCH(G86,$A$11:$A$86,0)),0),IFERROR(INDEX($N$11:$N$86,MATCH(H86,$A$11:$A$86,0)),0),IFERROR(INDEX($N$11:$N$86,MATCH(I86,$A$11:$A$86,0)),0),IFERROR(INDEX($N$11:$N$86,MATCH(J86,$A$11:$A$86,0)),0),IFERROR(INDEX($N$11:$N$86,MATCH(K86,$A$11:$A$86,0)),0))</f>
        <v>46548</v>
      </c>
      <c r="M86" s="18">
        <f>IF(E86=0,IF(COUNTA(F86:K86)=0,$D$2,L86),WORKDAY.INTL(L86,1,$D$3,'לוח שנה וחגים'!$F$5:$F$20))</f>
        <v>46551</v>
      </c>
      <c r="N86" s="18">
        <f>IF(E86=0,M86,WORKDAY.INTL(M86,E86-1,$D$3,'לוח שנה וחגים'!$F$5:$F$20))</f>
        <v>46586</v>
      </c>
      <c r="O86" s="19"/>
      <c r="P86" s="15" t="s">
        <v>73</v>
      </c>
    </row>
    <row r="88" spans="1:16">
      <c r="B88" s="2" t="s">
        <v>254</v>
      </c>
      <c r="N88" s="20">
        <f>N85</f>
        <v>46546</v>
      </c>
    </row>
    <row r="89" spans="1:16">
      <c r="B89" s="2" t="s">
        <v>257</v>
      </c>
      <c r="N89" s="20">
        <f>N86</f>
        <v>46586</v>
      </c>
    </row>
    <row r="90" spans="1:16">
      <c r="B90" s="2" t="s">
        <v>258</v>
      </c>
      <c r="N90" s="21">
        <f>ROUND((N88-$D$2+1)/7,1)</f>
        <v>30.4</v>
      </c>
    </row>
    <row r="91" spans="1:16">
      <c r="B91" s="2" t="s">
        <v>259</v>
      </c>
      <c r="N91" s="21">
        <f>NETWORKDAYS.INTL($D$2,N88,$D$3,'לוח שנה וחגים'!$F$5:$F$20)</f>
        <v>147</v>
      </c>
    </row>
    <row r="92" spans="1:16">
      <c r="B92" s="22" t="s">
        <v>260</v>
      </c>
      <c r="C92" s="22"/>
      <c r="D92" s="22"/>
      <c r="E92" s="22"/>
      <c r="F92" s="22"/>
      <c r="G92" s="22"/>
      <c r="H92" s="22"/>
      <c r="I92" s="22"/>
      <c r="J92" s="22"/>
      <c r="K92" s="22"/>
      <c r="L92" s="22"/>
      <c r="M92" s="22"/>
      <c r="N92" s="22"/>
    </row>
    <row r="93" spans="1:16">
      <c r="B93" s="22" t="s">
        <v>261</v>
      </c>
      <c r="C93" s="22"/>
      <c r="D93" s="22"/>
      <c r="E93" s="22"/>
      <c r="F93" s="22"/>
      <c r="G93" s="22"/>
      <c r="H93" s="22"/>
      <c r="I93" s="22"/>
      <c r="J93" s="22"/>
      <c r="K93" s="22"/>
      <c r="L93" s="22"/>
      <c r="M93" s="22"/>
      <c r="N93" s="22"/>
    </row>
  </sheetData>
  <mergeCells count="17">
    <mergeCell ref="A1:N1"/>
    <mergeCell ref="F2:N5"/>
    <mergeCell ref="A6:P6"/>
    <mergeCell ref="A7:P7"/>
    <mergeCell ref="A8:P8"/>
    <mergeCell ref="A11:P11"/>
    <mergeCell ref="A20:P20"/>
    <mergeCell ref="A24:P24"/>
    <mergeCell ref="A36:P36"/>
    <mergeCell ref="A43:P43"/>
    <mergeCell ref="A49:P49"/>
    <mergeCell ref="A57:P57"/>
    <mergeCell ref="A62:P62"/>
    <mergeCell ref="A73:P73"/>
    <mergeCell ref="A78:P78"/>
    <mergeCell ref="B92:N92"/>
    <mergeCell ref="B93:N93"/>
  </mergeCells>
  <conditionalFormatting sqref="R10:CI10">
    <cfRule type="cellIs" dxfId="0" priority="1" operator="greaterThan">
      <formula>0</formula>
    </cfRule>
  </conditionalFormatting>
  <conditionalFormatting sqref="R11:CI86">
    <cfRule type="expression" dxfId="1" priority="2" stopIfTrue="1">
      <formula>AND($E11=0,$A11&lt;&gt;"",$M11&gt;=R$9,$M11&lt;=R$9+6)</formula>
    </cfRule>
    <cfRule type="expression" dxfId="2" priority="3" stopIfTrue="1">
      <formula>AND($P11&lt;&gt;"קבלן",$P11&lt;&gt;"",$E11&gt;0,$M11&lt;=R$9+6,$N11&gt;=R$9)</formula>
    </cfRule>
    <cfRule type="expression" dxfId="3" priority="4" stopIfTrue="1">
      <formula>AND($O11="●",$E11&gt;0,$M11&lt;=R$9+6,$N11&gt;=R$9)</formula>
    </cfRule>
    <cfRule type="expression" dxfId="4" priority="5">
      <formula>AND($E11&gt;0,$M11&lt;=R$9+6,$N11&gt;=R$9)</formula>
    </cfRule>
    <cfRule type="expression" dxfId="5" priority="6">
      <formula>AND(R$10&gt;0,$E11&lt;&gt;"")</formula>
    </cfRule>
  </conditionalFormatting>
  <pageMargins left="0.7" right="0.7" top="0.75" bottom="0.75" header="0.3" footer="0.3"/>
  <pageSetup paperSize="8" fitToHeight="0" orientation="landscape"/>
</worksheet>
</file>

<file path=xl/worksheets/sheet2.xml><?xml version="1.0" encoding="utf-8"?>
<worksheet xmlns="http://schemas.openxmlformats.org/spreadsheetml/2006/main" xmlns:r="http://schemas.openxmlformats.org/officeDocument/2006/relationships">
  <sheetPr>
    <tabColor rgb="FFFFFFFF"/>
  </sheetPr>
  <dimension ref="A1:F22"/>
  <sheetViews>
    <sheetView rightToLeft="1" workbookViewId="0"/>
  </sheetViews>
  <sheetFormatPr defaultRowHeight="15"/>
  <cols>
    <col min="1" max="1" width="13.7109375" customWidth="1"/>
    <col min="2" max="2" width="8.7109375" customWidth="1"/>
    <col min="3" max="3" width="46.7109375" customWidth="1"/>
    <col min="4" max="4" width="38.7109375" customWidth="1"/>
    <col min="5" max="5" width="16.7109375" customWidth="1"/>
    <col min="6" max="6" width="12.7109375" customWidth="1"/>
  </cols>
  <sheetData>
    <row r="1" spans="1:6">
      <c r="A1" s="1" t="s">
        <v>0</v>
      </c>
    </row>
    <row r="2" spans="1:6" ht="40" customHeight="1">
      <c r="A2" s="4" t="s">
        <v>1</v>
      </c>
    </row>
    <row r="4" spans="1:6">
      <c r="A4" s="9" t="s">
        <v>2</v>
      </c>
      <c r="B4" s="9" t="s">
        <v>3</v>
      </c>
      <c r="C4" s="9" t="s">
        <v>4</v>
      </c>
      <c r="D4" s="9" t="s">
        <v>5</v>
      </c>
      <c r="E4" s="9" t="s">
        <v>6</v>
      </c>
      <c r="F4" s="9" t="s">
        <v>7</v>
      </c>
    </row>
    <row r="5" spans="1:6">
      <c r="A5" s="18">
        <v>46361</v>
      </c>
      <c r="B5" s="15" t="s">
        <v>8</v>
      </c>
      <c r="C5" s="16" t="s">
        <v>9</v>
      </c>
      <c r="D5" s="16" t="s">
        <v>10</v>
      </c>
      <c r="E5" s="5" t="s">
        <v>11</v>
      </c>
      <c r="F5" s="18">
        <f>IF(E5="כן",A5,0)</f>
        <v>0</v>
      </c>
    </row>
    <row r="6" spans="1:6">
      <c r="A6" s="18">
        <v>46469</v>
      </c>
      <c r="B6" s="15" t="s">
        <v>12</v>
      </c>
      <c r="C6" s="16" t="s">
        <v>13</v>
      </c>
      <c r="D6" s="16" t="s">
        <v>14</v>
      </c>
      <c r="E6" s="5" t="s">
        <v>11</v>
      </c>
      <c r="F6" s="18">
        <f>IF(E6="כן",A6,0)</f>
        <v>0</v>
      </c>
    </row>
    <row r="7" spans="1:6">
      <c r="A7" s="18">
        <v>46498</v>
      </c>
      <c r="B7" s="15" t="s">
        <v>15</v>
      </c>
      <c r="C7" s="16" t="s">
        <v>16</v>
      </c>
      <c r="D7" s="16" t="s">
        <v>17</v>
      </c>
      <c r="E7" s="5" t="s">
        <v>11</v>
      </c>
      <c r="F7" s="18">
        <f>IF(E7="כן",A7,0)</f>
        <v>0</v>
      </c>
    </row>
    <row r="8" spans="1:6">
      <c r="A8" s="18">
        <v>46499</v>
      </c>
      <c r="B8" s="15" t="s">
        <v>18</v>
      </c>
      <c r="C8" s="16" t="s">
        <v>19</v>
      </c>
      <c r="D8" s="16" t="s">
        <v>20</v>
      </c>
      <c r="E8" s="5" t="s">
        <v>21</v>
      </c>
      <c r="F8" s="18">
        <f>IF(E8="כן",A8,0)</f>
        <v>46499</v>
      </c>
    </row>
    <row r="9" spans="1:6">
      <c r="A9" s="18">
        <v>46500</v>
      </c>
      <c r="B9" s="15" t="s">
        <v>22</v>
      </c>
      <c r="C9" s="16" t="s">
        <v>23</v>
      </c>
      <c r="D9" s="16" t="s">
        <v>24</v>
      </c>
      <c r="E9" s="5" t="s">
        <v>21</v>
      </c>
      <c r="F9" s="18">
        <f>IF(E9="כן",A9,0)</f>
        <v>46500</v>
      </c>
    </row>
    <row r="10" spans="1:6">
      <c r="A10" s="18">
        <v>46501</v>
      </c>
      <c r="B10" s="15" t="s">
        <v>8</v>
      </c>
      <c r="C10" s="16" t="s">
        <v>23</v>
      </c>
      <c r="D10" s="16" t="s">
        <v>24</v>
      </c>
      <c r="E10" s="5" t="s">
        <v>21</v>
      </c>
      <c r="F10" s="18">
        <f>IF(E10="כן",A10,0)</f>
        <v>46501</v>
      </c>
    </row>
    <row r="11" spans="1:6">
      <c r="A11" s="18">
        <v>46502</v>
      </c>
      <c r="B11" s="15" t="s">
        <v>25</v>
      </c>
      <c r="C11" s="16" t="s">
        <v>23</v>
      </c>
      <c r="D11" s="16" t="s">
        <v>24</v>
      </c>
      <c r="E11" s="5" t="s">
        <v>21</v>
      </c>
      <c r="F11" s="18">
        <f>IF(E11="כן",A11,0)</f>
        <v>46502</v>
      </c>
    </row>
    <row r="12" spans="1:6">
      <c r="A12" s="18">
        <v>46503</v>
      </c>
      <c r="B12" s="15" t="s">
        <v>26</v>
      </c>
      <c r="C12" s="16" t="s">
        <v>23</v>
      </c>
      <c r="D12" s="16" t="s">
        <v>24</v>
      </c>
      <c r="E12" s="5" t="s">
        <v>21</v>
      </c>
      <c r="F12" s="18">
        <f>IF(E12="כן",A12,0)</f>
        <v>46503</v>
      </c>
    </row>
    <row r="13" spans="1:6">
      <c r="A13" s="18">
        <v>46504</v>
      </c>
      <c r="B13" s="15" t="s">
        <v>12</v>
      </c>
      <c r="C13" s="16" t="s">
        <v>23</v>
      </c>
      <c r="D13" s="16" t="s">
        <v>24</v>
      </c>
      <c r="E13" s="5" t="s">
        <v>21</v>
      </c>
      <c r="F13" s="18">
        <f>IF(E13="כן",A13,0)</f>
        <v>46504</v>
      </c>
    </row>
    <row r="14" spans="1:6">
      <c r="A14" s="18">
        <v>46505</v>
      </c>
      <c r="B14" s="15" t="s">
        <v>15</v>
      </c>
      <c r="C14" s="16" t="s">
        <v>27</v>
      </c>
      <c r="D14" s="16" t="s">
        <v>20</v>
      </c>
      <c r="E14" s="5" t="s">
        <v>21</v>
      </c>
      <c r="F14" s="18">
        <f>IF(E14="כן",A14,0)</f>
        <v>46505</v>
      </c>
    </row>
    <row r="15" spans="1:6">
      <c r="A15" s="18">
        <v>46511</v>
      </c>
      <c r="B15" s="15" t="s">
        <v>12</v>
      </c>
      <c r="C15" s="16" t="s">
        <v>28</v>
      </c>
      <c r="D15" s="16" t="s">
        <v>29</v>
      </c>
      <c r="E15" s="5" t="s">
        <v>11</v>
      </c>
      <c r="F15" s="18">
        <f>IF(E15="כן",A15,0)</f>
        <v>0</v>
      </c>
    </row>
    <row r="16" spans="1:6">
      <c r="A16" s="18">
        <v>46518</v>
      </c>
      <c r="B16" s="15" t="s">
        <v>12</v>
      </c>
      <c r="C16" s="16" t="s">
        <v>30</v>
      </c>
      <c r="D16" s="16" t="s">
        <v>31</v>
      </c>
      <c r="E16" s="5" t="s">
        <v>11</v>
      </c>
      <c r="F16" s="18">
        <f>IF(E16="כן",A16,0)</f>
        <v>0</v>
      </c>
    </row>
    <row r="17" spans="1:6">
      <c r="A17" s="18">
        <v>46519</v>
      </c>
      <c r="B17" s="15" t="s">
        <v>15</v>
      </c>
      <c r="C17" s="16" t="s">
        <v>32</v>
      </c>
      <c r="D17" s="16" t="s">
        <v>20</v>
      </c>
      <c r="E17" s="5" t="s">
        <v>21</v>
      </c>
      <c r="F17" s="18">
        <f>IF(E17="כן",A17,0)</f>
        <v>46519</v>
      </c>
    </row>
    <row r="18" spans="1:6">
      <c r="A18" s="18">
        <v>46532</v>
      </c>
      <c r="B18" s="15" t="s">
        <v>12</v>
      </c>
      <c r="C18" s="16" t="s">
        <v>33</v>
      </c>
      <c r="D18" s="16" t="s">
        <v>34</v>
      </c>
      <c r="E18" s="5" t="s">
        <v>11</v>
      </c>
      <c r="F18" s="18">
        <f>IF(E18="כן",A18,0)</f>
        <v>0</v>
      </c>
    </row>
    <row r="19" spans="1:6">
      <c r="A19" s="18">
        <v>46548</v>
      </c>
      <c r="B19" s="15" t="s">
        <v>18</v>
      </c>
      <c r="C19" s="16" t="s">
        <v>35</v>
      </c>
      <c r="D19" s="16" t="s">
        <v>17</v>
      </c>
      <c r="E19" s="5" t="s">
        <v>11</v>
      </c>
      <c r="F19" s="18">
        <f>IF(E19="כן",A19,0)</f>
        <v>0</v>
      </c>
    </row>
    <row r="20" spans="1:6">
      <c r="A20" s="18">
        <v>46549</v>
      </c>
      <c r="B20" s="15" t="s">
        <v>22</v>
      </c>
      <c r="C20" s="16" t="s">
        <v>36</v>
      </c>
      <c r="D20" s="16" t="s">
        <v>20</v>
      </c>
      <c r="E20" s="5" t="s">
        <v>21</v>
      </c>
      <c r="F20" s="18">
        <f>IF(E20="כן",A20,0)</f>
        <v>46549</v>
      </c>
    </row>
    <row r="22" spans="1:6" ht="52" customHeight="1">
      <c r="A22" s="4" t="s">
        <v>37</v>
      </c>
    </row>
  </sheetData>
  <dataValidations count="1">
    <dataValidation type="list" allowBlank="1" showInputMessage="1" showErrorMessage="1" sqref="E5:E20">
      <formula1>"כן,לא"</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0038B8"/>
  </sheetPr>
  <dimension ref="A1:C13"/>
  <sheetViews>
    <sheetView rightToLeft="1" workbookViewId="0"/>
  </sheetViews>
  <sheetFormatPr defaultRowHeight="15"/>
  <cols>
    <col min="1" max="1" width="5.7109375" customWidth="1"/>
    <col min="2" max="2" width="28.7109375" customWidth="1"/>
    <col min="3" max="3" width="140.7109375" customWidth="1"/>
  </cols>
  <sheetData>
    <row r="1" spans="1:3">
      <c r="A1" s="1" t="s">
        <v>262</v>
      </c>
    </row>
    <row r="3" spans="1:3">
      <c r="A3" s="9" t="s">
        <v>263</v>
      </c>
      <c r="B3" s="9" t="s">
        <v>264</v>
      </c>
      <c r="C3" s="9" t="s">
        <v>265</v>
      </c>
    </row>
    <row r="4" spans="1:3" ht="60" customHeight="1">
      <c r="A4" s="23">
        <v>1</v>
      </c>
      <c r="B4" s="24" t="s">
        <v>266</v>
      </c>
      <c r="C4" s="25" t="s">
        <v>267</v>
      </c>
    </row>
    <row r="5" spans="1:3" ht="45" customHeight="1">
      <c r="A5" s="23">
        <v>2</v>
      </c>
      <c r="B5" s="24" t="s">
        <v>268</v>
      </c>
      <c r="C5" s="25" t="s">
        <v>269</v>
      </c>
    </row>
    <row r="6" spans="1:3" ht="30" customHeight="1">
      <c r="A6" s="23">
        <v>3</v>
      </c>
      <c r="B6" s="24" t="s">
        <v>270</v>
      </c>
      <c r="C6" s="25" t="s">
        <v>271</v>
      </c>
    </row>
    <row r="7" spans="1:3" ht="45" customHeight="1">
      <c r="A7" s="23">
        <v>4</v>
      </c>
      <c r="B7" s="24" t="s">
        <v>272</v>
      </c>
      <c r="C7" s="25" t="s">
        <v>273</v>
      </c>
    </row>
    <row r="8" spans="1:3" ht="45" customHeight="1">
      <c r="A8" s="23">
        <v>5</v>
      </c>
      <c r="B8" s="24" t="s">
        <v>274</v>
      </c>
      <c r="C8" s="25" t="s">
        <v>275</v>
      </c>
    </row>
    <row r="9" spans="1:3" ht="30" customHeight="1">
      <c r="A9" s="23">
        <v>6</v>
      </c>
      <c r="B9" s="24" t="s">
        <v>276</v>
      </c>
      <c r="C9" s="25" t="s">
        <v>277</v>
      </c>
    </row>
    <row r="10" spans="1:3" ht="30" customHeight="1">
      <c r="A10" s="23">
        <v>7</v>
      </c>
      <c r="B10" s="24" t="s">
        <v>278</v>
      </c>
      <c r="C10" s="25" t="s">
        <v>279</v>
      </c>
    </row>
    <row r="11" spans="1:3" ht="30" customHeight="1">
      <c r="A11" s="23">
        <v>8</v>
      </c>
      <c r="B11" s="24" t="s">
        <v>280</v>
      </c>
      <c r="C11" s="25" t="s">
        <v>281</v>
      </c>
    </row>
    <row r="13" spans="1:3">
      <c r="A13" s="22" t="s">
        <v>282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4A74D9"/>
  </sheetPr>
  <dimension ref="A1:C10"/>
  <sheetViews>
    <sheetView rightToLeft="1" workbookViewId="0"/>
  </sheetViews>
  <sheetFormatPr defaultRowHeight="15"/>
  <cols>
    <col min="1" max="1" width="5.7109375" customWidth="1"/>
    <col min="2" max="2" width="28.7109375" customWidth="1"/>
    <col min="3" max="3" width="140.7109375" customWidth="1"/>
  </cols>
  <sheetData>
    <row r="1" spans="1:3">
      <c r="A1" s="1" t="s">
        <v>283</v>
      </c>
    </row>
    <row r="3" spans="1:3">
      <c r="A3" s="9" t="s">
        <v>263</v>
      </c>
      <c r="B3" s="9" t="s">
        <v>264</v>
      </c>
      <c r="C3" s="9" t="s">
        <v>284</v>
      </c>
    </row>
    <row r="4" spans="1:3" ht="30" customHeight="1">
      <c r="A4" s="23">
        <v>1</v>
      </c>
      <c r="B4" s="24" t="s">
        <v>285</v>
      </c>
      <c r="C4" s="25" t="s">
        <v>286</v>
      </c>
    </row>
    <row r="5" spans="1:3" ht="60" customHeight="1">
      <c r="A5" s="23">
        <v>2</v>
      </c>
      <c r="B5" s="24" t="s">
        <v>287</v>
      </c>
      <c r="C5" s="25" t="s">
        <v>288</v>
      </c>
    </row>
    <row r="6" spans="1:3" ht="30" customHeight="1">
      <c r="A6" s="23">
        <v>3</v>
      </c>
      <c r="B6" s="24" t="s">
        <v>289</v>
      </c>
      <c r="C6" s="25" t="s">
        <v>290</v>
      </c>
    </row>
    <row r="7" spans="1:3" ht="30" customHeight="1">
      <c r="A7" s="23">
        <v>4</v>
      </c>
      <c r="B7" s="24" t="s">
        <v>291</v>
      </c>
      <c r="C7" s="25" t="s">
        <v>292</v>
      </c>
    </row>
    <row r="8" spans="1:3" ht="30" customHeight="1">
      <c r="A8" s="23">
        <v>5</v>
      </c>
      <c r="B8" s="24" t="s">
        <v>293</v>
      </c>
      <c r="C8" s="25" t="s">
        <v>294</v>
      </c>
    </row>
    <row r="9" spans="1:3" ht="30" customHeight="1">
      <c r="A9" s="23">
        <v>6</v>
      </c>
      <c r="B9" s="24" t="s">
        <v>295</v>
      </c>
      <c r="C9" s="25" t="s">
        <v>296</v>
      </c>
    </row>
    <row r="10" spans="1:3" ht="30" customHeight="1">
      <c r="A10" s="23">
        <v>7</v>
      </c>
      <c r="B10" s="24" t="s">
        <v>297</v>
      </c>
      <c r="C10" s="25" t="s">
        <v>298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לוח זמנים</vt:lpstr>
      <vt:lpstr>לוח שנה וחגים</vt:lpstr>
      <vt:lpstr>חוק התכנון והבנייה</vt:lpstr>
      <vt:lpstr>שעות עבודה ופועלים</vt:lpstr>
      <vt:lpstr>'לוח זמנים'!Print_Titles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2026-10-16T09:40:33Z</dcterms:created>
  <dcterms:modified xsi:type="dcterms:W3CDTF">2026-10-16T09:40:33Z</dcterms:modified>
</cp:coreProperties>
</file>