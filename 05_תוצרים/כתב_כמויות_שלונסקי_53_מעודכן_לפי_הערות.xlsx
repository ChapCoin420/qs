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כתב כמויות שלונסקי 53" sheetId="1" state="visible" r:id="rId1"/>
    <sheet xmlns:r="http://schemas.openxmlformats.org/officeDocument/2006/relationships" name="יומן שינויים" sheetId="2" state="visible" r:id="rId2"/>
  </sheets>
  <externalReferences>
    <externalReference xmlns:r="http://schemas.openxmlformats.org/officeDocument/2006/relationships" r:id="rId3"/>
  </externalReferences>
  <definedNames/>
  <calcPr calcId="191029" fullCalcOnLoad="1" iterateDelta="0.0001"/>
</workbook>
</file>

<file path=xl/styles.xml><?xml version="1.0" encoding="utf-8"?>
<styleSheet xmlns="http://schemas.openxmlformats.org/spreadsheetml/2006/main">
  <numFmts count="1">
    <numFmt numFmtId="164" formatCode="#,##0.00;[Red]\(#,##0.00\);0.00"/>
  </numFmts>
  <fonts count="9">
    <font>
      <name val="Arial"/>
      <charset val="177"/>
      <family val="2"/>
      <color theme="1"/>
      <sz val="12"/>
      <scheme val="minor"/>
    </font>
    <font>
      <name val="Arial"/>
      <family val="2"/>
      <b val="1"/>
      <color rgb="FFFFFFFF"/>
      <sz val="18"/>
    </font>
    <font>
      <name val="Arial"/>
      <family val="2"/>
      <color rgb="FF263238"/>
      <sz val="10"/>
    </font>
    <font>
      <name val="Arial"/>
      <family val="2"/>
      <b val="1"/>
      <color rgb="FFFFFFFF"/>
      <sz val="10"/>
    </font>
    <font>
      <name val="Arial"/>
      <family val="2"/>
      <b val="1"/>
      <color rgb="FFFFFFFF"/>
      <sz val="12"/>
    </font>
    <font>
      <name val="Arial"/>
      <family val="2"/>
      <b val="1"/>
      <color rgb="FF263238"/>
      <sz val="10"/>
    </font>
    <font>
      <name val="Arial"/>
      <family val="2"/>
      <b val="1"/>
      <color rgb="FFFF0000"/>
      <sz val="10"/>
    </font>
    <font>
      <name val="Arial"/>
      <family val="2"/>
      <sz val="10"/>
    </font>
    <font>
      <name val="Arial"/>
      <family val="2"/>
      <sz val="12"/>
      <scheme val="minor"/>
    </font>
  </fonts>
  <fills count="6">
    <fill>
      <patternFill/>
    </fill>
    <fill>
      <patternFill patternType="gray125"/>
    </fill>
    <fill>
      <patternFill patternType="solid">
        <fgColor rgb="FF17365D"/>
      </patternFill>
    </fill>
    <fill>
      <patternFill patternType="solid">
        <fgColor rgb="FFE8EFF7"/>
      </patternFill>
    </fill>
    <fill>
      <patternFill patternType="solid">
        <fgColor theme="0"/>
        <bgColor indexed="64"/>
      </patternFill>
    </fill>
    <fill>
      <patternFill patternType="solid">
        <fgColor rgb="00FFFF00"/>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8">
    <xf numFmtId="0" fontId="0" fillId="0" borderId="0" pivotButton="0" quotePrefix="0" xfId="0"/>
    <xf numFmtId="0" fontId="2" fillId="0" borderId="0" applyAlignment="1" pivotButton="0" quotePrefix="0" xfId="0">
      <alignment horizontal="right" vertical="center" wrapText="1"/>
    </xf>
    <xf numFmtId="0" fontId="3" fillId="2" borderId="0" applyAlignment="1" pivotButton="0" quotePrefix="0" xfId="0">
      <alignment horizontal="right" vertical="center" wrapText="1"/>
    </xf>
    <xf numFmtId="0" fontId="2" fillId="0" borderId="1" applyAlignment="1" pivotButton="0" quotePrefix="0" xfId="0">
      <alignment horizontal="right" vertical="center" wrapText="1"/>
    </xf>
    <xf numFmtId="0" fontId="2"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0" applyAlignment="1" pivotButton="0" quotePrefix="0" xfId="0">
      <alignment horizontal="center"/>
    </xf>
    <xf numFmtId="164" fontId="2" fillId="0" borderId="1" applyAlignment="1" pivotButton="0" quotePrefix="0" xfId="0">
      <alignment horizontal="center" vertical="center" wrapText="1"/>
    </xf>
    <xf numFmtId="164" fontId="5" fillId="3" borderId="1" applyAlignment="1" pivotButton="0" quotePrefix="0" xfId="0">
      <alignment horizontal="center" vertical="center" wrapText="1"/>
    </xf>
    <xf numFmtId="49" fontId="2" fillId="0" borderId="1" applyAlignment="1" pivotButton="0" quotePrefix="0" xfId="0">
      <alignment horizontal="center" vertical="center" wrapText="1"/>
    </xf>
    <xf numFmtId="0" fontId="1" fillId="2" borderId="0" applyAlignment="1" pivotButton="0" quotePrefix="0" xfId="0">
      <alignment horizontal="right" vertical="center" wrapText="1"/>
    </xf>
    <xf numFmtId="49" fontId="4" fillId="2" borderId="0" applyAlignment="1" pivotButton="0" quotePrefix="0" xfId="0">
      <alignment horizontal="right" vertical="center" wrapText="1"/>
    </xf>
    <xf numFmtId="0" fontId="4" fillId="2" borderId="0" applyAlignment="1" pivotButton="0" quotePrefix="0" xfId="0">
      <alignment horizontal="right" vertical="center" wrapText="1"/>
    </xf>
    <xf numFmtId="164" fontId="4" fillId="2" borderId="0" applyAlignment="1" pivotButton="0" quotePrefix="0" xfId="0">
      <alignment horizontal="right" vertical="center" wrapText="1"/>
    </xf>
    <xf numFmtId="49" fontId="5" fillId="3" borderId="1" applyAlignment="1" pivotButton="0" quotePrefix="0" xfId="0">
      <alignment horizontal="right" vertical="center" wrapText="1"/>
    </xf>
    <xf numFmtId="0" fontId="5" fillId="3" borderId="1" applyAlignment="1" pivotButton="0" quotePrefix="0" xfId="0">
      <alignment horizontal="right" vertical="center" wrapText="1"/>
    </xf>
    <xf numFmtId="164" fontId="5" fillId="3" borderId="1" applyAlignment="1" pivotButton="0" quotePrefix="0" xfId="0">
      <alignment horizontal="right" vertical="center" wrapText="1"/>
    </xf>
    <xf numFmtId="49" fontId="4" fillId="2" borderId="1" applyAlignment="1" pivotButton="0" quotePrefix="0" xfId="0">
      <alignment horizontal="right" vertical="center" wrapText="1"/>
    </xf>
    <xf numFmtId="0" fontId="4" fillId="2" borderId="1" applyAlignment="1" pivotButton="0" quotePrefix="0" xfId="0">
      <alignment horizontal="right" vertical="center" wrapText="1"/>
    </xf>
    <xf numFmtId="164" fontId="4" fillId="2" borderId="1" applyAlignment="1" pivotButton="0" quotePrefix="0" xfId="0">
      <alignment horizontal="right" vertical="center" wrapText="1"/>
    </xf>
    <xf numFmtId="49" fontId="2" fillId="0" borderId="1" applyAlignment="1" pivotButton="0" quotePrefix="0" xfId="0">
      <alignment horizontal="right" vertical="center" wrapText="1"/>
    </xf>
    <xf numFmtId="0" fontId="2" fillId="0" borderId="1" applyAlignment="1" pivotButton="0" quotePrefix="0" xfId="0">
      <alignment horizontal="right" vertical="center" wrapText="1"/>
    </xf>
    <xf numFmtId="164" fontId="2"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7" fillId="2" borderId="0" applyAlignment="1" pivotButton="0" quotePrefix="0" xfId="0">
      <alignment horizontal="center" vertical="center" wrapText="1"/>
    </xf>
    <xf numFmtId="164" fontId="7" fillId="0" borderId="1" applyAlignment="1" pivotButton="0" quotePrefix="0" xfId="0">
      <alignment horizontal="center" vertical="center" wrapText="1"/>
    </xf>
    <xf numFmtId="164" fontId="7" fillId="0" borderId="1" applyAlignment="1" pivotButton="0" quotePrefix="0" xfId="0">
      <alignment horizontal="center" vertical="center" wrapText="1"/>
    </xf>
    <xf numFmtId="164" fontId="7" fillId="4" borderId="1" applyAlignment="1" pivotButton="0" quotePrefix="0" xfId="0">
      <alignment horizontal="center" vertical="center" wrapText="1"/>
    </xf>
    <xf numFmtId="9" fontId="7" fillId="0" borderId="1" applyAlignment="1" pivotButton="0" quotePrefix="0" xfId="0">
      <alignment horizontal="center" vertical="center" wrapText="1"/>
    </xf>
    <xf numFmtId="0" fontId="8" fillId="0" borderId="0" applyAlignment="1" pivotButton="0" quotePrefix="0" xfId="0">
      <alignment horizontal="center"/>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164" fontId="6" fillId="0" borderId="1" applyAlignment="1" pivotButton="0" quotePrefix="0" xfId="0">
      <alignment horizontal="center" vertical="center" wrapText="1"/>
    </xf>
    <xf numFmtId="0" fontId="0" fillId="0" borderId="0" applyAlignment="1" pivotButton="0" quotePrefix="0" xfId="0">
      <alignment horizontal="center"/>
    </xf>
    <xf numFmtId="49"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right" vertical="center" wrapText="1"/>
    </xf>
    <xf numFmtId="49" fontId="5" fillId="0" borderId="1" applyAlignment="1" pivotButton="0" quotePrefix="0" xfId="0">
      <alignment horizontal="right" vertical="center" wrapText="1"/>
    </xf>
    <xf numFmtId="0" fontId="5" fillId="0" borderId="1" applyAlignment="1" pivotButton="0" quotePrefix="0" xfId="0">
      <alignment horizontal="right" vertical="center" wrapText="1"/>
    </xf>
    <xf numFmtId="164" fontId="5" fillId="0" borderId="1" applyAlignment="1" pivotButton="0" quotePrefix="0" xfId="0">
      <alignment horizontal="right" vertical="center" wrapText="1"/>
    </xf>
    <xf numFmtId="49" fontId="4" fillId="0" borderId="1" applyAlignment="1" pivotButton="0" quotePrefix="0" xfId="0">
      <alignment horizontal="right" vertical="center" wrapText="1"/>
    </xf>
    <xf numFmtId="0" fontId="4" fillId="0" borderId="1" applyAlignment="1" pivotButton="0" quotePrefix="0" xfId="0">
      <alignment horizontal="right" vertical="center" wrapText="1"/>
    </xf>
    <xf numFmtId="164" fontId="4" fillId="0" borderId="1" applyAlignment="1" pivotButton="0" quotePrefix="0" xfId="0">
      <alignment horizontal="right" vertical="center" wrapText="1"/>
    </xf>
    <xf numFmtId="0" fontId="0" fillId="0" borderId="4" pivotButton="0" quotePrefix="0" xfId="0"/>
    <xf numFmtId="0" fontId="0" fillId="0" borderId="5" pivotButton="0" quotePrefix="0" xfId="0"/>
    <xf numFmtId="49" fontId="2" fillId="5"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5" borderId="1" applyAlignment="1" pivotButton="0" quotePrefix="0" xfId="0">
      <alignment horizontal="right" vertical="center" wrapText="1"/>
    </xf>
    <xf numFmtId="164" fontId="7" fillId="5" borderId="1" applyAlignment="1" pivotButton="0" quotePrefix="0" xfId="0">
      <alignment horizontal="center" vertical="center" wrapText="1"/>
    </xf>
    <xf numFmtId="164" fontId="2" fillId="5" borderId="1" applyAlignment="1" pivotButton="0" quotePrefix="0" xfId="0">
      <alignment horizontal="center" vertical="center" wrapText="1"/>
    </xf>
    <xf numFmtId="49" fontId="5" fillId="5" borderId="1" applyAlignment="1" pivotButton="0" quotePrefix="0" xfId="0">
      <alignment horizontal="right" vertical="center" wrapText="1"/>
    </xf>
    <xf numFmtId="0" fontId="0" fillId="5" borderId="4" pivotButton="0" quotePrefix="0" xfId="0"/>
    <xf numFmtId="0" fontId="0" fillId="5" borderId="5" pivotButton="0" quotePrefix="0" xfId="0"/>
    <xf numFmtId="164" fontId="5" fillId="5" borderId="1" applyAlignment="1" pivotButton="0" quotePrefix="0" xfId="0">
      <alignment horizontal="center" vertical="center" wrapText="1"/>
    </xf>
    <xf numFmtId="49" fontId="4" fillId="5" borderId="1" applyAlignment="1" pivotButton="0" quotePrefix="0" xfId="0">
      <alignment horizontal="right" vertical="center" wrapText="1"/>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https://d.docs.live.net/9054F568AAE99C9B/Documents/&#1513;&#1500;&#1493;&#1504;&#1505;&#1511;&#1497;_53_&#1499;&#1514;&#1489;_&#1499;&#1502;&#1493;&#1497;&#1493;&#1514;_&#1500;&#1488;&#1495;&#1512;_&#1489;&#1511;&#1512;&#1492;.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כתב כמויות"/>
      <sheetName val="חישובי כמויות"/>
      <sheetName val="בקרה והשלמות"/>
    </sheetNames>
    <sheetDataSet>
      <sheetData sheetId="0"/>
      <sheetData sheetId="1">
        <row r="8">
          <cell r="G8">
            <v>7</v>
          </cell>
        </row>
        <row r="13">
          <cell r="G13">
            <v>1</v>
          </cell>
        </row>
        <row r="14">
          <cell r="G14">
            <v>1</v>
          </cell>
        </row>
        <row r="18">
          <cell r="G18">
            <v>3</v>
          </cell>
        </row>
        <row r="19">
          <cell r="G19">
            <v>2</v>
          </cell>
        </row>
        <row r="20">
          <cell r="G20">
            <v>2</v>
          </cell>
        </row>
        <row r="21">
          <cell r="G21">
            <v>1</v>
          </cell>
        </row>
        <row r="22">
          <cell r="G22">
            <v>15</v>
          </cell>
        </row>
        <row r="32">
          <cell r="G32">
            <v>33.299999999999997</v>
          </cell>
        </row>
        <row r="36">
          <cell r="G36">
            <v>52.7</v>
          </cell>
        </row>
      </sheetData>
      <sheetData sheetId="2"/>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I172"/>
  <sheetViews>
    <sheetView rightToLeft="1" tabSelected="1" topLeftCell="A18" workbookViewId="0">
      <selection activeCell="A154" sqref="A154:XFD154"/>
    </sheetView>
  </sheetViews>
  <sheetFormatPr baseColWidth="8" defaultColWidth="11.5546875" defaultRowHeight="15"/>
  <cols>
    <col width="7.77734375" customWidth="1" style="35" min="1" max="1"/>
    <col width="15.109375" customWidth="1" style="35" min="2" max="2"/>
    <col width="26.6640625" customWidth="1" min="3" max="3"/>
    <col width="6.6640625" customWidth="1" style="35" min="4" max="4"/>
    <col width="8.109375" customWidth="1" style="31" min="5" max="5"/>
    <col width="14.6640625" customWidth="1" style="35" min="6" max="6"/>
    <col width="10.6640625" customWidth="1" style="35" min="7" max="7"/>
  </cols>
  <sheetData>
    <row r="1" ht="23.25" customHeight="1">
      <c r="A1" s="11" t="inlineStr">
        <is>
          <t>כתב כמויות — שלונסקי 53, חיפה |</t>
        </is>
      </c>
      <c r="H1" s="32" t="n"/>
      <c r="I1" s="32" t="n"/>
    </row>
    <row r="2">
      <c r="A2" s="32" t="n"/>
      <c r="B2" s="32" t="n"/>
      <c r="C2" s="1" t="n"/>
      <c r="D2" s="32" t="n"/>
      <c r="E2" s="25" t="n"/>
      <c r="F2" s="32" t="n"/>
      <c r="G2" s="32" t="n"/>
      <c r="H2" s="32" t="n"/>
      <c r="I2" s="32" t="n"/>
    </row>
    <row r="3">
      <c r="A3" s="5" t="inlineStr">
        <is>
          <t>מס׳ סעיף</t>
        </is>
      </c>
      <c r="B3" s="5" t="inlineStr">
        <is>
          <t>שם הסעיף</t>
        </is>
      </c>
      <c r="C3" s="2" t="inlineStr">
        <is>
          <t>תיאור סעיף</t>
        </is>
      </c>
      <c r="D3" s="5" t="inlineStr">
        <is>
          <t>יחידה</t>
        </is>
      </c>
      <c r="E3" s="26" t="inlineStr">
        <is>
          <t>כמות</t>
        </is>
      </c>
      <c r="F3" s="33" t="inlineStr">
        <is>
          <t>מחיר יחידה (₪)</t>
        </is>
      </c>
      <c r="G3" s="5" t="inlineStr">
        <is>
          <t>סה״כ (₪)</t>
        </is>
      </c>
      <c r="H3" s="32" t="n"/>
      <c r="I3" s="32" t="n"/>
    </row>
    <row r="4" ht="24.95" customHeight="1">
      <c r="A4" s="12" t="inlineStr">
        <is>
          <t>פרק 01 — הכנות והתארגנות לביצוע</t>
        </is>
      </c>
      <c r="H4" s="32" t="n"/>
      <c r="I4" s="32" t="n"/>
    </row>
    <row r="5" ht="90.75" customHeight="1">
      <c r="A5" s="36" t="inlineStr">
        <is>
          <t>01.01</t>
        </is>
      </c>
      <c r="B5" s="37" t="inlineStr">
        <is>
          <t>התארגנות אתר</t>
        </is>
      </c>
      <c r="C5" s="38" t="inlineStr">
        <is>
          <t>התארגנות לביצוע עבודות השיפוץ, לרבות הקצאת אזורי עבודה ואחסון חומרים, הסדרת שירותים לעובדים ותיאום דרכי הגישה לעבודה, בהתאם לתנאי האתר ולהנחיות המתכננת. סעיף זה אינו כולל את הגידור, החיבורים הזמניים, ההגנות ומכולת הפסולת המפורטים בנפרד.</t>
        </is>
      </c>
      <c r="D5" s="37" t="inlineStr">
        <is>
          <t>קומפ׳</t>
        </is>
      </c>
      <c r="E5" s="28" t="n">
        <v>1</v>
      </c>
      <c r="F5" s="23" t="n">
        <v>0</v>
      </c>
      <c r="G5" s="23">
        <f>IF(AND(ISNUMBER(E5),ISNUMBER(F5)),ROUND(E5*F5,2),"")</f>
        <v/>
      </c>
      <c r="H5" s="32" t="n"/>
      <c r="I5" s="32" t="n"/>
    </row>
    <row r="6" ht="64.5" customHeight="1">
      <c r="A6" s="36" t="inlineStr">
        <is>
          <t>01.02</t>
        </is>
      </c>
      <c r="B6" s="37" t="inlineStr">
        <is>
          <t>גידור, שילוט ואמצעי בטיחות באתר</t>
        </is>
      </c>
      <c r="C6" s="38" t="inlineStr">
        <is>
          <t>הקמה והחזקה של גידור זמני מפח או מרשת תקנית, שילוט אתר ואזהרה, סימון אזורים מסוכנים ואמצעי הבטיחות הנדרשים, לאורך כל שלבי הביצוע, לרבות פירוק הגידור בתום הצורך.</t>
        </is>
      </c>
      <c r="D6" s="37" t="inlineStr">
        <is>
          <t>קומפ׳</t>
        </is>
      </c>
      <c r="E6" s="28" t="n">
        <v>1</v>
      </c>
      <c r="F6" s="23" t="n">
        <v>0</v>
      </c>
      <c r="G6" s="23">
        <f>IF(AND(ISNUMBER(E6),ISNUMBER(F6)),ROUND(E6*F6,2),"")</f>
        <v/>
      </c>
      <c r="H6" s="32" t="n"/>
      <c r="I6" s="32" t="n"/>
    </row>
    <row r="7" ht="39.75" customHeight="1">
      <c r="A7" s="36" t="inlineStr">
        <is>
          <t>01.03</t>
        </is>
      </c>
      <c r="B7" s="37" t="inlineStr">
        <is>
          <t>חיבור מים זמני</t>
        </is>
      </c>
      <c r="C7" s="38" t="inlineStr">
        <is>
          <t>הסדרת חיבור מים זמני לצורכי ביצוע העבודות, לרבות חיבור למקור המים המאושר באתר ובדיקת תקינות החיבור.</t>
        </is>
      </c>
      <c r="D7" s="37" t="inlineStr">
        <is>
          <t>קומפ׳</t>
        </is>
      </c>
      <c r="E7" s="28" t="n">
        <v>1</v>
      </c>
      <c r="F7" s="23" t="n">
        <v>0</v>
      </c>
      <c r="G7" s="23">
        <f>IF(AND(ISNUMBER(E7),ISNUMBER(F7)),ROUND(E7*F7,2),"")</f>
        <v/>
      </c>
      <c r="H7" s="32" t="n"/>
      <c r="I7" s="32" t="n"/>
    </row>
    <row r="8" ht="52.5" customHeight="1">
      <c r="A8" s="36" t="inlineStr">
        <is>
          <t>01.04</t>
        </is>
      </c>
      <c r="B8" s="37" t="inlineStr">
        <is>
          <t>חיבור חשמל זמני</t>
        </is>
      </c>
      <c r="C8" s="38" t="inlineStr">
        <is>
          <t>הסדרת חיבור חשמל זמני לצורכי ביצוע העבודות, באמצעות חשמלאי בעל רישיון מתאים, לרבות אמצעי ההגנה הנדרשים ובדיקת תקינות החיבור.</t>
        </is>
      </c>
      <c r="D8" s="37" t="inlineStr">
        <is>
          <t>קומפ׳</t>
        </is>
      </c>
      <c r="E8" s="28" t="n">
        <v>1</v>
      </c>
      <c r="F8" s="23" t="n">
        <v>0</v>
      </c>
      <c r="G8" s="23">
        <f>IF(AND(ISNUMBER(E8),ISNUMBER(F8)),ROUND(E8*F8,2),"")</f>
        <v/>
      </c>
      <c r="H8" s="32" t="n"/>
      <c r="I8" s="32" t="n"/>
    </row>
    <row r="9" ht="55.5" customHeight="1">
      <c r="A9" s="36" t="inlineStr">
        <is>
          <t>01.05</t>
        </is>
      </c>
      <c r="B9" s="37" t="inlineStr">
        <is>
          <t>הגנה על אלמנטים קיימים</t>
        </is>
      </c>
      <c r="C9" s="38" t="inlineStr">
        <is>
          <t>ביצוע והחזקה של כיסויי הגנה לאלמנטים המיועדים להישאר, לרבות ריצופים, פתחים, חלונות, מדרגות, מעקות, קירות, ציוד וצמחייה לשימור, בהתאם להיקף העבודה ולמצב הקיים.</t>
        </is>
      </c>
      <c r="D9" s="37" t="inlineStr">
        <is>
          <t>קומפ׳</t>
        </is>
      </c>
      <c r="E9" s="28" t="n">
        <v>1</v>
      </c>
      <c r="F9" s="23" t="n">
        <v>0</v>
      </c>
      <c r="G9" s="23">
        <f>IF(AND(ISNUMBER(E9),ISNUMBER(F9)),ROUND(E9*F9,2),"")</f>
        <v/>
      </c>
      <c r="H9" s="32" t="n"/>
      <c r="I9" s="32" t="n"/>
    </row>
    <row r="10" ht="62.25" customHeight="1">
      <c r="A10" s="36" t="inlineStr">
        <is>
          <t>01.06</t>
        </is>
      </c>
      <c r="B10" s="37" t="inlineStr">
        <is>
          <t>מדידות, אימות וסימון בלייזר</t>
        </is>
      </c>
      <c r="C10" s="38" t="inlineStr">
        <is>
          <t>מדידת המבנה הקיים ואימות המידות מול תוכניות האדריכלות והמערכות, סימון מיקומי העבודות ומפלסי הביצוע באמצעות פלס לייזר, תיעוד המצב הקיים ודיווח על אי־התאמות לפני תחילת העבודה.</t>
        </is>
      </c>
      <c r="D10" s="37" t="inlineStr">
        <is>
          <t>קומפ׳</t>
        </is>
      </c>
      <c r="E10" s="28" t="n">
        <v>1</v>
      </c>
      <c r="F10" s="23" t="n">
        <v>0</v>
      </c>
      <c r="G10" s="23">
        <f>IF(AND(ISNUMBER(E10),ISNUMBER(F10)),ROUND(E10*F10,2),"")</f>
        <v/>
      </c>
      <c r="H10" s="32" t="n"/>
      <c r="I10" s="32" t="n"/>
    </row>
    <row r="11" ht="54" customHeight="1">
      <c r="A11" s="36" t="inlineStr">
        <is>
          <t>01.07</t>
        </is>
      </c>
      <c r="B11" s="37" t="inlineStr">
        <is>
          <t>מכולת פסולת והסדרת אזור ריכוז פסולת</t>
        </is>
      </c>
      <c r="C11" s="38" t="inlineStr">
        <is>
          <t>הצבת מכולת פסולת והסדרת מקום לריכוז פסולת הבנייה באתר, בהתאם לתנאי הגישה ולשלבי הביצוע. פינוי הפסולת לאתר מורשה מפורט בפרק ההריסות.</t>
        </is>
      </c>
      <c r="D11" s="37" t="inlineStr">
        <is>
          <t>קומפ׳</t>
        </is>
      </c>
      <c r="E11" s="28" t="n">
        <v>1</v>
      </c>
      <c r="F11" s="23" t="n">
        <v>0</v>
      </c>
      <c r="G11" s="23">
        <f>IF(AND(ISNUMBER(E11),ISNUMBER(F11)),ROUND(E11*F11,2),"")</f>
        <v/>
      </c>
      <c r="H11" s="32" t="n"/>
      <c r="I11" s="32" t="n"/>
    </row>
    <row r="12" ht="61.5" customHeight="1">
      <c r="A12" s="36" t="inlineStr">
        <is>
          <t>01.08</t>
        </is>
      </c>
      <c r="B12" s="37" t="inlineStr">
        <is>
          <t>ניקיון שוטף בתקופת הביצוע</t>
        </is>
      </c>
      <c r="C12" s="38" t="inlineStr">
        <is>
          <t>ניקיון שוטף של שטחי העבודה והמעברים לאורך תקופת הביצוע, איסוף שאריות חומרים וריכוז הפסולת באזור המיועד לכך, לשמירת אתר מסודר ובטוח.</t>
        </is>
      </c>
      <c r="D12" s="37" t="inlineStr">
        <is>
          <t>קומפ׳</t>
        </is>
      </c>
      <c r="E12" s="28" t="n">
        <v>1</v>
      </c>
      <c r="F12" s="23" t="n">
        <v>0</v>
      </c>
      <c r="G12" s="23">
        <f>IF(AND(ISNUMBER(E12),ISNUMBER(F12)),ROUND(E12*F12,2),"")</f>
        <v/>
      </c>
      <c r="H12" s="32" t="n"/>
      <c r="I12" s="32" t="n"/>
    </row>
    <row r="13">
      <c r="A13" s="15" t="inlineStr">
        <is>
          <t>סה״כ פרק 01 — הכנות והתארגנות לביצוע</t>
        </is>
      </c>
      <c r="B13" s="45" t="n"/>
      <c r="C13" s="45" t="n"/>
      <c r="D13" s="45" t="n"/>
      <c r="E13" s="45" t="n"/>
      <c r="F13" s="46" t="n"/>
      <c r="G13" s="9">
        <f>IF(COUNT(G5,G6,G7,G8,G9,G10,G11,G12)=0,"",SUM(G5,G6,G7,G8,G9,G10,G11,G12))</f>
        <v/>
      </c>
      <c r="H13" s="32" t="n"/>
      <c r="I13" s="32" t="n"/>
    </row>
    <row r="14">
      <c r="A14" s="32" t="n"/>
      <c r="B14" s="32" t="n"/>
      <c r="C14" s="32" t="n"/>
      <c r="D14" s="32" t="n"/>
      <c r="E14" s="32" t="n"/>
      <c r="F14" s="32" t="n"/>
      <c r="G14" s="32" t="n"/>
      <c r="H14" s="32" t="n"/>
      <c r="I14" s="32" t="n"/>
    </row>
    <row r="15" ht="15.75" customHeight="1">
      <c r="A15" s="18" t="inlineStr">
        <is>
          <t>פרק 02 — הריסות, פירוקים ופינוי</t>
        </is>
      </c>
      <c r="B15" s="45" t="n"/>
      <c r="C15" s="45" t="n"/>
      <c r="D15" s="45" t="n"/>
      <c r="E15" s="45" t="n"/>
      <c r="F15" s="45" t="n"/>
      <c r="G15" s="46" t="n"/>
      <c r="H15" s="32" t="n"/>
      <c r="I15" s="32" t="n"/>
    </row>
    <row r="16" ht="69" customHeight="1">
      <c r="A16" s="36" t="inlineStr">
        <is>
          <t>02.01</t>
        </is>
      </c>
      <c r="B16" s="37" t="inlineStr">
        <is>
          <t>פירוק קירות ומחיצות במרתף</t>
        </is>
      </c>
      <c r="C16" s="38" t="inlineStr">
        <is>
          <t>הריסה מבוקרת של כל הקירות והמחיצות המסומנים להריסה בקומת המרתף, בהתאם לתוכנית ההריסה: 20 מ״ר קירות בלוקים ו־42 מ״ר מחיצות גבס. אלמנטים נושאים – רק באישור קונסטרוקטור בכתב.</t>
        </is>
      </c>
      <c r="D16" s="37" t="inlineStr">
        <is>
          <t>מ״ר</t>
        </is>
      </c>
      <c r="E16" s="28" t="n">
        <v>62</v>
      </c>
      <c r="F16" s="23" t="n"/>
      <c r="G16" s="23">
        <f>IF(AND(ISNUMBER(E16),ISNUMBER(F16)),ROUND(E16*F16,2),"")</f>
        <v/>
      </c>
      <c r="H16" s="32" t="n"/>
      <c r="I16" s="32" t="n"/>
    </row>
    <row r="17" ht="66" customHeight="1">
      <c r="A17" s="36" t="inlineStr">
        <is>
          <t>02.02</t>
        </is>
      </c>
      <c r="B17" s="37" t="inlineStr">
        <is>
          <t>פירוק קירות ומחיצות בקומת הקרקע</t>
        </is>
      </c>
      <c r="C17" s="38" t="inlineStr">
        <is>
          <t>הריסה ופירוק מבוקרים של כל הקירות והמחיצות (בלוקים, בטון וגבס) המסומנים להריסה בקומת הקרקע, בהתאם לתוכנית ההריסה. קירות בטון ואלמנטים נושאים – רק לאחר אישור הקונסטרוקטור בכתב.</t>
        </is>
      </c>
      <c r="D17" s="37" t="inlineStr">
        <is>
          <t>מ״ר</t>
        </is>
      </c>
      <c r="E17" s="28" t="n">
        <v>51</v>
      </c>
      <c r="F17" s="23" t="n"/>
      <c r="G17" s="23">
        <f>IF(AND(ISNUMBER(E17),ISNUMBER(F17)),ROUND(E17*F17,2),"")</f>
        <v/>
      </c>
      <c r="H17" s="32" t="n"/>
      <c r="I17" s="32" t="n"/>
    </row>
    <row r="18" ht="76.5" customHeight="1">
      <c r="A18" s="36" t="inlineStr">
        <is>
          <t>02.03</t>
        </is>
      </c>
      <c r="B18" s="37" t="inlineStr">
        <is>
          <t>פירוק קירות ומחיצות בקומה א׳</t>
        </is>
      </c>
      <c r="C18" s="38" t="inlineStr">
        <is>
          <t>הריסה ופירוק מבוקרים של כל הקירות והמחיצות (בלוקים, בטון וגבס) המסומנים להריסה בקומה א׳, בהתאם לתוכנית ההריסה (כמות משוערת לפי התוכנית). קירות בטון ואלמנטים נושאים – רק לאחר אישור הקונסטרוקטור בכתב.</t>
        </is>
      </c>
      <c r="D18" s="37" t="inlineStr">
        <is>
          <t>מ״ר</t>
        </is>
      </c>
      <c r="E18" s="28" t="n">
        <v>85</v>
      </c>
      <c r="F18" s="23" t="n"/>
      <c r="G18" s="23">
        <f>IF(AND(ISNUMBER(E18),ISNUMBER(F18)),ROUND(E18*F18,2),"")</f>
        <v/>
      </c>
      <c r="H18" s="32" t="n"/>
      <c r="I18" s="32" t="n"/>
    </row>
    <row r="19" ht="55.5" customHeight="1">
      <c r="A19" s="36" t="inlineStr">
        <is>
          <t>02.04</t>
        </is>
      </c>
      <c r="B19" s="37" t="inlineStr">
        <is>
          <t>פירוק תקרות גבס קיימות</t>
        </is>
      </c>
      <c r="C19" s="38" t="inlineStr">
        <is>
          <t>פירוק תקרות גבס קיימות המיועדות להסרה, לרבות לוחות, פרופילים ומתלים, בתיאום עם בעלי המקצוע ולאחר ניתוק המערכות הרלוונטיות.</t>
        </is>
      </c>
      <c r="D19" s="37" t="inlineStr">
        <is>
          <t>מ״ר</t>
        </is>
      </c>
      <c r="E19" s="28" t="n">
        <v>10</v>
      </c>
      <c r="F19" s="23" t="n"/>
      <c r="G19" s="23">
        <f>IF(AND(ISNUMBER(E19),ISNUMBER(F19)),ROUND(E19*F19,2),"")</f>
        <v/>
      </c>
      <c r="H19" s="32" t="n"/>
      <c r="I19" s="32" t="n"/>
    </row>
    <row r="20" ht="52.5" customHeight="1">
      <c r="A20" s="36" t="inlineStr">
        <is>
          <t>02.05</t>
        </is>
      </c>
      <c r="B20" s="37" t="inlineStr">
        <is>
          <t>פירוק ריצופים קיימים</t>
        </is>
      </c>
      <c r="C20" s="38" t="inlineStr">
        <is>
          <t>פירוק ריצופים קיימים באזורים שיאושרו לביצוע, בהתאם להחלטה משותפת בשטח ובהתחשב במצב הריצוף הקיים. היקף הפירוק ייקבע לפני תחילת העבודה.</t>
        </is>
      </c>
      <c r="D20" s="37" t="inlineStr">
        <is>
          <t>מ״ר</t>
        </is>
      </c>
      <c r="E20" s="29" t="n">
        <v>40</v>
      </c>
      <c r="F20" s="23" t="n"/>
      <c r="G20" s="23">
        <f>IF(AND(ISNUMBER(E20),ISNUMBER(F20)),ROUND(E20*F20,2),"")</f>
        <v/>
      </c>
      <c r="H20" s="32" t="n"/>
      <c r="I20" s="32" t="n"/>
    </row>
    <row r="21" ht="48" customHeight="1">
      <c r="A21" s="36" t="inlineStr">
        <is>
          <t>02.06</t>
        </is>
      </c>
      <c r="B21" s="37" t="inlineStr">
        <is>
          <t>פירוק ארונות מטבח קיימים</t>
        </is>
      </c>
      <c r="C21" s="38" t="inlineStr">
        <is>
          <t>פירוק ארונות מטבח קיימים, לרבות יחידות הארונות ורכיבי החיבור שלהן למבנה, בתיאום עם המזמין לגבי פריטים המיועדים לשימור.</t>
        </is>
      </c>
      <c r="D21" s="37" t="inlineStr">
        <is>
          <t>קומפ׳</t>
        </is>
      </c>
      <c r="E21" s="29" t="n">
        <v>1</v>
      </c>
      <c r="F21" s="23" t="n"/>
      <c r="G21" s="23">
        <f>IF(AND(ISNUMBER(E21),ISNUMBER(F21)),ROUND(E21*F21,2),"")</f>
        <v/>
      </c>
      <c r="H21" s="32" t="n"/>
      <c r="I21" s="32" t="n"/>
    </row>
    <row r="22" ht="51" customHeight="1">
      <c r="A22" s="36" t="inlineStr">
        <is>
          <t>02.07</t>
        </is>
      </c>
      <c r="B22" s="37" t="inlineStr">
        <is>
          <t>פירוק ארונות ונגרות קיימת אחרת</t>
        </is>
      </c>
      <c r="C22" s="38" t="inlineStr">
        <is>
          <t>פירוק ארונות הלבשה ופריטי נגרות קיימים אחרים המיועדים להסרה, לרבות רכיבי החיבור למבנה, בהתאם להחלטת המזמין בדבר שימור או פינוי.</t>
        </is>
      </c>
      <c r="D22" s="37" t="inlineStr">
        <is>
          <t>יח׳</t>
        </is>
      </c>
      <c r="E22" s="29" t="n">
        <v>1</v>
      </c>
      <c r="F22" s="23" t="n"/>
      <c r="G22" s="23">
        <f>IF(AND(ISNUMBER(E22),ISNUMBER(F22)),ROUND(E22*F22,2),"")</f>
        <v/>
      </c>
      <c r="H22" s="32" t="n"/>
      <c r="I22" s="32" t="n"/>
    </row>
    <row r="23" ht="66" customHeight="1">
      <c r="A23" s="36" t="inlineStr">
        <is>
          <t>02.08</t>
        </is>
      </c>
      <c r="B23" s="37" t="inlineStr">
        <is>
          <t>פירוק חלונות אלומיניום ותריסים קיימים – קומפלט</t>
        </is>
      </c>
      <c r="C23" s="38" t="inlineStr">
        <is>
          <t>פירוק כל החלונות והתריסים הקיימים המיועדים להחלפה לפי תוכנית הבנייה, לרבות כנפיים, זיגוג, מסגרות, רכיבי הפעלה ועיגון, וניתוק הזנת תריסים חשמליים, תוך שמירה על הפתח.</t>
        </is>
      </c>
      <c r="D23" s="37" t="inlineStr">
        <is>
          <t>קומפ׳</t>
        </is>
      </c>
      <c r="E23" s="28" t="n">
        <v>1</v>
      </c>
      <c r="F23" s="23" t="n"/>
      <c r="G23" s="23">
        <f>IF(AND(ISNUMBER(E23),ISNUMBER(F23)),ROUND(E23*F23,2),"")</f>
        <v/>
      </c>
      <c r="H23" s="32" t="n"/>
      <c r="I23" s="32" t="n"/>
    </row>
    <row r="24" ht="54" customHeight="1">
      <c r="A24" s="36" t="inlineStr">
        <is>
          <t>02.09</t>
        </is>
      </c>
      <c r="B24" s="37" t="inlineStr">
        <is>
          <t>פירוק דלתות פנים וכניסה ומשקופים – קומפלט</t>
        </is>
      </c>
      <c r="C24" s="38" t="inlineStr">
        <is>
          <t>פירוק כל הדלתות המסומנות בתוכניות ההריסה, לרבות כנפיים, משקופים ופרזול, ובתיאום הסדרת הגישה למבנה במהלך הביצוע.</t>
        </is>
      </c>
      <c r="D24" s="37" t="inlineStr">
        <is>
          <t>קומפ׳</t>
        </is>
      </c>
      <c r="E24" s="28" t="n">
        <v>1</v>
      </c>
      <c r="F24" s="23" t="n"/>
      <c r="G24" s="23">
        <f>IF(AND(ISNUMBER(E24),ISNUMBER(F24)),ROUND(E24*F24,2),"")</f>
        <v/>
      </c>
      <c r="H24" s="32" t="n"/>
      <c r="I24" s="32" t="n"/>
    </row>
    <row r="25" ht="57.75" customHeight="1">
      <c r="A25" s="36" t="inlineStr">
        <is>
          <t>02.10</t>
        </is>
      </c>
      <c r="B25" s="37" t="inlineStr">
        <is>
          <t>פירוק חדרי רחצה, שירותים וכלים סניטריים – קומפלט</t>
        </is>
      </c>
      <c r="C25" s="38" t="inlineStr">
        <is>
          <t>פירוק מלא של חדרי הרחצה והשירותים הקיימים: אסלות, כיורים, אמבטיות, מקלחונים, ברזים וחיפויי קירות, לרבות ניתוק וסגירת חיבורי מים וביוב, בהתאם לתוכניות ההריסה.</t>
        </is>
      </c>
      <c r="D25" s="37" t="inlineStr">
        <is>
          <t>קומפ׳</t>
        </is>
      </c>
      <c r="E25" s="28" t="n">
        <v>1</v>
      </c>
      <c r="F25" s="23" t="n"/>
      <c r="G25" s="23">
        <f>IF(AND(ISNUMBER(E25),ISNUMBER(F25)),ROUND(E25*F25,2),"")</f>
        <v/>
      </c>
      <c r="H25" s="32" t="n"/>
      <c r="I25" s="32" t="n"/>
    </row>
    <row r="26" ht="60" customHeight="1">
      <c r="A26" s="36" t="inlineStr">
        <is>
          <t>02.11</t>
        </is>
      </c>
      <c r="B26" s="37" t="inlineStr">
        <is>
          <t>פירוק נקודות, אביזרי חשמל וגופי תאורה קיימים</t>
        </is>
      </c>
      <c r="C26" s="38" t="inlineStr">
        <is>
          <t>ניתוק ופירוק נקודות, שקעים, מפסקים וגופי תאורה קיימים המיועדים לביטול או להחלפה, באמצעות חשמלאי בעל רישיון מתאים, בתיאום עם המזמין לגבי פריטים לשימור.</t>
        </is>
      </c>
      <c r="D26" s="37" t="inlineStr">
        <is>
          <t>קומפ׳</t>
        </is>
      </c>
      <c r="E26" s="29" t="n">
        <v>1</v>
      </c>
      <c r="F26" s="23" t="n"/>
      <c r="G26" s="23">
        <f>IF(AND(ISNUMBER(E26),ISNUMBER(F26)),ROUND(E26*F26,2),"")</f>
        <v/>
      </c>
      <c r="H26" s="32" t="n"/>
      <c r="I26" s="32" t="n"/>
    </row>
    <row r="27" ht="54" customHeight="1">
      <c r="A27" s="36" t="inlineStr">
        <is>
          <t>02.12</t>
        </is>
      </c>
      <c r="B27" s="37" t="inlineStr">
        <is>
          <t>פירוק צנרת אינסטלציה גלויה קיימת</t>
        </is>
      </c>
      <c r="C27" s="38" t="inlineStr">
        <is>
          <t>ניתוק ופירוק צנרת אינסטלציה גלויה המיועדת להסרה, לרבות אביזרי החיבור והקיבוע הרלוונטיים, לאחר זיהוי הקווים הפעילים וסגירת החיבורים הנדרשים.</t>
        </is>
      </c>
      <c r="D27" s="37" t="inlineStr">
        <is>
          <t>קומפ׳</t>
        </is>
      </c>
      <c r="E27" s="29" t="n">
        <v>1</v>
      </c>
      <c r="F27" s="23" t="n"/>
      <c r="G27" s="23">
        <f>IF(AND(ISNUMBER(E27),ISNUMBER(F27)),ROUND(E27*F27,2),"")</f>
        <v/>
      </c>
      <c r="H27" s="32" t="n"/>
      <c r="I27" s="32" t="n"/>
    </row>
    <row r="28" ht="51" customHeight="1">
      <c r="A28" s="36" t="inlineStr">
        <is>
          <t>02.13</t>
        </is>
      </c>
      <c r="B28" s="37" t="inlineStr">
        <is>
          <t>פירוק יחידות מיזוג קיימות (פנים וחוץ)</t>
        </is>
      </c>
      <c r="C28" s="38" t="inlineStr">
        <is>
          <t>ניתוק ופירוק יחידות מיזוג פנים וחוץ קיימות, בתיאום מוקדם עם המזמין לגבי יחידות תקינות לשימוש חוזר (חלקן מיועדות ליחידת המרתף), לרבות שמירתן לפי ההחלטה.</t>
        </is>
      </c>
      <c r="D28" s="37" t="inlineStr">
        <is>
          <t>קומפ׳</t>
        </is>
      </c>
      <c r="E28" s="29" t="n">
        <v>1</v>
      </c>
      <c r="F28" s="23" t="n"/>
      <c r="G28" s="23">
        <f>IF(AND(ISNUMBER(E28),ISNUMBER(F28)),ROUND(E28*F28,2),"")</f>
        <v/>
      </c>
      <c r="H28" s="32" t="n"/>
      <c r="I28" s="32" t="n"/>
    </row>
    <row r="29" ht="53.25" customHeight="1">
      <c r="A29" s="36" t="inlineStr">
        <is>
          <t>02.14</t>
        </is>
      </c>
      <c r="B29" s="37" t="inlineStr">
        <is>
          <t>פירוק מעקה גרם המדרגות הפנימי</t>
        </is>
      </c>
      <c r="C29" s="38" t="inlineStr">
        <is>
          <t>פירוק זהיר ומבוקר של המעקה הקיים בגרם המדרגות הפנימי, בהתאם להנחיות הקונסטרוקטור ולאישורו בכתב. חיזוק גרם המדרגות מתואר בנפרד בפרק הבנייה.</t>
        </is>
      </c>
      <c r="D29" s="37" t="inlineStr">
        <is>
          <t>קומפ׳</t>
        </is>
      </c>
      <c r="E29" s="29" t="n">
        <v>1</v>
      </c>
      <c r="F29" s="23" t="n"/>
      <c r="G29" s="23">
        <f>IF(AND(ISNUMBER(E29),ISNUMBER(F29)),ROUND(E29*F29,2),"")</f>
        <v/>
      </c>
      <c r="H29" s="32" t="n"/>
      <c r="I29" s="32" t="n"/>
    </row>
    <row r="30" ht="75" customHeight="1">
      <c r="A30" s="36" t="inlineStr">
        <is>
          <t>02.15</t>
        </is>
      </c>
      <c r="B30" s="37" t="inlineStr">
        <is>
          <t>ניסור ופירוק מסגרות בטון דקורטיביות סביב חלונות</t>
        </is>
      </c>
      <c r="C30" s="38" t="inlineStr">
        <is>
          <t>ניסור ופירוק מבוקר של מסגרות הבטון הדקורטיביות סביב פתחי החלונות בחזיתות, בהתאם להנחיות ולאישור הקונסטרוקטור, עד להסרת הבליטות והכנת האזור להשלמת גמר חזית אחיד. עבודות הטיח והגמר מתוארות בפרק טיח החוץ.</t>
        </is>
      </c>
      <c r="D30" s="37" t="inlineStr">
        <is>
          <t>מטר</t>
        </is>
      </c>
      <c r="E30" s="28" t="n">
        <v>47.3</v>
      </c>
      <c r="F30" s="23" t="n"/>
      <c r="G30" s="23">
        <f>IF(AND(ISNUMBER(E30),ISNUMBER(F30)),ROUND(E30*F30,2),"")</f>
        <v/>
      </c>
      <c r="H30" s="32" t="n"/>
      <c r="I30" s="32" t="n"/>
    </row>
    <row r="31" ht="44.25" customHeight="1">
      <c r="A31" s="36" t="inlineStr">
        <is>
          <t>02.16</t>
        </is>
      </c>
      <c r="B31" s="37" t="inlineStr">
        <is>
          <t>מיון ופינוי פסולת לאתר מורשה</t>
        </is>
      </c>
      <c r="C31" s="38" t="inlineStr">
        <is>
          <t>מיון פסולת ההריסה והפירוק לפי סוגי החומרים, העמסה והובלה לאתר מורשה, לרבות מסירת אישורי הפינוי הנדרשים.</t>
        </is>
      </c>
      <c r="D31" s="37" t="inlineStr">
        <is>
          <t>קומפ׳</t>
        </is>
      </c>
      <c r="E31" s="28" t="n">
        <v>1</v>
      </c>
      <c r="F31" s="23" t="n">
        <v>0</v>
      </c>
      <c r="G31" s="23">
        <f>IF(AND(ISNUMBER(E31),ISNUMBER(F31)),ROUND(E31*F31,2),"")</f>
        <v/>
      </c>
      <c r="H31" s="32" t="n"/>
      <c r="I31" s="32" t="n"/>
    </row>
    <row r="32" ht="53.25" customHeight="1">
      <c r="A32" s="36" t="inlineStr">
        <is>
          <t>02.17</t>
        </is>
      </c>
      <c r="B32" s="37" t="inlineStr">
        <is>
          <t>ניקיון יסודי לאחר ההריסות</t>
        </is>
      </c>
      <c r="C32" s="38" t="inlineStr">
        <is>
          <t>ניקיון יסודי של שטחי ההריסה והפירוק לאחר השלמתם, הסרת שאריות וריכוז פסולת שנותרה, והכנת השטחים לתחילת עבודות הבנייה.</t>
        </is>
      </c>
      <c r="D32" s="37" t="inlineStr">
        <is>
          <t>קומפ׳</t>
        </is>
      </c>
      <c r="E32" s="28" t="n">
        <v>1</v>
      </c>
      <c r="F32" s="23" t="n">
        <v>0</v>
      </c>
      <c r="G32" s="23">
        <f>IF(AND(ISNUMBER(E32),ISNUMBER(F32)),ROUND(E32*F32,2),"")</f>
        <v/>
      </c>
      <c r="H32" s="32" t="n"/>
      <c r="I32" s="32" t="n"/>
    </row>
    <row r="33" ht="38.25" customHeight="1">
      <c r="A33" s="36" t="inlineStr">
        <is>
          <t>02.18</t>
        </is>
      </c>
      <c r="B33" s="37" t="inlineStr">
        <is>
          <t>פירוק פנלים קיימים בכל הבית</t>
        </is>
      </c>
      <c r="C33" s="38" t="inlineStr">
        <is>
          <t>פירוק פנלים קיימים בכל שטחי הבית, כולל ניקוי הקיר ושאריות הדבק, לפי הערות תוכניות ההריסה.</t>
        </is>
      </c>
      <c r="D33" s="37" t="inlineStr">
        <is>
          <t>קומפ׳</t>
        </is>
      </c>
      <c r="E33" s="28" t="n">
        <v>1</v>
      </c>
      <c r="F33" s="23" t="n"/>
      <c r="G33" s="23">
        <f>IF(AND(ISNUMBER(E33),ISNUMBER(F33)),ROUND(E33*F33,2),"")</f>
        <v/>
      </c>
      <c r="H33" s="32" t="n"/>
      <c r="I33" s="32" t="n"/>
    </row>
    <row r="34" ht="38.25" customHeight="1">
      <c r="A34" s="36" t="inlineStr">
        <is>
          <t>02.19</t>
        </is>
      </c>
      <c r="B34" s="37" t="inlineStr">
        <is>
          <t>פירוק רצפת גרנוליט בחניה, בכניסה ובשבילים</t>
        </is>
      </c>
      <c r="C34" s="38" t="inlineStr">
        <is>
          <t>פירוק רצפת גרנוליט ומצעה באזור החניה, הכניסה לבית והשבילים, כמפורט בתכולת פרק 2 בחוברת, לרבות ריכוז הפסולת.</t>
        </is>
      </c>
      <c r="D34" s="37" t="inlineStr">
        <is>
          <t>מ״ר</t>
        </is>
      </c>
      <c r="E34" s="29" t="n">
        <v>103.4</v>
      </c>
      <c r="F34" s="23" t="n">
        <v>0</v>
      </c>
      <c r="G34" s="23">
        <f>IF(AND(ISNUMBER(E34),ISNUMBER(F34)),ROUND(E34*F34,2),"")</f>
        <v/>
      </c>
      <c r="H34" s="32" t="n"/>
      <c r="I34" s="32" t="n"/>
    </row>
    <row r="35" ht="73.5" customHeight="1">
      <c r="A35" s="47" t="inlineStr">
        <is>
          <t>02.20</t>
        </is>
      </c>
      <c r="B35" s="48" t="inlineStr">
        <is>
          <t>פירוק מדרגות כניסה קיימות</t>
        </is>
      </c>
      <c r="C35" s="49" t="inlineStr">
        <is>
          <t>פירוק מדרגות הכניסה הקיימות, כולל חציבה, העמסה ופינוי הפסולת, לקראת ביצוע המדרגות המרחפות החדשות בכניסה ובתיאום עם הקונסטרוקטור.</t>
        </is>
      </c>
      <c r="D35" s="48" t="inlineStr">
        <is>
          <t>קומפ׳</t>
        </is>
      </c>
      <c r="E35" s="50" t="n">
        <v>1</v>
      </c>
      <c r="F35" s="51" t="n"/>
      <c r="G35" s="51">
        <f>IF(AND(ISNUMBER(E35),ISNUMBER(F35)),ROUND(E35*F35,2),"")</f>
        <v/>
      </c>
      <c r="H35" s="32" t="n"/>
      <c r="I35" s="32" t="n"/>
    </row>
    <row r="36">
      <c r="A36" s="52" t="inlineStr">
        <is>
          <t>סה״כ פרק 02 — הריסות, פירוקים ופינוי</t>
        </is>
      </c>
      <c r="B36" s="53" t="n"/>
      <c r="C36" s="53" t="n"/>
      <c r="D36" s="53" t="n"/>
      <c r="E36" s="53" t="n"/>
      <c r="F36" s="54" t="n"/>
      <c r="G36" s="55">
        <f>IF(COUNT(G16,G17,G18,G19,G20,G21,G22,G23,G24,G25,G26,G27,G28,G29,G30,G31,G32,G33,G34,G35)=0,"",SUM(G16,G17,G18,G19,G20,G21,G22,G23,G24,G25,G26,G27,G28,G29,G30,G31,G32,G33,G34,G35))</f>
        <v/>
      </c>
      <c r="H36" s="32" t="n"/>
      <c r="I36" s="32" t="n"/>
    </row>
    <row r="37">
      <c r="A37" s="32" t="n"/>
      <c r="B37" s="32" t="n"/>
      <c r="C37" s="32" t="n"/>
      <c r="D37" s="32" t="n"/>
      <c r="E37" s="32" t="n"/>
      <c r="F37" s="32" t="n"/>
      <c r="G37" s="32" t="n"/>
      <c r="H37" s="32" t="n"/>
      <c r="I37" s="32" t="n"/>
    </row>
    <row r="38" ht="15.75" customHeight="1">
      <c r="A38" s="18" t="inlineStr">
        <is>
          <t>פרק 03 — בנייה ותוספות מבניות</t>
        </is>
      </c>
      <c r="B38" s="45" t="n"/>
      <c r="C38" s="45" t="n"/>
      <c r="D38" s="45" t="n"/>
      <c r="E38" s="45" t="n"/>
      <c r="F38" s="45" t="n"/>
      <c r="G38" s="46" t="n"/>
      <c r="H38" s="32" t="n"/>
      <c r="I38" s="32" t="n"/>
    </row>
    <row r="39" ht="121.5" customHeight="1">
      <c r="A39" s="36" t="inlineStr">
        <is>
          <t>03.01</t>
        </is>
      </c>
      <c r="B39" s="37" t="inlineStr">
        <is>
          <t>הגדלת מרפסת הסלון ותוספת פרגולה</t>
        </is>
      </c>
      <c r="C39" s="38" t="inlineStr">
        <is>
          <t>ביצוע הגדלת מרפסת הסלון ותוספת הפרגולה, קומפלט בתחום העבודות המבניות ובהתאם לתוכניות ולמפרט הקונסטרוקטור, לרבות ביסוס, רכיבי בטון וזיון, שלד פלדה מפרופילי RHS, לוחות בסיס, עיגונים, חיבורים וריתוכים, ככל שנדרשים בתכנון. העבודה כוללת את הבדיקות, אישורי הביצוע ותוכנית העדות הנדרשים במפרט. עבודות האיטום והגמר יבוצעו במסגרת הפרקים הייעודיים.</t>
        </is>
      </c>
      <c r="D39" s="37" t="inlineStr">
        <is>
          <t>קומפ׳</t>
        </is>
      </c>
      <c r="E39" s="28" t="n">
        <v>1</v>
      </c>
      <c r="F39" s="23" t="n"/>
      <c r="G39" s="23">
        <f>IF(AND(ISNUMBER(E39),ISNUMBER(F39)),ROUND(E39*F39,2),"")</f>
        <v/>
      </c>
      <c r="H39" s="32" t="n"/>
      <c r="I39" s="32" t="n"/>
    </row>
    <row r="40" ht="104.25" customHeight="1">
      <c r="A40" s="36" t="inlineStr">
        <is>
          <t>03.02</t>
        </is>
      </c>
      <c r="B40" s="37" t="inlineStr">
        <is>
          <t>תוספת חדר בקומת הגלריה</t>
        </is>
      </c>
      <c r="C40" s="38" t="inlineStr">
        <is>
          <t>ביצוע העבודות המבניות לתוספת החדר בקומת הגלריה, קומפלט לפי תוכניות הקונסטרוקטור והאדריכלות, לרבות רכיבי השלד, החיבורים והעיגונים למבנה הקיים, פתחים והכנות מבניות למערכות, בהתאם לתכנון. העבודה כוללת בדיקות, אישורים ותוכנית עדות; גמרים ומערכות מפורטים בפרקים הייעודיים.</t>
        </is>
      </c>
      <c r="D40" s="37" t="inlineStr">
        <is>
          <t>קומפ׳</t>
        </is>
      </c>
      <c r="E40" s="28" t="n">
        <v>1</v>
      </c>
      <c r="F40" s="23" t="n"/>
      <c r="G40" s="23">
        <f>IF(AND(ISNUMBER(E40),ISNUMBER(F40)),ROUND(E40*F40,2),"")</f>
        <v/>
      </c>
      <c r="H40" s="32" t="n"/>
      <c r="I40" s="32" t="n"/>
    </row>
    <row r="41" ht="84" customHeight="1">
      <c r="A41" s="36" t="inlineStr">
        <is>
          <t>03.03</t>
        </is>
      </c>
      <c r="B41" s="37" t="inlineStr">
        <is>
          <t>כניסה חדשה וגרם מדרגות חדש</t>
        </is>
      </c>
      <c r="C41" s="38" t="inlineStr">
        <is>
          <t>ביצוע העבודות המבניות לכניסה החדשה ולגרם המדרגות החדש, קומפלט לפי תוכניות הקונסטרוקטור והאדריכלות, לרבות ביסוס, רכיבי השלד, זיון, יציקות, חיבורים ועיגונים, וכן אלמנטי מעקה ככל שנכללים בתכנון המבני. גמרים יבוצעו במסגרת הפרקים הייעודיים.</t>
        </is>
      </c>
      <c r="D41" s="37" t="inlineStr">
        <is>
          <t>קומפ׳</t>
        </is>
      </c>
      <c r="E41" s="28" t="n">
        <v>1</v>
      </c>
      <c r="F41" s="23" t="n"/>
      <c r="G41" s="23">
        <f>IF(AND(ISNUMBER(E41),ISNUMBER(F41)),ROUND(E41*F41,2),"")</f>
        <v/>
      </c>
      <c r="H41" s="32" t="n"/>
      <c r="I41" s="32" t="n"/>
    </row>
    <row r="42" ht="65.25" customHeight="1">
      <c r="A42" s="36" t="inlineStr">
        <is>
          <t>03.04</t>
        </is>
      </c>
      <c r="B42" s="37" t="inlineStr">
        <is>
          <t>חיזוק גרם המדרגות הפנימי הקיים</t>
        </is>
      </c>
      <c r="C42" s="38" t="inlineStr">
        <is>
          <t>חיזוק גרם המדרגות הפנימי לאחר פירוק המעקה הקיים, קומפלט לפי פרטי הקונסטרוקטור, לרבות רכיבי החיזוק, החיבורים והעיגונים המוגדרים בתכנון, בדיקות וקבלת אישור הקונסטרוקטור לביצוע.</t>
        </is>
      </c>
      <c r="D42" s="37" t="inlineStr">
        <is>
          <t>קומפ׳</t>
        </is>
      </c>
      <c r="E42" s="28" t="n">
        <v>1</v>
      </c>
      <c r="F42" s="23" t="n"/>
      <c r="G42" s="23">
        <f>IF(AND(ISNUMBER(E42),ISNUMBER(F42)),ROUND(E42*F42,2),"")</f>
        <v/>
      </c>
      <c r="H42" s="32" t="n"/>
      <c r="I42" s="32" t="n"/>
    </row>
    <row r="43" ht="154.5" customHeight="1">
      <c r="A43" s="47" t="inlineStr">
        <is>
          <t>03.05</t>
        </is>
      </c>
      <c r="B43" s="48" t="inlineStr">
        <is>
          <t>מדרגות כניסה מרחפות חדשות</t>
        </is>
      </c>
      <c r="C43" s="49" t="inlineStr">
        <is>
          <t>ביצוע 12 מדרגות מרחפות חדשות בכניסה לבית במקום המדרגות הקיימות, ברוחב של כ-1.15 מ׳ לכל מדרגה, כולל זיון, עיגונים לקיר או לשלד, הכנה לחיפוי ופרטי גמר, לפי תוכניות הקונסטרוקטור והאדריכלות. החיפוי מתומחר בסעיף 13.08. הכמות לפי מספור המדרגות בתוכנית הקרקע, והמידה הסופית לפי המדידה בשטח.</t>
        </is>
      </c>
      <c r="D43" s="48" t="inlineStr">
        <is>
          <t>יח׳</t>
        </is>
      </c>
      <c r="E43" s="50" t="n">
        <v>12</v>
      </c>
      <c r="F43" s="51" t="n"/>
      <c r="G43" s="51">
        <f>IF(AND(ISNUMBER(E43),ISNUMBER(F43)),ROUND(E43*F43,2),"")</f>
        <v/>
      </c>
      <c r="H43" s="32" t="n"/>
      <c r="I43" s="32" t="n"/>
    </row>
    <row r="44">
      <c r="A44" s="52" t="inlineStr">
        <is>
          <t>סה״כ פרק 03 — בנייה ותוספות מבניות</t>
        </is>
      </c>
      <c r="B44" s="53" t="n"/>
      <c r="C44" s="53" t="n"/>
      <c r="D44" s="53" t="n"/>
      <c r="E44" s="53" t="n"/>
      <c r="F44" s="54" t="n"/>
      <c r="G44" s="55">
        <f>IF(COUNT(G39,G40,G41,G42,G43)=0,"",SUM(G39,G40,G41,G42,G43))</f>
        <v/>
      </c>
      <c r="H44" s="32" t="n"/>
      <c r="I44" s="32" t="n"/>
    </row>
    <row r="45">
      <c r="A45" s="32" t="n"/>
      <c r="B45" s="32" t="n"/>
      <c r="C45" s="32" t="n"/>
      <c r="D45" s="32" t="n"/>
      <c r="E45" s="32" t="n"/>
      <c r="F45" s="32" t="n"/>
      <c r="G45" s="32" t="n"/>
      <c r="H45" s="32" t="n"/>
      <c r="I45" s="32" t="n"/>
    </row>
    <row r="46" ht="15.75" customHeight="1">
      <c r="A46" s="18" t="inlineStr">
        <is>
          <t>פרק 04 — חלוקה חדשה בקירות בלוקים</t>
        </is>
      </c>
      <c r="B46" s="45" t="n"/>
      <c r="C46" s="45" t="n"/>
      <c r="D46" s="45" t="n"/>
      <c r="E46" s="45" t="n"/>
      <c r="F46" s="45" t="n"/>
      <c r="G46" s="46" t="n"/>
      <c r="H46" s="32" t="n"/>
      <c r="I46" s="32" t="n"/>
    </row>
    <row r="47" ht="77.25" customHeight="1">
      <c r="A47" s="36" t="inlineStr">
        <is>
          <t>04.01</t>
        </is>
      </c>
      <c r="B47" s="37" t="inlineStr">
        <is>
          <t>קירות בלוקים במרתף</t>
        </is>
      </c>
      <c r="C47" s="38" t="inlineStr">
        <is>
          <t>בניית קירות בלוקים בעובי 20 ס״מ בקומת המרתף,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is>
      </c>
      <c r="D47" s="37" t="inlineStr">
        <is>
          <t>מ״ר</t>
        </is>
      </c>
      <c r="E47" s="28" t="n">
        <v>6.3</v>
      </c>
      <c r="F47" s="23" t="n">
        <v>480</v>
      </c>
      <c r="G47" s="23">
        <f>IF(AND(ISNUMBER(E47),ISNUMBER(F47)),ROUND(E47*F47,2),"")</f>
        <v/>
      </c>
      <c r="H47" s="32" t="n"/>
      <c r="I47" s="32" t="n"/>
    </row>
    <row r="48" ht="80.25" customHeight="1">
      <c r="A48" s="36" t="inlineStr">
        <is>
          <t>04.02</t>
        </is>
      </c>
      <c r="B48" s="37" t="inlineStr">
        <is>
          <t>קירות בלוקים בקומת הקרקע</t>
        </is>
      </c>
      <c r="C48" s="38" t="inlineStr">
        <is>
          <t>בניית קירות בלוקים בעובי 20 ס״מ בקומת הקרקע,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is>
      </c>
      <c r="D48" s="37" t="inlineStr">
        <is>
          <t>מ״ר</t>
        </is>
      </c>
      <c r="E48" s="28" t="n">
        <v>17.7</v>
      </c>
      <c r="F48" s="23" t="n">
        <v>480</v>
      </c>
      <c r="G48" s="23">
        <f>IF(AND(ISNUMBER(E48),ISNUMBER(F48)),ROUND(E48*F48,2),"")</f>
        <v/>
      </c>
      <c r="H48" s="32" t="n"/>
      <c r="I48" s="32" t="n"/>
    </row>
    <row r="49" ht="78.75" customHeight="1">
      <c r="A49" s="36" t="inlineStr">
        <is>
          <t>04.03</t>
        </is>
      </c>
      <c r="B49" s="37" t="inlineStr">
        <is>
          <t>קירות בלוקים בקומה א׳ ובגלריה</t>
        </is>
      </c>
      <c r="C49" s="38" t="inlineStr">
        <is>
          <t>בניית קירות בלוקים בעובי 20 ס״מ בקומה א׳ ובגלריה,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is>
      </c>
      <c r="D49" s="37" t="inlineStr">
        <is>
          <t>מ״ר</t>
        </is>
      </c>
      <c r="E49" s="28" t="n">
        <v>2.08</v>
      </c>
      <c r="F49" s="23" t="n">
        <v>480</v>
      </c>
      <c r="G49" s="23">
        <f>IF(AND(ISNUMBER(E49),ISNUMBER(F49)),ROUND(E49*F49,2),"")</f>
        <v/>
      </c>
      <c r="H49" s="32" t="n"/>
      <c r="I49" s="32" t="n"/>
    </row>
    <row r="50">
      <c r="A50" s="15" t="inlineStr">
        <is>
          <t>סה״כ פרק 04 — חלוקה חדשה בקירות בלוקים</t>
        </is>
      </c>
      <c r="B50" s="45" t="n"/>
      <c r="C50" s="45" t="n"/>
      <c r="D50" s="45" t="n"/>
      <c r="E50" s="45" t="n"/>
      <c r="F50" s="46" t="n"/>
      <c r="G50" s="9">
        <f>IF(COUNT(G47,G48,G49)=0,"",SUM(G47,G48,G49))</f>
        <v/>
      </c>
      <c r="H50" s="32" t="n"/>
      <c r="I50" s="32" t="n"/>
    </row>
    <row r="51">
      <c r="A51" s="32" t="n"/>
      <c r="B51" s="32" t="n"/>
      <c r="C51" s="32" t="n"/>
      <c r="D51" s="32" t="n"/>
      <c r="E51" s="32" t="n"/>
      <c r="F51" s="32" t="n"/>
      <c r="G51" s="32" t="n"/>
      <c r="H51" s="32" t="n"/>
      <c r="I51" s="32" t="n"/>
    </row>
    <row r="52" ht="15.75" customHeight="1">
      <c r="A52" s="18" t="inlineStr">
        <is>
          <t>פרק 05 — אינסטלציה, התקנת כלים סניטריים וברזים</t>
        </is>
      </c>
      <c r="B52" s="45" t="n"/>
      <c r="C52" s="45" t="n"/>
      <c r="D52" s="45" t="n"/>
      <c r="E52" s="45" t="n"/>
      <c r="F52" s="45" t="n"/>
      <c r="G52" s="46" t="n"/>
      <c r="H52" s="32" t="n"/>
      <c r="I52" s="32" t="n"/>
    </row>
    <row r="53" ht="65.25" customHeight="1">
      <c r="A53" s="36" t="inlineStr">
        <is>
          <t>05.01</t>
        </is>
      </c>
      <c r="B53" s="37" t="inlineStr">
        <is>
          <t>התקנת אסלה תלויה</t>
        </is>
      </c>
      <c r="C53" s="38" t="inlineStr">
        <is>
          <t>התקנת אסלה תלויה במיקום המתוכנן, לרבות קיבוע למערכת הנשיאה, חיבור למערכת ההדחה והביוב, אטימת החיבורים ובדיקת יציבות ותפקוד. מכל ההדחה, הלחצן והמושב מתוארים בנפרד.</t>
        </is>
      </c>
      <c r="D53" s="37" t="inlineStr">
        <is>
          <t>יח׳</t>
        </is>
      </c>
      <c r="E53" s="28">
        <f>'[1]חישובי כמויות'!G8</f>
        <v/>
      </c>
      <c r="F53" s="23" t="n">
        <v>380</v>
      </c>
      <c r="G53" s="23">
        <f>IF(AND(ISNUMBER(E53),ISNUMBER(F53)),ROUND(E53*F53,2),"")</f>
        <v/>
      </c>
      <c r="H53" s="32" t="n"/>
      <c r="I53" s="32" t="n"/>
    </row>
    <row r="54" ht="68.25" customHeight="1">
      <c r="A54" s="36" t="inlineStr">
        <is>
          <t>05.02</t>
        </is>
      </c>
      <c r="B54" s="37" t="inlineStr">
        <is>
          <t>התקנת מכל הדחה סמוי</t>
        </is>
      </c>
      <c r="C54" s="38" t="inlineStr">
        <is>
          <t>התקנת מכל הדחה סמוי ומערכת הנשיאה הנלווית לפי המוצר שנבחר, לרבות עיגון, חיבור למים ולאסלה, התאמת מיקום פתח השירות ובדיקת אטימות ותפקוד לפני סגירת החיפוי. כולל יציקת בטון למיכל ההדחה</t>
        </is>
      </c>
      <c r="D54" s="37" t="inlineStr">
        <is>
          <t>יח׳</t>
        </is>
      </c>
      <c r="E54" s="28">
        <f>'[1]חישובי כמויות'!G8</f>
        <v/>
      </c>
      <c r="F54" s="23" t="n">
        <v>1250</v>
      </c>
      <c r="G54" s="23">
        <f>IF(AND(ISNUMBER(E54),ISNUMBER(F54)),ROUND(E54*F54,2),"")</f>
        <v/>
      </c>
      <c r="H54" s="32" t="n"/>
      <c r="I54" s="32" t="n"/>
    </row>
    <row r="55" ht="38.25" customHeight="1">
      <c r="A55" s="36" t="inlineStr">
        <is>
          <t>05.03</t>
        </is>
      </c>
      <c r="B55" s="37" t="inlineStr">
        <is>
          <t>התקנת לחצן הדחה</t>
        </is>
      </c>
      <c r="C55" s="38" t="inlineStr">
        <is>
          <t>התקנת לחצן הדחה התואם למכל הסמוי, התאמתו למישור הגמר ובדיקת פעולת מנגנון ההדחה.</t>
        </is>
      </c>
      <c r="D55" s="37" t="inlineStr">
        <is>
          <t>יח׳</t>
        </is>
      </c>
      <c r="E55" s="28">
        <f>'[1]חישובי כמויות'!G8</f>
        <v/>
      </c>
      <c r="F55" s="23" t="n">
        <v>50</v>
      </c>
      <c r="G55" s="23">
        <f>IF(AND(ISNUMBER(E55),ISNUMBER(F55)),ROUND(E55*F55,2),"")</f>
        <v/>
      </c>
      <c r="H55" s="32" t="n"/>
      <c r="I55" s="32" t="n"/>
    </row>
    <row r="56" ht="48.75" customHeight="1">
      <c r="A56" s="36" t="inlineStr">
        <is>
          <t>05.04</t>
        </is>
      </c>
      <c r="B56" s="37" t="inlineStr">
        <is>
          <t>התקנת מושב אסלה הידראולי</t>
        </is>
      </c>
      <c r="C56" s="38" t="inlineStr">
        <is>
          <t>התקנת מושב אסלה בעל מנגנון סגירה הידראולי, התואם לדגם האסלה, לרבות קיבוע, כיוון ובדיקת פעולת המנגנון.</t>
        </is>
      </c>
      <c r="D56" s="37" t="inlineStr">
        <is>
          <t>יח׳</t>
        </is>
      </c>
      <c r="E56" s="28">
        <f>'[1]חישובי כמויות'!G8</f>
        <v/>
      </c>
      <c r="F56" s="23" t="n">
        <v>50</v>
      </c>
      <c r="G56" s="23">
        <f>IF(AND(ISNUMBER(E56),ISNUMBER(F56)),ROUND(E56*F56,2),"")</f>
        <v/>
      </c>
      <c r="H56" s="32" t="n"/>
      <c r="I56" s="32" t="n"/>
    </row>
    <row r="57" ht="38.25" customHeight="1">
      <c r="A57" s="36" t="inlineStr">
        <is>
          <t>05.05</t>
        </is>
      </c>
      <c r="B57" s="37" t="inlineStr">
        <is>
          <t>התקנת כיור עומד</t>
        </is>
      </c>
      <c r="C57" s="38" t="inlineStr">
        <is>
          <t>התקנת כיור עומד לפי הדגם שנבחר, לרבות העמדה וקיבוע בהתאם להוראות היצרן, חיבור לניקוז ואטימת המפגשים הנדרשים.</t>
        </is>
      </c>
      <c r="D57" s="37" t="inlineStr">
        <is>
          <t>יח׳</t>
        </is>
      </c>
      <c r="E57" s="28">
        <f>'[1]חישובי כמויות'!G13</f>
        <v/>
      </c>
      <c r="F57" s="23" t="n">
        <v>270</v>
      </c>
      <c r="G57" s="23">
        <f>IF(AND(ISNUMBER(E57),ISNUMBER(F57)),ROUND(E57*F57,2),"")</f>
        <v/>
      </c>
      <c r="H57" s="32" t="n"/>
      <c r="I57" s="32" t="n"/>
    </row>
    <row r="58" ht="38.25" customHeight="1">
      <c r="A58" s="36" t="inlineStr">
        <is>
          <t>05.06</t>
        </is>
      </c>
      <c r="B58" s="37" t="inlineStr">
        <is>
          <t>התקנת ברז קיר</t>
        </is>
      </c>
      <c r="C58" s="38" t="inlineStr">
        <is>
          <t>התקנת ברז קיר במיקום ובגובה המתוכננים, לרבות חיבור לנקודות המים, התאמה לעומק הגמר, אטימת החיבורים ובדיקת פעולה.</t>
        </is>
      </c>
      <c r="D58" s="37" t="inlineStr">
        <is>
          <t>יח׳</t>
        </is>
      </c>
      <c r="E58" s="28" t="n">
        <v>6</v>
      </c>
      <c r="F58" s="23" t="n">
        <v>400</v>
      </c>
      <c r="G58" s="23">
        <f>IF(AND(ISNUMBER(E58),ISNUMBER(F58)),ROUND(E58*F58,2),"")</f>
        <v/>
      </c>
      <c r="H58" s="32" t="n"/>
      <c r="I58" s="32" t="n"/>
    </row>
    <row r="59" ht="38.25" customHeight="1">
      <c r="A59" s="36" t="inlineStr">
        <is>
          <t>05.07</t>
        </is>
      </c>
      <c r="B59" s="37" t="inlineStr">
        <is>
          <t>התקנת ראש גשם</t>
        </is>
      </c>
      <c r="C59" s="38" t="inlineStr">
        <is>
          <t>התקנת ראש גשם ורכיב החיבור התואם למוצר שנבחר, לרבות חיבור לנקודת המים, קיבוע ובדיקת זרימה ואטימות.</t>
        </is>
      </c>
      <c r="D59" s="37" t="inlineStr">
        <is>
          <t>יח׳</t>
        </is>
      </c>
      <c r="E59" s="28" t="n">
        <v>6</v>
      </c>
      <c r="F59" s="23" t="n">
        <v>290</v>
      </c>
      <c r="G59" s="23">
        <f>IF(AND(ISNUMBER(E59),ISNUMBER(F59)),ROUND(E59*F59,2),"")</f>
        <v/>
      </c>
      <c r="H59" s="32" t="n"/>
      <c r="I59" s="32" t="n"/>
    </row>
    <row r="60" ht="63.75" customHeight="1">
      <c r="A60" s="36" t="inlineStr">
        <is>
          <t>05.08</t>
        </is>
      </c>
      <c r="B60" s="37" t="inlineStr">
        <is>
          <t>התקנת אינטרפוץ תלת־דרכי</t>
        </is>
      </c>
      <c r="C60" s="38" t="inlineStr">
        <is>
          <t>התקנת מערכת אינטרפוץ תלת־דרכית, לרבות הגוף הסמוי ורכיבי הגמר של המוצר שנבחר, חיבור לקווי המים וליציאות המתוכננות, התאמת עומק ההתקנה ובדיקת אטימות ותפקוד לפני סגירה ובגמר ההתקנה.</t>
        </is>
      </c>
      <c r="D60" s="37" t="inlineStr">
        <is>
          <t>יח׳</t>
        </is>
      </c>
      <c r="E60" s="28" t="n">
        <v>10</v>
      </c>
      <c r="F60" s="23" t="n">
        <v>1800</v>
      </c>
      <c r="G60" s="23">
        <f>IF(AND(ISNUMBER(E60),ISNUMBER(F60)),ROUND(E60*F60,2),"")</f>
        <v/>
      </c>
      <c r="H60" s="32" t="n"/>
      <c r="I60" s="32" t="n"/>
    </row>
    <row r="61" ht="73.5" customHeight="1">
      <c r="A61" s="36" t="inlineStr">
        <is>
          <t>05.09</t>
        </is>
      </c>
      <c r="B61" s="37" t="inlineStr">
        <is>
          <t>התקנת אינטרפוץ ארבע־דרכי</t>
        </is>
      </c>
      <c r="C61" s="38" t="inlineStr">
        <is>
          <t>התקנת מערכת אינטרפוץ ארבע־דרכית, לרבות הגוף הסמוי ורכיבי הגמר של המוצר שנבחר, חיבור לקווי המים וליציאות המתוכננות, התאמת עומק ההתקנה ובדיקת אטימות ותפקוד לפני סגירה ובגמר ההתקנה.</t>
        </is>
      </c>
      <c r="D61" s="37" t="inlineStr">
        <is>
          <t>יח׳</t>
        </is>
      </c>
      <c r="E61" s="28" t="n">
        <v>2</v>
      </c>
      <c r="F61" s="23" t="n">
        <v>2200</v>
      </c>
      <c r="G61" s="23">
        <f>IF(AND(ISNUMBER(E61),ISNUMBER(F61)),ROUND(E61*F61,2),"")</f>
        <v/>
      </c>
      <c r="H61" s="32" t="n"/>
      <c r="I61" s="32" t="n"/>
    </row>
    <row r="62" ht="38.25" customHeight="1">
      <c r="A62" s="36" t="inlineStr">
        <is>
          <t>05.10</t>
        </is>
      </c>
      <c r="B62" s="37" t="inlineStr">
        <is>
          <t>התקנת מאחז מזלף</t>
        </is>
      </c>
      <c r="C62" s="38" t="inlineStr">
        <is>
          <t>התקנת מאחז מזלף במיקום המתוכנן, לרבות קיבוע לתשתית ואטימת נקודות העיגון באזור הרטוב.</t>
        </is>
      </c>
      <c r="D62" s="37" t="inlineStr">
        <is>
          <t>יח׳</t>
        </is>
      </c>
      <c r="E62" s="28" t="n">
        <v>7</v>
      </c>
      <c r="F62" s="23" t="n">
        <v>320</v>
      </c>
      <c r="G62" s="23">
        <f>IF(AND(ISNUMBER(E62),ISNUMBER(F62)),ROUND(E62*F62,2),"")</f>
        <v/>
      </c>
      <c r="H62" s="32" t="n"/>
      <c r="I62" s="32" t="n"/>
    </row>
    <row r="63" ht="63.75" customHeight="1">
      <c r="A63" s="36" t="inlineStr">
        <is>
          <t>05.11</t>
        </is>
      </c>
      <c r="B63" s="37" t="inlineStr">
        <is>
          <t xml:space="preserve">התקנת אביזר ניקוז המסומן 10/10 למקלחונים </t>
        </is>
      </c>
      <c r="C63" s="38" t="inlineStr">
        <is>
          <t>התקנת אביזר הניקוז המסומן במקור „תעלת ניקוז 10/10”, לרבות חיבור למערכת הניקוז, התאמה למפלס הריצוף ושילוב אטום עם מערכת האיטום. סוג האביזר המדויק ייקבע לפי התוכנית והמוצר המאושר.</t>
        </is>
      </c>
      <c r="D63" s="37" t="inlineStr">
        <is>
          <t>יח׳</t>
        </is>
      </c>
      <c r="E63" s="28" t="n">
        <v>5</v>
      </c>
      <c r="F63" s="23" t="n">
        <v>850</v>
      </c>
      <c r="G63" s="23">
        <f>IF(AND(ISNUMBER(E63),ISNUMBER(F63)),ROUND(E63*F63,2),"")</f>
        <v/>
      </c>
      <c r="H63" s="32" t="n"/>
      <c r="I63" s="32" t="n"/>
    </row>
    <row r="64" ht="63.75" customHeight="1">
      <c r="A64" s="36" t="inlineStr">
        <is>
          <t>05.12</t>
        </is>
      </c>
      <c r="B64" s="37" t="inlineStr">
        <is>
          <t xml:space="preserve">התקנת תעלת גלישה המסומנת 110 לאמבטיה </t>
        </is>
      </c>
      <c r="C64" s="38" t="inlineStr">
        <is>
          <t>התקנת תעלת הגלישה המסומנת במקור „110”, לרבות העמדה במיקום המתוכנן, חיבור לניקוז, התאמה למפלסי הגמר ושילוב עם מערכת האיטום, בהתאם לפרט ולמוצר שנבחר.</t>
        </is>
      </c>
      <c r="D64" s="37" t="inlineStr">
        <is>
          <t>יח׳</t>
        </is>
      </c>
      <c r="E64" s="28" t="n">
        <v>1</v>
      </c>
      <c r="F64" s="23" t="n"/>
      <c r="G64" s="23">
        <f>IF(AND(ISNUMBER(E64),ISNUMBER(F64)),ROUND(E64*F64,2),"")</f>
        <v/>
      </c>
      <c r="H64" s="32" t="n"/>
      <c r="I64" s="32" t="n"/>
    </row>
    <row r="65" ht="51" customHeight="1">
      <c r="A65" s="36" t="inlineStr">
        <is>
          <t>05.13</t>
        </is>
      </c>
      <c r="B65" s="37" t="inlineStr">
        <is>
          <t>התקנת אמבטיה עצמאית</t>
        </is>
      </c>
      <c r="C65" s="38" t="inlineStr">
        <is>
          <t>התקנת אמבטיה עצמאית מסוג Free Standing, לרבות העמדה במיקום המתוכנן, התאמת מפלס, חיבור לניקוז ובדיקת אטימות. ברז המילוי מתואר בנפרד.</t>
        </is>
      </c>
      <c r="D65" s="37" t="inlineStr">
        <is>
          <t>יח׳</t>
        </is>
      </c>
      <c r="E65" s="28">
        <f>'[1]חישובי כמויות'!G21</f>
        <v/>
      </c>
      <c r="F65" s="23" t="n"/>
      <c r="G65" s="23">
        <f>IF(AND(ISNUMBER(E65),ISNUMBER(F65)),ROUND(E65*F65,2),"")</f>
        <v/>
      </c>
      <c r="H65" s="32" t="n"/>
      <c r="I65" s="32" t="n"/>
    </row>
    <row r="66" ht="38.25" customHeight="1">
      <c r="A66" s="36" t="inlineStr">
        <is>
          <t>05.15</t>
        </is>
      </c>
      <c r="B66" s="37" t="inlineStr">
        <is>
          <t>התקנת ברז מילוי לאמבטיה</t>
        </is>
      </c>
      <c r="C66" s="38" t="inlineStr">
        <is>
          <t>התקנת ברז מילוי אמבטיה לפי הדגם ושיטת ההתקנה שנבחרו, לרבות חיבור למים, קיבוע, אטימת החיבורים ובדיקת פעולה.</t>
        </is>
      </c>
      <c r="D66" s="37" t="inlineStr">
        <is>
          <t>יח׳</t>
        </is>
      </c>
      <c r="E66" s="28" t="n">
        <v>1</v>
      </c>
      <c r="F66" s="23" t="n">
        <v>400</v>
      </c>
      <c r="G66" s="23">
        <f>IF(AND(ISNUMBER(E66),ISNUMBER(F66)),ROUND(E66*F66,2),"")</f>
        <v/>
      </c>
      <c r="H66" s="32" t="n"/>
      <c r="I66" s="32" t="n"/>
    </row>
    <row r="67" ht="51" customHeight="1">
      <c r="A67" s="36" t="inlineStr">
        <is>
          <t>05.16</t>
        </is>
      </c>
      <c r="B67" s="37" t="inlineStr">
        <is>
          <t>התקנת כיור מטבח</t>
        </is>
      </c>
      <c r="C67" s="38" t="inlineStr">
        <is>
          <t>התקנת כיור מטבח לפי הדגם ושיטת ההתקנה שנבחרו, בתיאום עם ספק משטח העבודה, לרבות קיבוע, אטימת המפגש וחיבור לניקוז. ברז המטבח מתואר בנפרד.</t>
        </is>
      </c>
      <c r="D67" s="37" t="inlineStr">
        <is>
          <t>יח׳</t>
        </is>
      </c>
      <c r="E67" s="28">
        <f>'[1]חישובי כמויות'!G18</f>
        <v/>
      </c>
      <c r="F67" s="34" t="inlineStr">
        <is>
          <t xml:space="preserve">כיור מותקן ע"י ספק השיש  </t>
        </is>
      </c>
      <c r="G67" s="23" t="n">
        <v>0</v>
      </c>
      <c r="H67" s="32" t="n"/>
      <c r="I67" s="32" t="n"/>
    </row>
    <row r="68" ht="38.25" customHeight="1">
      <c r="A68" s="36" t="inlineStr">
        <is>
          <t>05.17</t>
        </is>
      </c>
      <c r="B68" s="37" t="inlineStr">
        <is>
          <t>התקנת ברז מטבח פרח נשלף</t>
        </is>
      </c>
      <c r="C68" s="38" t="inlineStr">
        <is>
          <t>התקנת ברז מטבח מסוג פרח בעל פייה נשלפת, לרבות קיבוע, חיבור למים, התקנת רכיבי מנגנון השליפה ובדיקת תפקוד ואטימות.</t>
        </is>
      </c>
      <c r="D68" s="37" t="inlineStr">
        <is>
          <t>יח׳</t>
        </is>
      </c>
      <c r="E68" s="28">
        <f>'[1]חישובי כמויות'!G18+'[1]חישובי כמויות'!G19</f>
        <v/>
      </c>
      <c r="F68" s="23" t="n">
        <v>400</v>
      </c>
      <c r="G68" s="23">
        <f>IF(AND(ISNUMBER(E68),ISNUMBER(F68)),ROUND(E68*F68,2),"")</f>
        <v/>
      </c>
      <c r="H68" s="32" t="n"/>
      <c r="I68" s="32" t="n"/>
    </row>
    <row r="69" ht="38.25" customHeight="1">
      <c r="A69" s="36" t="inlineStr">
        <is>
          <t>05.18</t>
        </is>
      </c>
      <c r="B69" s="37" t="inlineStr">
        <is>
          <t>התקנת כיור במטבח חוץ</t>
        </is>
      </c>
      <c r="C69" s="38" t="inlineStr">
        <is>
          <t>התקנת כיור במטבח החוץ, לפי הדגם שנבחר ובתיאום עם משטח העבודה, לרבות קיבוע, איטום וחיבור לניקוז.</t>
        </is>
      </c>
      <c r="D69" s="37" t="inlineStr">
        <is>
          <t>יח׳</t>
        </is>
      </c>
      <c r="E69" s="28">
        <f>'[1]חישובי כמויות'!G20</f>
        <v/>
      </c>
      <c r="F69" s="34" t="inlineStr">
        <is>
          <t xml:space="preserve">כיור מותקן ע"י ספק השיש  </t>
        </is>
      </c>
      <c r="G69" s="23" t="n">
        <v>0</v>
      </c>
      <c r="H69" s="32" t="n"/>
      <c r="I69" s="32" t="n"/>
    </row>
    <row r="70" ht="38.25" customHeight="1">
      <c r="A70" s="36" t="inlineStr">
        <is>
          <t>05.19</t>
        </is>
      </c>
      <c r="B70" s="37" t="inlineStr">
        <is>
          <t>התקנת ברז פרח נשלף במטבח חוץ</t>
        </is>
      </c>
      <c r="C70" s="38" t="inlineStr">
        <is>
          <t>התקנת ברז פרח נשלף במטבח החוץ, לרבות קיבוע, חיבור למים ובדיקת תפקוד ואטימות, בהתאם למוצר שנבחר.</t>
        </is>
      </c>
      <c r="D70" s="37" t="inlineStr">
        <is>
          <t>יח׳</t>
        </is>
      </c>
      <c r="E70" s="28">
        <f>'[1]חישובי כמויות'!G20</f>
        <v/>
      </c>
      <c r="F70" s="23" t="n">
        <v>400</v>
      </c>
      <c r="G70" s="23">
        <f>IF(AND(ISNUMBER(E70),ISNUMBER(F70)),ROUND(E70*F70,2),"")</f>
        <v/>
      </c>
      <c r="H70" s="32" t="n"/>
      <c r="I70" s="32" t="n"/>
    </row>
    <row r="71" ht="51" customHeight="1">
      <c r="A71" s="36" t="inlineStr">
        <is>
          <t>05.20</t>
        </is>
      </c>
      <c r="B71" s="37" t="inlineStr">
        <is>
          <t>התקנת כיור מונח או שוקת בשירותי אורחים</t>
        </is>
      </c>
      <c r="C71" s="38" t="inlineStr">
        <is>
          <t>התקנת כיור מונח או שוקת בשירותי האורחים, בהתאם לבחירה המאושרת, לרבות העמדה, קיבוע, אטימת המפגש עם המשטח וחיבור לניקוז.</t>
        </is>
      </c>
      <c r="D71" s="37" t="inlineStr">
        <is>
          <t>יח׳</t>
        </is>
      </c>
      <c r="E71" s="28">
        <f>'[1]חישובי כמויות'!G14</f>
        <v/>
      </c>
      <c r="F71" s="23" t="n"/>
      <c r="G71" s="23">
        <f>IF(AND(ISNUMBER(E71),ISNUMBER(F71)),ROUND(E71*F71,2),"")</f>
        <v/>
      </c>
      <c r="H71" s="32" t="n"/>
      <c r="I71" s="32" t="n"/>
    </row>
    <row r="72" ht="38.25" customHeight="1">
      <c r="A72" s="36" t="inlineStr">
        <is>
          <t>05.21</t>
        </is>
      </c>
      <c r="B72" s="37" t="inlineStr">
        <is>
          <t>התקנת ברז ניל</t>
        </is>
      </c>
      <c r="C72" s="38" t="inlineStr">
        <is>
          <t>התקנת ברז ניל בנקודת המים המיועדת, לרבות אטימת החיבור ובדיקת תקינות ויכולת סגירה.</t>
        </is>
      </c>
      <c r="D72" s="37" t="inlineStr">
        <is>
          <t>יח׳</t>
        </is>
      </c>
      <c r="E72" s="28" t="n">
        <v>11</v>
      </c>
      <c r="F72" s="23" t="n">
        <v>85</v>
      </c>
      <c r="G72" s="23">
        <f>IF(AND(ISNUMBER(E72),ISNUMBER(F72)),ROUND(E72*F72,2),"")</f>
        <v/>
      </c>
      <c r="H72" s="32" t="n"/>
      <c r="I72" s="32" t="n"/>
    </row>
    <row r="73" ht="63.75" customHeight="1">
      <c r="A73" s="36" t="inlineStr">
        <is>
          <t>05.22</t>
        </is>
      </c>
      <c r="B73" s="37" t="inlineStr">
        <is>
          <t>התקנת ברז פרח וארון רחצה – מכלול</t>
        </is>
      </c>
      <c r="C73" s="38" t="inlineStr">
        <is>
          <t>התקנת מכלול "ברז פרח + ארון קומפלט": העמדה, פילוס וקיבוע הארון לפי הוראות הספק, התקנת הברז, חיבור למים ובדיקת תפקוד. תכולת המכלול המדויקת טעונה אישור לפני תמחור.</t>
        </is>
      </c>
      <c r="D73" s="37" t="inlineStr">
        <is>
          <t>יח׳</t>
        </is>
      </c>
      <c r="E73" s="28" t="n">
        <v>1</v>
      </c>
      <c r="F73" s="23" t="n"/>
      <c r="G73" s="23">
        <f>IF(AND(ISNUMBER(E73),ISNUMBER(F73)),ROUND(E73*F73,2),"")</f>
        <v/>
      </c>
      <c r="H73" s="32" t="n"/>
      <c r="I73" s="32" t="n"/>
    </row>
    <row r="74" ht="51" customHeight="1">
      <c r="A74" s="36" t="inlineStr">
        <is>
          <t>05.23</t>
        </is>
      </c>
      <c r="B74" s="37" t="inlineStr">
        <is>
          <t>התקנת תעלת גלישה חיצונית המסומנת 60</t>
        </is>
      </c>
      <c r="C74" s="38" t="inlineStr">
        <is>
          <t>התקנת תעלת הגלישה החיצונית המסומנת במקור „60”, לרבות חיבור לניקוז, התאמה למפלסי הגמר ושילוב אטום עם התשתית, בהתאם לתוכנית ולמוצר המאושר.</t>
        </is>
      </c>
      <c r="D74" s="37" t="inlineStr">
        <is>
          <t>יח׳</t>
        </is>
      </c>
      <c r="E74" s="28" t="n">
        <v>1</v>
      </c>
      <c r="F74" s="23" t="n"/>
      <c r="G74" s="23">
        <f>IF(AND(ISNUMBER(E74),ISNUMBER(F74)),ROUND(E74*F74,2),"")</f>
        <v/>
      </c>
      <c r="H74" s="32" t="n"/>
      <c r="I74" s="32" t="n"/>
    </row>
    <row r="75" ht="38.25" customHeight="1">
      <c r="A75" s="36" t="inlineStr">
        <is>
          <t>05.24</t>
        </is>
      </c>
      <c r="B75" s="37" t="inlineStr">
        <is>
          <t>התקנת כיור בר</t>
        </is>
      </c>
      <c r="C75" s="38" t="inlineStr">
        <is>
          <t>התקנת כיור בר במיקום המתוכנן, לרבות קיבוע, איטום המפגש עם המשטח וחיבור לניקוז, בתיאום עם ספק המשטח או הנגרות.</t>
        </is>
      </c>
      <c r="D75" s="37" t="inlineStr">
        <is>
          <t>יח׳</t>
        </is>
      </c>
      <c r="E75" s="28">
        <f>'[1]חישובי כמויות'!G19</f>
        <v/>
      </c>
      <c r="F75" s="23" t="n"/>
      <c r="G75" s="23">
        <f>IF(AND(ISNUMBER(E75),ISNUMBER(F75)),ROUND(E75*F75,2),"")</f>
        <v/>
      </c>
      <c r="H75" s="32" t="n"/>
      <c r="I75" s="32" t="n"/>
    </row>
    <row r="76" ht="38.25" customHeight="1">
      <c r="A76" s="36" t="inlineStr">
        <is>
          <t>05.25</t>
        </is>
      </c>
      <c r="B76" s="37" t="inlineStr">
        <is>
          <t>נקודת מים חמים וקרים לברז או סוללה</t>
        </is>
      </c>
      <c r="C76" s="38" t="inlineStr">
        <is>
          <t>נקודת מים חמים וקרים ממערכת אחידה, מהרכזת הקומתית ועד היציאה בקיר, כולל מעברים, שרוולים, ברז ניל ובדיקת לחץ.</t>
        </is>
      </c>
      <c r="D76" s="37" t="inlineStr">
        <is>
          <t>נק׳</t>
        </is>
      </c>
      <c r="E76" s="29" t="n">
        <v>23</v>
      </c>
      <c r="F76" s="23" t="n">
        <v>1500</v>
      </c>
      <c r="G76" s="23">
        <f>IF(AND(ISNUMBER(E76),ISNUMBER(F76)),ROUND(E76*F76,2),"")</f>
        <v/>
      </c>
      <c r="H76" s="32" t="n"/>
      <c r="I76" s="32" t="n"/>
    </row>
    <row r="77" ht="25.5" customHeight="1">
      <c r="A77" s="36" t="inlineStr">
        <is>
          <t>05.26</t>
        </is>
      </c>
      <c r="B77" s="37" t="inlineStr">
        <is>
          <t>נקודת מים קרים למכל הדחה</t>
        </is>
      </c>
      <c r="C77" s="38" t="inlineStr">
        <is>
          <t>נקודת מים קרים   למכל הדחה סמוי, כולל ברז ניל ובדיקת לחץ.</t>
        </is>
      </c>
      <c r="D77" s="37" t="inlineStr">
        <is>
          <t>נק׳</t>
        </is>
      </c>
      <c r="E77" s="28">
        <f>'[1]חישובי כמויות'!G8</f>
        <v/>
      </c>
      <c r="F77" s="23" t="n">
        <v>750</v>
      </c>
      <c r="G77" s="23">
        <f>IF(AND(ISNUMBER(E77),ISNUMBER(F77)),ROUND(E77*F77,2),"")</f>
        <v/>
      </c>
      <c r="H77" s="32" t="n"/>
      <c r="I77" s="32" t="n"/>
    </row>
    <row r="78" ht="38.25" customHeight="1">
      <c r="A78" s="36" t="inlineStr">
        <is>
          <t>05.27</t>
        </is>
      </c>
      <c r="B78" s="37" t="inlineStr">
        <is>
          <t>נקודת ביוב לאסלה</t>
        </is>
      </c>
      <c r="C78" s="38" t="inlineStr">
        <is>
          <t>נקודת ביוב 110 מ״מ לאסלה תלויה, כולל חיבור לקו הביוב בשיפוע תקני ובדיקת אטימות.</t>
        </is>
      </c>
      <c r="D78" s="37" t="inlineStr">
        <is>
          <t>נק׳</t>
        </is>
      </c>
      <c r="E78" s="28">
        <f>'[1]חישובי כמויות'!G8</f>
        <v/>
      </c>
      <c r="F78" s="23" t="n">
        <v>950</v>
      </c>
      <c r="G78" s="23">
        <f>IF(AND(ISNUMBER(E78),ISNUMBER(F78)),ROUND(E78*F78,2),"")</f>
        <v/>
      </c>
      <c r="H78" s="32" t="n"/>
      <c r="I78" s="32" t="n"/>
    </row>
    <row r="79" ht="38.25" customHeight="1">
      <c r="A79" s="36" t="inlineStr">
        <is>
          <t>05.28</t>
        </is>
      </c>
      <c r="B79" s="37" t="inlineStr">
        <is>
          <t>נקודת ניקוז לכיור ולאמבטיה</t>
        </is>
      </c>
      <c r="C79" s="38" t="inlineStr">
        <is>
          <t>נקודת ניקוז לכיורי רחצה, מטבח, בר, מטבח חוץ ואמבטיה, כולל סיפון/מחסום, חיבור לקו בשיפוע תקני ובדיקת אטימות.</t>
        </is>
      </c>
      <c r="D79" s="37" t="inlineStr">
        <is>
          <t>נק׳</t>
        </is>
      </c>
      <c r="E79" s="28">
        <f>'[1]חישובי כמויות'!G22</f>
        <v/>
      </c>
      <c r="F79" s="23" t="n">
        <v>750</v>
      </c>
      <c r="G79" s="23">
        <f>IF(AND(ISNUMBER(E79),ISNUMBER(F79)),ROUND(E79*F79,2),"")</f>
        <v/>
      </c>
      <c r="H79" s="32" t="n"/>
      <c r="I79" s="32" t="n"/>
    </row>
    <row r="80" ht="25.5" customHeight="1">
      <c r="A80" s="36" t="inlineStr">
        <is>
          <t>05.29</t>
        </is>
      </c>
      <c r="B80" s="37" t="inlineStr">
        <is>
          <t>נקודת מים וניקוז למכונת כביסה</t>
        </is>
      </c>
      <c r="C80" s="38" t="inlineStr">
        <is>
          <t>נקודת מים קרים וניקוז עם ברז ניל להכנה למכונת כביסה (מקרא אינסטלציה, פריט 5).</t>
        </is>
      </c>
      <c r="D80" s="37" t="inlineStr">
        <is>
          <t>נק׳</t>
        </is>
      </c>
      <c r="E80" s="29" t="n">
        <v>2</v>
      </c>
      <c r="F80" s="23" t="n">
        <v>835</v>
      </c>
      <c r="G80" s="23">
        <f>IF(AND(ISNUMBER(E80),ISNUMBER(F80)),ROUND(E80*F80,2),"")</f>
        <v/>
      </c>
      <c r="H80" s="32" t="n"/>
      <c r="I80" s="32" t="n"/>
    </row>
    <row r="81" ht="25.5" customHeight="1">
      <c r="A81" s="36" t="inlineStr">
        <is>
          <t>05.30</t>
        </is>
      </c>
      <c r="B81" s="37" t="inlineStr">
        <is>
          <t>ברז דלי</t>
        </is>
      </c>
      <c r="C81" s="38" t="inlineStr">
        <is>
          <t>ברז דלי למים קרים לניקיון או השקיה בגובה 40 ס״מ (מקרא אינסטלציה, פריט 7).</t>
        </is>
      </c>
      <c r="D81" s="37" t="inlineStr">
        <is>
          <t>יח׳</t>
        </is>
      </c>
      <c r="E81" s="29" t="n">
        <v>2</v>
      </c>
      <c r="F81" s="23" t="n">
        <v>250</v>
      </c>
      <c r="G81" s="23">
        <f>IF(AND(ISNUMBER(E81),ISNUMBER(F81)),ROUND(E81*F81,2),"")</f>
        <v/>
      </c>
      <c r="H81" s="32" t="n"/>
      <c r="I81" s="32" t="n"/>
    </row>
    <row r="82" ht="38.25" customHeight="1">
      <c r="A82" s="36" t="inlineStr">
        <is>
          <t>05.32</t>
        </is>
      </c>
      <c r="B82" s="37" t="inlineStr">
        <is>
          <t>קווי אספקה ראשיים ורכזות מים קומתיות</t>
        </is>
      </c>
      <c r="C82" s="38" t="inlineStr">
        <is>
          <t>קווי מים ראשיים מהמונה ועד רכזות המים הקומתיות (מקרא אינסטלציה, פריט 10), כולל מגופים, ווסת לחץ ובידוד צנרת חמה.</t>
        </is>
      </c>
      <c r="D82" s="37" t="inlineStr">
        <is>
          <t>קומפ׳</t>
        </is>
      </c>
      <c r="E82" s="28" t="n">
        <v>1</v>
      </c>
      <c r="F82" s="23" t="n">
        <v>5200</v>
      </c>
      <c r="G82" s="23">
        <f>IF(AND(ISNUMBER(E82),ISNUMBER(F82)),ROUND(E82*F82,2),"")</f>
        <v/>
      </c>
      <c r="H82" s="32" t="n"/>
      <c r="I82" s="32" t="n"/>
    </row>
    <row r="83" ht="38.25" customHeight="1">
      <c r="A83" s="36" t="inlineStr">
        <is>
          <t>05.33</t>
        </is>
      </c>
      <c r="B83" s="37" t="inlineStr">
        <is>
          <t>מערכת ביוב וניקוז ראשית</t>
        </is>
      </c>
      <c r="C83" s="38" t="inlineStr">
        <is>
          <t>קווי ביוב וניקוז ראשיים בכל הקומות עד חיבור למערכת הקיימת או לשוחה, כולל ביקורות, אוורור ובדיקות אטימות.</t>
        </is>
      </c>
      <c r="D83" s="37" t="inlineStr">
        <is>
          <t>קומפ׳</t>
        </is>
      </c>
      <c r="E83" s="28" t="n">
        <v>1</v>
      </c>
      <c r="F83" s="23" t="n">
        <v>4500</v>
      </c>
      <c r="G83" s="23">
        <f>IF(AND(ISNUMBER(E83),ISNUMBER(F83)),ROUND(E83*F83,2),"")</f>
        <v/>
      </c>
      <c r="H83" s="32" t="n"/>
      <c r="I83" s="32" t="n"/>
    </row>
    <row r="84" ht="38.25" customHeight="1">
      <c r="A84" s="36" t="inlineStr">
        <is>
          <t>05.34</t>
        </is>
      </c>
      <c r="B84" s="37" t="inlineStr">
        <is>
          <t>דוד מים חמים – התקנה וחיבור</t>
        </is>
      </c>
      <c r="C84" s="38" t="inlineStr">
        <is>
          <t>אספקה והתקנת דוד מים חמים דגם כרומגן 150 ליטר  חיבורו למערכת, כולל ברזים, שסתום בטיחות  (מיקומו לפי תוכנית).</t>
        </is>
      </c>
      <c r="D84" s="37" t="inlineStr">
        <is>
          <t>יח׳</t>
        </is>
      </c>
      <c r="E84" s="28" t="n">
        <v>1</v>
      </c>
      <c r="F84" s="23" t="n"/>
      <c r="G84" s="23">
        <f>IF(AND(ISNUMBER(E84),ISNUMBER(F84)),ROUND(E84*F84,2),"")</f>
        <v/>
      </c>
      <c r="H84" s="32" t="n"/>
      <c r="I84" s="32" t="n"/>
    </row>
    <row r="85" ht="38.25" customHeight="1">
      <c r="A85" s="36" t="inlineStr">
        <is>
          <t>05.35</t>
        </is>
      </c>
      <c r="B85" s="37" t="inlineStr">
        <is>
          <t>בדיקות לחץ ואטימות ותוכנית עדות</t>
        </is>
      </c>
      <c r="C85" s="38" t="inlineStr">
        <is>
          <t>בדיקות לחץ לכל קווי המים ובדיקות אטימות לקווי הביוב לפני כיסוי, בנוכחות המתכננת, כולל דוחות חתומים ותוכנית עדות.</t>
        </is>
      </c>
      <c r="D85" s="37" t="inlineStr">
        <is>
          <t>קומפ׳</t>
        </is>
      </c>
      <c r="E85" s="28" t="n">
        <v>1</v>
      </c>
      <c r="F85" s="23" t="n">
        <v>0</v>
      </c>
      <c r="G85" s="23">
        <f>IF(AND(ISNUMBER(E85),ISNUMBER(F85)),ROUND(E85*F85,2),"")</f>
        <v/>
      </c>
      <c r="H85" s="32" t="n"/>
      <c r="I85" s="32" t="n"/>
    </row>
    <row r="86">
      <c r="A86" s="15" t="inlineStr">
        <is>
          <t>סה״כ פרק 05 — אינסטלציה, התקנת כלים סניטריים וברזים</t>
        </is>
      </c>
      <c r="B86" s="45" t="n"/>
      <c r="C86" s="45" t="n"/>
      <c r="D86" s="45" t="n"/>
      <c r="E86" s="45" t="n"/>
      <c r="F86" s="46" t="n"/>
      <c r="G86" s="9">
        <f>IF(COUNT(G53,G54,G55,G56,G57,G58,G59,G60,G61,G62,G63,G64,G65,G66,G67,G68,G69,G70,G71,G72,G73,G74,G75,G76,G77,G78,G79,G80,G81,G82,G83,G84,G85)=0,"",SUM(G53,G54,G55,G56,G57,G58,G59,G60,G61,G62,G63,G64,G65,G66,G67,G68,G69,G70,G71,G72,G73,G74,G75,G76,G77,G78,G79,G80,G81,G82,G83,G84,G85))</f>
        <v/>
      </c>
      <c r="H86" s="32" t="n"/>
      <c r="I86" s="32" t="n"/>
    </row>
    <row r="87">
      <c r="A87" s="32" t="n"/>
      <c r="B87" s="32" t="n"/>
      <c r="C87" s="32" t="n"/>
      <c r="D87" s="32" t="n"/>
      <c r="E87" s="32" t="n"/>
      <c r="F87" s="32" t="n"/>
      <c r="G87" s="32" t="n"/>
      <c r="H87" s="32" t="n"/>
      <c r="I87" s="32" t="n"/>
    </row>
    <row r="88" ht="15.75" customHeight="1">
      <c r="A88" s="18" t="inlineStr">
        <is>
          <t>פרק 06 — חשמל</t>
        </is>
      </c>
      <c r="B88" s="45" t="n"/>
      <c r="C88" s="45" t="n"/>
      <c r="D88" s="45" t="n"/>
      <c r="E88" s="45" t="n"/>
      <c r="F88" s="45" t="n"/>
      <c r="G88" s="46" t="n"/>
      <c r="H88" s="32" t="n"/>
      <c r="I88" s="32" t="n"/>
    </row>
    <row r="89" ht="51" customHeight="1">
      <c r="A89" s="36" t="inlineStr">
        <is>
          <t>06.01</t>
        </is>
      </c>
      <c r="B89" s="37" t="inlineStr">
        <is>
          <t>נקודת שקע רגיל</t>
        </is>
      </c>
      <c r="C89" s="38" t="inlineStr">
        <is>
          <t>ביצוע נקודת שקע רגיל במיקום ובגובה המתוכננים, לרבות תשתית וחיווט למעגל המתאים, התקנת אביזר הגמר ובדיקת תקינות הנקודה.</t>
        </is>
      </c>
      <c r="D89" s="37" t="inlineStr">
        <is>
          <t>יח׳</t>
        </is>
      </c>
      <c r="E89" s="28" t="n">
        <v>119</v>
      </c>
      <c r="F89" s="23" t="n">
        <v>330</v>
      </c>
      <c r="G89" s="23">
        <f>IF(AND(ISNUMBER(E89),ISNUMBER(F89)),ROUND(E89*F89,2),"")</f>
        <v/>
      </c>
      <c r="H89" s="32" t="n"/>
      <c r="I89" s="32" t="n"/>
    </row>
    <row r="90" ht="63.75" customHeight="1">
      <c r="A90" s="36" t="inlineStr">
        <is>
          <t>06.02</t>
        </is>
      </c>
      <c r="B90" s="37" t="inlineStr">
        <is>
          <t>נקודת שקע מוגן מים</t>
        </is>
      </c>
      <c r="C90" s="38" t="inlineStr">
        <is>
          <t>ביצוע נקודת שקע מוגן מים כפול באזור רטוב או חיצוני, בדרגת הגנה המתאימה למיקום ולדרישות המפרט, לרבות תשתית, חיווט, אביזר הגמר וחיבור למעגל בעל ההגנות הנדרשות.</t>
        </is>
      </c>
      <c r="D90" s="37" t="inlineStr">
        <is>
          <t>יח׳</t>
        </is>
      </c>
      <c r="E90" s="28" t="n">
        <v>51</v>
      </c>
      <c r="F90" s="23" t="n">
        <v>380</v>
      </c>
      <c r="G90" s="23">
        <f>IF(AND(ISNUMBER(E90),ISNUMBER(F90)),ROUND(E90*F90,2),"")</f>
        <v/>
      </c>
      <c r="H90" s="32" t="n"/>
      <c r="I90" s="32" t="n"/>
    </row>
    <row r="91" ht="63.75" customHeight="1">
      <c r="A91" s="36" t="inlineStr">
        <is>
          <t>06.03</t>
        </is>
      </c>
      <c r="B91" s="37" t="inlineStr">
        <is>
          <t>תשתית להפעלת תריס חשמלי</t>
        </is>
      </c>
      <c r="C91" s="38" t="inlineStr">
        <is>
          <t>ביצוע תשתית חשמל להפעלת תריס חשמלי, בהתאם לתוכנית ולשיטת הבקרה שתאושר בכתב בידי המזמין, לרבות צנרת, חיווט וקופסאות הנדרשים לשיטה שנבחרה. מנוע התריס אינו נכלל בסעיף התשתית.</t>
        </is>
      </c>
      <c r="D91" s="37" t="inlineStr">
        <is>
          <t>יח׳</t>
        </is>
      </c>
      <c r="E91" s="28" t="n">
        <v>18</v>
      </c>
      <c r="F91" s="23" t="n">
        <v>390</v>
      </c>
      <c r="G91" s="23">
        <f>IF(AND(ISNUMBER(E91),ISNUMBER(F91)),ROUND(E91*F91,2),"")</f>
        <v/>
      </c>
      <c r="H91" s="32" t="n"/>
      <c r="I91" s="32" t="n"/>
    </row>
    <row r="92" ht="38.25" customHeight="1">
      <c r="A92" s="36" t="inlineStr">
        <is>
          <t>06.05</t>
        </is>
      </c>
      <c r="B92" s="37" t="inlineStr">
        <is>
          <t>נקודת שקע תלת־פאזי</t>
        </is>
      </c>
      <c r="C92" s="38" t="inlineStr">
        <is>
          <t>ביצוע נקודת שקע תלת־פאזי בהתאם לייעוד ולעומס המתוכננים, לרבות תשתית, מוליכים, אביזר מתאים, חיבור למעגל ובדיקת תקינות.</t>
        </is>
      </c>
      <c r="D92" s="37" t="inlineStr">
        <is>
          <t>יח׳</t>
        </is>
      </c>
      <c r="E92" s="28" t="n">
        <v>1</v>
      </c>
      <c r="F92" s="23" t="n">
        <v>1100</v>
      </c>
      <c r="G92" s="23">
        <f>IF(AND(ISNUMBER(E92),ISNUMBER(F92)),ROUND(E92*F92,2),"")</f>
        <v/>
      </c>
      <c r="H92" s="32" t="n"/>
      <c r="I92" s="32" t="n"/>
    </row>
    <row r="93" ht="63.75" customHeight="1">
      <c r="A93" s="36" t="inlineStr">
        <is>
          <t>06.06</t>
        </is>
      </c>
      <c r="B93" s="37" t="inlineStr">
        <is>
          <t>הרחבת לוח החשמל הראשי</t>
        </is>
      </c>
      <c r="C93" s="38" t="inlineStr">
        <is>
          <t xml:space="preserve">הרחבת והתאמת לוח החשמל הראשי לעומסי הבית והתוספות, בהתאם לתכנון החשמל, לרבות רכיבי הלוח, אמצעי ההגנה, חיבור המעגלים, סימונם ובדיקת תקינות. לוח חשמל תלת פאזי 72 מקום </t>
        </is>
      </c>
      <c r="D93" s="37" t="inlineStr">
        <is>
          <t>קומפ׳</t>
        </is>
      </c>
      <c r="E93" s="28" t="n">
        <v>1</v>
      </c>
      <c r="F93" s="23" t="n">
        <v>8500</v>
      </c>
      <c r="G93" s="23">
        <f>IF(AND(ISNUMBER(E93),ISNUMBER(F93)),ROUND(E93*F93,2),"")</f>
        <v/>
      </c>
      <c r="H93" s="32" t="n"/>
      <c r="I93" s="32" t="n"/>
    </row>
    <row r="94" ht="51" customHeight="1">
      <c r="A94" s="36" t="inlineStr">
        <is>
          <t>06.07</t>
        </is>
      </c>
      <c r="B94" s="37" t="inlineStr">
        <is>
          <t>אספקה והתקנת פילר חברת החשמל</t>
        </is>
      </c>
      <c r="C94" s="38" t="inlineStr">
        <is>
          <t>אספקה והתקנת פילר חדש בכניסה למגרש, בהתאם למיקום ולמפרט שיאושרו בידי חברת החשמל, לרבות עבודות ההתקנה וההתאמות הנדרשות במסגרת הסעיף.</t>
        </is>
      </c>
      <c r="D94" s="37" t="inlineStr">
        <is>
          <t>קומפ׳</t>
        </is>
      </c>
      <c r="E94" s="28" t="n">
        <v>1</v>
      </c>
      <c r="F94" s="23" t="n">
        <v>0</v>
      </c>
      <c r="G94" s="23">
        <f>IF(AND(ISNUMBER(E94),ISNUMBER(F94)),ROUND(E94*F94,2),"")</f>
        <v/>
      </c>
      <c r="H94" s="32" t="n"/>
      <c r="I94" s="32" t="n"/>
    </row>
    <row r="95" ht="51" customHeight="1">
      <c r="A95" s="36" t="inlineStr">
        <is>
          <t>06.09</t>
        </is>
      </c>
      <c r="B95" s="37" t="inlineStr">
        <is>
          <t>בדיקת חשמל סופית</t>
        </is>
      </c>
      <c r="C95" s="38" t="inlineStr">
        <is>
          <t>ביצוע בדיקה סופית של מתקן החשמל באמצעות חשמלאי בודק בעל רישיון מתאים, לרבות בדיקות הארקה, בידוד ואמצעי הגנה, והמצאת דוח הבדיקה והאישורים הנדרשים.</t>
        </is>
      </c>
      <c r="D95" s="37" t="inlineStr">
        <is>
          <t>קומפ׳</t>
        </is>
      </c>
      <c r="E95" s="28" t="n">
        <v>1</v>
      </c>
      <c r="F95" s="23" t="n">
        <v>0</v>
      </c>
      <c r="G95" s="23">
        <f>IF(AND(ISNUMBER(E95),ISNUMBER(F95)),ROUND(E95*F95,2),"")</f>
        <v/>
      </c>
      <c r="H95" s="32" t="n"/>
      <c r="I95" s="32" t="n"/>
    </row>
    <row r="96" ht="63.75" customHeight="1">
      <c r="A96" s="36" t="inlineStr">
        <is>
          <t>06.10</t>
        </is>
      </c>
      <c r="B96" s="37" t="inlineStr">
        <is>
          <t>נקודת שקע כוח</t>
        </is>
      </c>
      <c r="C96" s="38" t="inlineStr">
        <is>
          <t>ביצוע נקודת שקע כוח בהתאם לייעוד המסומן בתוכנית, לרבות תשתית, חיווט, אביזר הגמר וחיבור למעגל המתאים לעומס. ייעוד הנקודה וההבחנה בינה לבין שקע רגיל יוגדרו לפי המקרא.</t>
        </is>
      </c>
      <c r="D96" s="37" t="inlineStr">
        <is>
          <t>יח׳</t>
        </is>
      </c>
      <c r="E96" s="28" t="n">
        <v>9</v>
      </c>
      <c r="F96" s="23" t="n"/>
      <c r="G96" s="23">
        <f>IF(AND(ISNUMBER(E96),ISNUMBER(F96)),ROUND(E96*F96,2),"")</f>
        <v/>
      </c>
      <c r="H96" s="32" t="n"/>
      <c r="I96" s="32" t="n"/>
    </row>
    <row r="97" ht="25.5" customHeight="1">
      <c r="A97" s="36" t="inlineStr">
        <is>
          <t>06.11</t>
        </is>
      </c>
      <c r="B97" s="37" t="inlineStr">
        <is>
          <t>נקודת הזנה ליחידת מיזוג</t>
        </is>
      </c>
      <c r="C97" s="38" t="inlineStr">
        <is>
          <t>נקודת הזנה ייעודית ליחידת מיזוג, כולל מעגל, מפסק והגנות לפי התקן.</t>
        </is>
      </c>
      <c r="D97" s="37" t="inlineStr">
        <is>
          <t>נק׳</t>
        </is>
      </c>
      <c r="E97" s="28" t="n">
        <v>8</v>
      </c>
      <c r="F97" s="23" t="n"/>
      <c r="G97" s="23">
        <f>IF(AND(ISNUMBER(E97),ISNUMBER(F97)),ROUND(E97*F97,2),"")</f>
        <v/>
      </c>
      <c r="H97" s="32" t="n"/>
      <c r="I97" s="32" t="n"/>
    </row>
    <row r="98" ht="66" customHeight="1">
      <c r="A98" s="47" t="inlineStr">
        <is>
          <t>06.12</t>
        </is>
      </c>
      <c r="B98" s="48" t="inlineStr">
        <is>
          <t>חיבור ישיר ללוח חשמל – כיריים, תנור וצרכנים ייעודיים</t>
        </is>
      </c>
      <c r="C98" s="49" t="inlineStr">
        <is>
          <t>הכנה וחיבור ישיר ללוח החשמל בקו ייעודי עם הגנה נפרדת לכל צרכן, לכיריים, לתנור, למדיח, למייבש ולשאר הצרכנים הייעודיים, לרבות כבל, צנרת, חיבור סופי ובדיקה. הסעיף מחליף נקודות חשמל נפרדות לצרכנים אלה.</t>
        </is>
      </c>
      <c r="D98" s="48" t="inlineStr">
        <is>
          <t>קומפ׳</t>
        </is>
      </c>
      <c r="E98" s="50" t="n">
        <v>1</v>
      </c>
      <c r="F98" s="51" t="n"/>
      <c r="G98" s="51">
        <f>IF(AND(ISNUMBER(E98),ISNUMBER(F98)),ROUND(E98*F98,2),"")</f>
        <v/>
      </c>
      <c r="H98" s="32" t="n"/>
      <c r="I98" s="32" t="n"/>
    </row>
    <row r="99" ht="25.5" customHeight="1">
      <c r="A99" s="36" t="inlineStr">
        <is>
          <t>06.13</t>
        </is>
      </c>
      <c r="B99" s="37" t="inlineStr">
        <is>
          <t>מפסק זרם לדוד עם נורת סימון</t>
        </is>
      </c>
      <c r="C99" s="38" t="inlineStr">
        <is>
          <t>נקודת מפסק זרם לדוד חשמל סימון (מקרא החשמל).</t>
        </is>
      </c>
      <c r="D99" s="37" t="inlineStr">
        <is>
          <t>יח׳</t>
        </is>
      </c>
      <c r="E99" s="28" t="n">
        <v>1</v>
      </c>
      <c r="F99" s="23" t="n"/>
      <c r="G99" s="23">
        <f>IF(AND(ISNUMBER(E99),ISNUMBER(F99)),ROUND(E99*F99,2),"")</f>
        <v/>
      </c>
      <c r="H99" s="32" t="n"/>
      <c r="I99" s="32" t="n"/>
    </row>
    <row r="100">
      <c r="A100" s="52" t="inlineStr">
        <is>
          <t>סה״כ פרק 06 — חשמל</t>
        </is>
      </c>
      <c r="B100" s="53" t="n"/>
      <c r="C100" s="53" t="n"/>
      <c r="D100" s="53" t="n"/>
      <c r="E100" s="53" t="n"/>
      <c r="F100" s="54" t="n"/>
      <c r="G100" s="55">
        <f>IF(COUNT(G89,G90,G91,G92,G93,G94,G95,G96,G97,G98,G99)=0,"",SUM(G89,G90,G91,G92,G93,G94,G95,G96,G97,G98,G99))</f>
        <v/>
      </c>
      <c r="H100" s="32" t="n"/>
      <c r="I100" s="32" t="n"/>
    </row>
    <row r="101">
      <c r="A101" s="32" t="n"/>
      <c r="B101" s="32" t="n"/>
      <c r="C101" s="32" t="n"/>
      <c r="D101" s="32" t="n"/>
      <c r="E101" s="32" t="n"/>
      <c r="F101" s="32" t="n"/>
      <c r="G101" s="32" t="n"/>
      <c r="H101" s="32" t="n"/>
      <c r="I101" s="32" t="n"/>
    </row>
    <row r="102" ht="15.75" customHeight="1">
      <c r="A102" s="42" t="inlineStr">
        <is>
          <t>פרק 07 — תאורה ומפסקי תאורה</t>
        </is>
      </c>
      <c r="B102" s="45" t="n"/>
      <c r="C102" s="45" t="n"/>
      <c r="D102" s="45" t="n"/>
      <c r="E102" s="45" t="n"/>
      <c r="F102" s="45" t="n"/>
      <c r="G102" s="46" t="n"/>
      <c r="H102" s="32" t="n"/>
      <c r="I102" s="32" t="n"/>
    </row>
    <row r="103" ht="56.25" customHeight="1">
      <c r="A103" s="36" t="inlineStr">
        <is>
          <t>07.01</t>
        </is>
      </c>
      <c r="B103" s="37" t="inlineStr">
        <is>
          <t xml:space="preserve">מפסקי הדלקת תאורה יחיד </t>
        </is>
      </c>
      <c r="C103" s="38" t="inlineStr">
        <is>
          <t>ביצוע והתקנת נקודות מפסקי תאורה מכל הסוגים, במיקום ובגובה המתוכננים, לרבות תשתית, חיווט ואביזר גמר, בהתאם לחלוקת ההדלקות בתוכנית.</t>
        </is>
      </c>
      <c r="D103" s="37" t="inlineStr">
        <is>
          <t>יח׳</t>
        </is>
      </c>
      <c r="E103" s="28" t="n">
        <v>62</v>
      </c>
      <c r="F103" s="23" t="n"/>
      <c r="G103" s="23">
        <f>IF(AND(ISNUMBER(E103),ISNUMBER(F103)),ROUND(E103*F103,2),"")</f>
        <v/>
      </c>
      <c r="H103" s="32" t="n"/>
      <c r="I103" s="32" t="n"/>
    </row>
    <row r="104" ht="51" customHeight="1">
      <c r="A104" s="36" t="inlineStr">
        <is>
          <t>07.02</t>
        </is>
      </c>
      <c r="B104" s="37" t="inlineStr">
        <is>
          <t>מפסקי מחלף</t>
        </is>
      </c>
      <c r="C104" s="38" t="inlineStr">
        <is>
          <t>ביצוע והתקנת נקודות מפסקי מחלף להפעלת מעגלי תאורה ממיקומים שונים, לרבות תשתית, חיווט ואביזר גמר התואמים לחלוקת המעגלים.</t>
        </is>
      </c>
      <c r="D104" s="37" t="inlineStr">
        <is>
          <t>יח׳</t>
        </is>
      </c>
      <c r="E104" s="28" t="n">
        <v>16</v>
      </c>
      <c r="F104" s="23" t="n"/>
      <c r="G104" s="23">
        <f>IF(AND(ISNUMBER(E104),ISNUMBER(F104)),ROUND(E104*F104,2),"")</f>
        <v/>
      </c>
      <c r="H104" s="32" t="n"/>
      <c r="I104" s="32" t="n"/>
    </row>
    <row r="105" ht="87" customHeight="1">
      <c r="A105" s="47" t="inlineStr">
        <is>
          <t>07.02א</t>
        </is>
      </c>
      <c r="B105" s="48" t="inlineStr">
        <is>
          <t>מפסק צלב</t>
        </is>
      </c>
      <c r="C105" s="49" t="inlineStr">
        <is>
          <t>התקנת מפסק צלב (מתג ביניים) במעגל תאורה המופעל משלושה מקומות ויותר, בין מפסקי המחלף, לרבות אביזר גמר מתאים למקרא, חיווט ביניים ובדיקת תקינות הפעולה.</t>
        </is>
      </c>
      <c r="D105" s="48" t="inlineStr">
        <is>
          <t>יח׳</t>
        </is>
      </c>
      <c r="E105" s="50" t="n">
        <v>3</v>
      </c>
      <c r="F105" s="51" t="n"/>
      <c r="G105" s="51">
        <f>IF(AND(ISNUMBER(E105),ISNUMBER(F105)),ROUND(E105*F105,2),"")</f>
        <v/>
      </c>
      <c r="H105" s="32" t="n"/>
      <c r="I105" s="32" t="n"/>
    </row>
    <row r="106" ht="38.25" customHeight="1">
      <c r="A106" s="36" t="inlineStr">
        <is>
          <t>07.03</t>
        </is>
      </c>
      <c r="B106" s="37" t="inlineStr">
        <is>
          <t>התקנת גוף תאורה צמוד תקרה</t>
        </is>
      </c>
      <c r="C106" s="38" t="inlineStr">
        <is>
          <t>התקנת גוף תאורה צמוד תקרה במיקום המתוכנן, לרבות קיבוע לתשתית, חיבור חשמלי ובדיקת פעולה.</t>
        </is>
      </c>
      <c r="D106" s="37" t="inlineStr">
        <is>
          <t>יח׳</t>
        </is>
      </c>
      <c r="E106" s="28" t="n">
        <v>15</v>
      </c>
      <c r="F106" s="23" t="n"/>
      <c r="G106" s="23">
        <f>IF(AND(ISNUMBER(E106),ISNUMBER(F106)),ROUND(E106*F106,2),"")</f>
        <v/>
      </c>
      <c r="H106" s="32" t="n"/>
      <c r="I106" s="32" t="n"/>
    </row>
    <row r="107" ht="51" customHeight="1">
      <c r="A107" s="36" t="inlineStr">
        <is>
          <t>07.04</t>
        </is>
      </c>
      <c r="B107" s="37" t="inlineStr">
        <is>
          <t>התקנת גוף תאורה תלוי</t>
        </is>
      </c>
      <c r="C107" s="38" t="inlineStr">
        <is>
          <t>התקנת גוף תאורה תלוי, לרבות קיבוע מערכת התלייה, התאמת גובה התלייה לפי התוכנית והנחיות המתכננת, חיבור חשמלי ובדיקת פעולה.</t>
        </is>
      </c>
      <c r="D107" s="37" t="inlineStr">
        <is>
          <t>יח׳</t>
        </is>
      </c>
      <c r="E107" s="28" t="n">
        <v>22</v>
      </c>
      <c r="F107" s="23" t="n"/>
      <c r="G107" s="23">
        <f>IF(AND(ISNUMBER(E107),ISNUMBER(F107)),ROUND(E107*F107,2),"")</f>
        <v/>
      </c>
      <c r="H107" s="32" t="n"/>
      <c r="I107" s="32" t="n"/>
    </row>
    <row r="108" ht="51" customHeight="1">
      <c r="A108" s="36" t="inlineStr">
        <is>
          <t>07.05</t>
        </is>
      </c>
      <c r="B108" s="37" t="inlineStr">
        <is>
          <t>התקנת גוף תאורה קירי מוגן</t>
        </is>
      </c>
      <c r="C108" s="38" t="inlineStr">
        <is>
          <t>התקנת גוף תאורה קירי מוגן במיקום ובגובה המסומנים בתוכנית, לרבות קיבוע, חיבור חשמלי ואטימת מפגש ההתקנה בהתאם למוצר ולמיקום.</t>
        </is>
      </c>
      <c r="D108" s="37" t="inlineStr">
        <is>
          <t>יח׳</t>
        </is>
      </c>
      <c r="E108" s="28" t="n">
        <v>30</v>
      </c>
      <c r="F108" s="23" t="n"/>
      <c r="G108" s="23">
        <f>IF(AND(ISNUMBER(E108),ISNUMBER(F108)),ROUND(E108*F108,2),"")</f>
        <v/>
      </c>
      <c r="H108" s="32" t="n"/>
      <c r="I108" s="32" t="n"/>
    </row>
    <row r="109" ht="51" customHeight="1">
      <c r="A109" s="36" t="inlineStr">
        <is>
          <t>07.06</t>
        </is>
      </c>
      <c r="B109" s="37" t="inlineStr">
        <is>
          <t>התקנת גוף תאורה שקוע בקיר, מוגן</t>
        </is>
      </c>
      <c r="C109" s="38" t="inlineStr">
        <is>
          <t>התקנת גוף תאורה מוגן השקוע בקיר, לרבות שילוב רכיבי ההתקנה של הגוף במיקום המתוכנן, התאמה למישור הגמר, חיבור ובדיקת פעולה.</t>
        </is>
      </c>
      <c r="D109" s="37" t="inlineStr">
        <is>
          <t>יח׳</t>
        </is>
      </c>
      <c r="E109" s="28" t="n">
        <v>35</v>
      </c>
      <c r="F109" s="23" t="n"/>
      <c r="G109" s="23">
        <f>IF(AND(ISNUMBER(E109),ISNUMBER(F109)),ROUND(E109*F109,2),"")</f>
        <v/>
      </c>
      <c r="H109" s="32" t="n"/>
      <c r="I109" s="32" t="n"/>
    </row>
    <row r="110" ht="51" customHeight="1">
      <c r="A110" s="36" t="inlineStr">
        <is>
          <t>07.07</t>
        </is>
      </c>
      <c r="B110" s="37" t="inlineStr">
        <is>
          <t>התקנת ספוט שקוע בתקרת גבס</t>
        </is>
      </c>
      <c r="C110" s="38" t="inlineStr">
        <is>
          <t>התקנת ספוט שקוע בתקרת גבס, בתיאום מוקדם עם עבודות הגבס, לרבות התאמת הפתח לגוף, קיבוע, חיבור חשמלי ובדיקת פעולה.</t>
        </is>
      </c>
      <c r="D110" s="37" t="inlineStr">
        <is>
          <t>יח׳</t>
        </is>
      </c>
      <c r="E110" s="28" t="n">
        <v>25</v>
      </c>
      <c r="F110" s="23" t="n"/>
      <c r="G110" s="23">
        <f>IF(AND(ISNUMBER(E110),ISNUMBER(F110)),ROUND(E110*F110,2),"")</f>
        <v/>
      </c>
      <c r="H110" s="32" t="n"/>
      <c r="I110" s="32" t="n"/>
    </row>
    <row r="111" ht="51" customHeight="1">
      <c r="A111" s="36" t="inlineStr">
        <is>
          <t>07.08</t>
        </is>
      </c>
      <c r="B111" s="37" t="inlineStr">
        <is>
          <t>התקנת פס תאורת לד נסתר</t>
        </is>
      </c>
      <c r="C111" s="38" t="inlineStr">
        <is>
          <t>התקנת פס תאורת לד נסתר במיקום המתוכנן, לרבות רכיבי ההתקנה וההפעלה שסופקו עם המערכת, חיבור לנקודת ההזנה ובדיקת רציפות ופעולה.</t>
        </is>
      </c>
      <c r="D111" s="37" t="inlineStr">
        <is>
          <t>יח׳</t>
        </is>
      </c>
      <c r="E111" s="28" t="n">
        <v>11</v>
      </c>
      <c r="F111" s="23" t="n"/>
      <c r="G111" s="23">
        <f>IF(AND(ISNUMBER(E111),ISNUMBER(F111)),ROUND(E111*F111,2),"")</f>
        <v/>
      </c>
      <c r="H111" s="32" t="n"/>
      <c r="I111" s="32" t="n"/>
    </row>
    <row r="112" ht="51" customHeight="1">
      <c r="A112" s="36" t="inlineStr">
        <is>
          <t>07.09</t>
        </is>
      </c>
      <c r="B112" s="37" t="inlineStr">
        <is>
          <t>התקנת פס תאורה שקוע בגבס</t>
        </is>
      </c>
      <c r="C112" s="38" t="inlineStr">
        <is>
          <t>התקנת פס תאורה שקוע בגבס, לרבות שילוב פרופיל ההתקנה התואם למוצר, תיאום עם קבלן הגבס, התאמה למישור הגמר, חיבור ובדיקת פעולה.</t>
        </is>
      </c>
      <c r="D112" s="37" t="inlineStr">
        <is>
          <t>יח׳</t>
        </is>
      </c>
      <c r="E112" s="28" t="n">
        <v>2</v>
      </c>
      <c r="F112" s="23" t="n"/>
      <c r="G112" s="23">
        <f>IF(AND(ISNUMBER(E112),ISNUMBER(F112)),ROUND(E112*F112,2),"")</f>
        <v/>
      </c>
      <c r="H112" s="32" t="n"/>
      <c r="I112" s="32" t="n"/>
    </row>
    <row r="113" ht="38.25" customHeight="1">
      <c r="A113" s="36" t="inlineStr">
        <is>
          <t>07.10</t>
        </is>
      </c>
      <c r="B113" s="37" t="inlineStr">
        <is>
          <t>התקנת פס תאורה צמוד תקרה</t>
        </is>
      </c>
      <c r="C113" s="38" t="inlineStr">
        <is>
          <t>התקנת פס תאורה צמוד תקרה, לרבות קיבוע ישר ואחיד, התקנת רכיבי המערכת שסופקו, חיבור לנקודת ההזנה ובדיקת פעולה.</t>
        </is>
      </c>
      <c r="D113" s="37" t="inlineStr">
        <is>
          <t>יח׳</t>
        </is>
      </c>
      <c r="E113" s="28" t="n">
        <v>9</v>
      </c>
      <c r="F113" s="23" t="n"/>
      <c r="G113" s="23">
        <f>IF(AND(ISNUMBER(E113),ISNUMBER(F113)),ROUND(E113*F113,2),"")</f>
        <v/>
      </c>
      <c r="H113" s="32" t="n"/>
      <c r="I113" s="32" t="n"/>
    </row>
    <row r="114" ht="51" customHeight="1">
      <c r="A114" s="36" t="inlineStr">
        <is>
          <t>07.11</t>
        </is>
      </c>
      <c r="B114" s="37" t="inlineStr">
        <is>
          <t>נקודת הזנה לפס לד</t>
        </is>
      </c>
      <c r="C114" s="38" t="inlineStr">
        <is>
          <t>ביצוע נקודת הזנה ייעודית לפס לד, לרבות צנרת, חיווט וחיבור למעגל המתוכנן, במיקום מתואם עם גוף התאורה ועם רכיבי ההפעלה שלו.</t>
        </is>
      </c>
      <c r="D114" s="37" t="inlineStr">
        <is>
          <t>יח׳</t>
        </is>
      </c>
      <c r="E114" s="28" t="n">
        <v>25</v>
      </c>
      <c r="F114" s="23" t="n"/>
      <c r="G114" s="23">
        <f>IF(AND(ISNUMBER(E114),ISNUMBER(F114)),ROUND(E114*F114,2),"")</f>
        <v/>
      </c>
      <c r="H114" s="32" t="n"/>
      <c r="I114" s="32" t="n"/>
    </row>
    <row r="115" ht="38.25" customHeight="1">
      <c r="A115" s="36" t="inlineStr">
        <is>
          <t>07.12</t>
        </is>
      </c>
      <c r="B115" s="37" t="inlineStr">
        <is>
          <t>התקנת גוף תאורה מוגן מים</t>
        </is>
      </c>
      <c r="C115" s="38" t="inlineStr">
        <is>
          <t>התקנת גוף תאורה מוגן מים באזור רטוב או חיצוני, בהתאם לסוג ולמיקום המסומנים במקרא, לרבות קיבוע, חיבור ובדיקת פעולה.</t>
        </is>
      </c>
      <c r="D115" s="37" t="inlineStr">
        <is>
          <t>יח׳</t>
        </is>
      </c>
      <c r="E115" s="28" t="n">
        <v>8</v>
      </c>
      <c r="F115" s="23" t="n"/>
      <c r="G115" s="23">
        <f>IF(AND(ISNUMBER(E115),ISNUMBER(F115)),ROUND(E115*F115,2),"")</f>
        <v/>
      </c>
      <c r="H115" s="32" t="n"/>
      <c r="I115" s="32" t="n"/>
    </row>
    <row r="116" ht="38.25" customHeight="1">
      <c r="A116" s="36" t="inlineStr">
        <is>
          <t>07.13</t>
        </is>
      </c>
      <c r="B116" s="37" t="inlineStr">
        <is>
          <t>התקנת גוף תאורה קירי</t>
        </is>
      </c>
      <c r="C116" s="38" t="inlineStr">
        <is>
          <t>התקנת גוף תאורה קירי במיקום ובגובה המתוכננים, לרבות קיבוע לתשתית, חיבור חשמלי ובדיקת פעולה.</t>
        </is>
      </c>
      <c r="D116" s="37" t="inlineStr">
        <is>
          <t>יח׳</t>
        </is>
      </c>
      <c r="E116" s="28" t="n">
        <v>5</v>
      </c>
      <c r="F116" s="23" t="n"/>
      <c r="G116" s="23">
        <f>IF(AND(ISNUMBER(E116),ISNUMBER(F116)),ROUND(E116*F116,2),"")</f>
        <v/>
      </c>
      <c r="H116" s="32" t="n"/>
      <c r="I116" s="32" t="n"/>
    </row>
    <row r="117" ht="38.25" customHeight="1">
      <c r="A117" s="36" t="inlineStr">
        <is>
          <t>07.14</t>
        </is>
      </c>
      <c r="B117" s="37" t="inlineStr">
        <is>
          <t>התקנת גוף תאורה שקוע בקיר</t>
        </is>
      </c>
      <c r="C117" s="38" t="inlineStr">
        <is>
          <t>התקנת גוף תאורה שקוע בקיר, לרבות שילוב רכיבי ההתקנה, התאמה למישור הגמר, חיבור חשמלי ובדיקת פעולה.</t>
        </is>
      </c>
      <c r="D117" s="37" t="inlineStr">
        <is>
          <t>יח׳</t>
        </is>
      </c>
      <c r="E117" s="28" t="n">
        <v>10</v>
      </c>
      <c r="F117" s="23" t="n"/>
      <c r="G117" s="23">
        <f>IF(AND(ISNUMBER(E117),ISNUMBER(F117)),ROUND(E117*F117,2),"")</f>
        <v/>
      </c>
      <c r="H117" s="32" t="n"/>
      <c r="I117" s="32" t="n"/>
    </row>
    <row r="118" ht="51" customHeight="1">
      <c r="A118" s="36" t="inlineStr">
        <is>
          <t>07.15</t>
        </is>
      </c>
      <c r="B118" s="37" t="inlineStr">
        <is>
          <t>התקנת מאוורר תקרה משולב תאורה</t>
        </is>
      </c>
      <c r="C118" s="38" t="inlineStr">
        <is>
          <t>התקנת מאוורר תקרה הכולל גוף תאורה, לרבות קיבוע לתשתית המתאימה למוצר, הרכבה, חיבור חשמלי, כיוון ובדיקת פעולת המאוורר והתאורה.</t>
        </is>
      </c>
      <c r="D118" s="37" t="inlineStr">
        <is>
          <t>יח׳</t>
        </is>
      </c>
      <c r="E118" s="28" t="n">
        <v>6</v>
      </c>
      <c r="F118" s="23" t="n"/>
      <c r="G118" s="23">
        <f>IF(AND(ISNUMBER(E118),ISNUMBER(F118)),ROUND(E118*F118,2),"")</f>
        <v/>
      </c>
      <c r="H118" s="32" t="n"/>
      <c r="I118" s="32" t="n"/>
    </row>
    <row r="119" ht="38.25" customHeight="1">
      <c r="A119" s="36" t="inlineStr">
        <is>
          <t>07.17</t>
        </is>
      </c>
      <c r="B119" s="37" t="inlineStr">
        <is>
          <t>התקנת ספוט צילינדר צמוד תקרה</t>
        </is>
      </c>
      <c r="C119" s="38" t="inlineStr">
        <is>
          <t>התקנת גוף תאורה מסוג ספוט צילינדר צמוד תקרה, במיקום המתוכנן, לרבות קיבוע, חיבור ובדיקת פעולה.</t>
        </is>
      </c>
      <c r="D119" s="37" t="inlineStr">
        <is>
          <t>יח׳</t>
        </is>
      </c>
      <c r="E119" s="28" t="n">
        <v>111</v>
      </c>
      <c r="F119" s="23" t="n"/>
      <c r="G119" s="23">
        <f>IF(AND(ISNUMBER(E119),ISNUMBER(F119)),ROUND(E119*F119,2),"")</f>
        <v/>
      </c>
      <c r="H119" s="32" t="n"/>
      <c r="I119" s="32" t="n"/>
    </row>
    <row r="120" ht="51" customHeight="1">
      <c r="A120" s="36" t="inlineStr">
        <is>
          <t>07.19</t>
        </is>
      </c>
      <c r="B120" s="37" t="inlineStr">
        <is>
          <t>התקנת ספוטים שקועים בגבס</t>
        </is>
      </c>
      <c r="C120" s="38" t="inlineStr">
        <is>
          <t>התקנת מקבץ ספוטים מסוג „נצנצים” השקוע בגבס, בהתאם לפריסה המאושרת, לרבות תיאום הפתחים, קיבוע רכיבי המערכת, חיבור ובדיקת פעולה.</t>
        </is>
      </c>
      <c r="D120" s="37" t="inlineStr">
        <is>
          <t>יח׳</t>
        </is>
      </c>
      <c r="E120" s="28" t="n">
        <v>28</v>
      </c>
      <c r="F120" s="23" t="n"/>
      <c r="G120" s="23">
        <f>IF(AND(ISNUMBER(E120),ISNUMBER(F120)),ROUND(E120*F120,2),"")</f>
        <v/>
      </c>
      <c r="H120" s="32" t="n"/>
      <c r="I120" s="32" t="n"/>
    </row>
    <row r="121" ht="38.25" customHeight="1">
      <c r="A121" s="36" t="inlineStr">
        <is>
          <t>07.20</t>
        </is>
      </c>
      <c r="B121" s="37" t="inlineStr">
        <is>
          <t>נקודת הזנה כללית לתאורה</t>
        </is>
      </c>
      <c r="C121" s="38" t="inlineStr">
        <is>
          <t>ביצוע נקודת הזנה כללית לתאורה בהתאם לתוכנית, לרבות צנרת, חיווט וחיבור למעגל המתוכנן, ללא התקנת גוף התאורה.</t>
        </is>
      </c>
      <c r="D121" s="37" t="inlineStr">
        <is>
          <t>יח׳</t>
        </is>
      </c>
      <c r="E121" s="28" t="n">
        <v>14</v>
      </c>
      <c r="F121" s="23" t="n"/>
      <c r="G121" s="23">
        <f>IF(AND(ISNUMBER(E121),ISNUMBER(F121)),ROUND(E121*F121,2),"")</f>
        <v/>
      </c>
      <c r="H121" s="32" t="n"/>
      <c r="I121" s="32" t="n"/>
    </row>
    <row r="122">
      <c r="A122" s="52" t="inlineStr">
        <is>
          <t>סה״כ פרק 07 — תאורה ומפסקי תאורה</t>
        </is>
      </c>
      <c r="B122" s="53" t="n"/>
      <c r="C122" s="53" t="n"/>
      <c r="D122" s="53" t="n"/>
      <c r="E122" s="53" t="n"/>
      <c r="F122" s="54" t="n"/>
      <c r="G122" s="55">
        <f>IF(COUNT(G103,G104,G105,G106,G107,G108,G109,G110,G111,G112,G113,G114,G115,G116,G117,G118,G119,G120,G121)=0,"",SUM(G103,G104,G105,G106,G107,G108,G109,G110,G111,G112,G113,G114,G115,G116,G117,G118,G119,G120,G121))</f>
        <v/>
      </c>
      <c r="H122" s="32" t="n"/>
      <c r="I122" s="32" t="n"/>
    </row>
    <row r="123">
      <c r="A123" s="32" t="n"/>
      <c r="B123" s="32" t="n"/>
      <c r="C123" s="32" t="n"/>
      <c r="D123" s="32" t="n"/>
      <c r="E123" s="32" t="n"/>
      <c r="F123" s="32" t="n"/>
      <c r="G123" s="32" t="n"/>
      <c r="H123" s="32" t="n"/>
      <c r="I123" s="32" t="n"/>
    </row>
    <row r="124" ht="15.75" customHeight="1">
      <c r="A124" s="18" t="inlineStr">
        <is>
          <t>פרק 09 — מחיצות ותקרות גבס</t>
        </is>
      </c>
      <c r="B124" s="45" t="n"/>
      <c r="C124" s="45" t="n"/>
      <c r="D124" s="45" t="n"/>
      <c r="E124" s="45" t="n"/>
      <c r="F124" s="45" t="n"/>
      <c r="G124" s="46" t="n"/>
      <c r="H124" s="32" t="n"/>
      <c r="I124" s="32" t="n"/>
    </row>
    <row r="125" ht="106.5" customHeight="1">
      <c r="A125" s="36" t="inlineStr">
        <is>
          <t>09.01</t>
        </is>
      </c>
      <c r="B125" s="37" t="inlineStr">
        <is>
          <t>מחיצות גבס במרתף</t>
        </is>
      </c>
      <c r="C125" s="38" t="inlineStr">
        <is>
          <t>ביצוע מחיצות וקירות גבס בקומת המרתף בהתאם לתוכנית ולסוג המערכת המסומן במקרא, לרבות מסלולים וניצבים, לוחות, סרטי הפרדה, בידוד אקוסטי וחיבורי המערכת למבנה. באזורים רטובים יבוצעו לוחות עמידי מים וחיזוקים לתליית הכלים בהתאם למפרט. כולל לוח צמנטי, חיזוק מפגשים והכנה לאיטום באזורי התזה ישירה.</t>
        </is>
      </c>
      <c r="D125" s="37" t="inlineStr">
        <is>
          <t>מ״ר</t>
        </is>
      </c>
      <c r="E125" s="28" t="n">
        <v>64</v>
      </c>
      <c r="F125" s="23" t="n"/>
      <c r="G125" s="23">
        <f>IF(AND(ISNUMBER(E125),ISNUMBER(F125)),ROUND(E125*F125,2),"")</f>
        <v/>
      </c>
      <c r="H125" s="32" t="n"/>
      <c r="I125" s="32" t="n"/>
    </row>
    <row r="126" ht="90.95" customHeight="1">
      <c r="A126" s="36" t="inlineStr">
        <is>
          <t>09.02</t>
        </is>
      </c>
      <c r="B126" s="37" t="inlineStr">
        <is>
          <t>מחיצות גבס בקומת הקרקע</t>
        </is>
      </c>
      <c r="C126" s="38" t="inlineStr">
        <is>
          <t>ביצוע מחיצות וקירות גבס בקומת הקרקע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is>
      </c>
      <c r="D126" s="37" t="inlineStr">
        <is>
          <t>מ״ר</t>
        </is>
      </c>
      <c r="E126" s="28" t="n">
        <v>17</v>
      </c>
      <c r="F126" s="23" t="n"/>
      <c r="G126" s="23">
        <f>IF(AND(ISNUMBER(E126),ISNUMBER(F126)),ROUND(E126*F126,2),"")</f>
        <v/>
      </c>
      <c r="H126" s="32" t="n"/>
      <c r="I126" s="32" t="n"/>
    </row>
    <row r="127" ht="97.5" customHeight="1">
      <c r="A127" s="36" t="inlineStr">
        <is>
          <t>09.03</t>
        </is>
      </c>
      <c r="B127" s="37" t="inlineStr">
        <is>
          <t>מחיצות גבס בקומה א׳ ובגלריה</t>
        </is>
      </c>
      <c r="C127" s="38" t="inlineStr">
        <is>
          <t>ביצוע מחיצות וקירות גבס בקומה א׳ ובגלריה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is>
      </c>
      <c r="D127" s="37" t="inlineStr">
        <is>
          <t>מ״ר</t>
        </is>
      </c>
      <c r="E127" s="28" t="n">
        <v>52</v>
      </c>
      <c r="F127" s="23" t="n"/>
      <c r="G127" s="23">
        <f>IF(AND(ISNUMBER(E127),ISNUMBER(F127)),ROUND(E127*F127,2),"")</f>
        <v/>
      </c>
      <c r="H127" s="32" t="n"/>
      <c r="I127" s="32" t="n"/>
    </row>
    <row r="128" ht="79.5" customHeight="1">
      <c r="A128" s="36" t="inlineStr">
        <is>
          <t>09.04</t>
        </is>
      </c>
      <c r="B128" s="37" t="inlineStr">
        <is>
          <t>תקרות גבס תלויות</t>
        </is>
      </c>
      <c r="C128" s="38" t="inlineStr">
        <is>
          <t>ביצוע תקרות גבס תלויות או מונמכות באזורים המסומנים בתוכנית וככל שנדרש, לרבות מתלים, פרופילי נשיאה, לוחות ותיאום פתחים לתאורה ולמיזוג לפני הסגירה, בהתאם להוראות מערכת הגבס. שפכטל וצבע מתוארים בפרק 15.</t>
        </is>
      </c>
      <c r="D128" s="37" t="inlineStr">
        <is>
          <t>מ״ר</t>
        </is>
      </c>
      <c r="E128" s="28">
        <f>'[1]חישובי כמויות'!G32</f>
        <v/>
      </c>
      <c r="F128" s="23" t="n"/>
      <c r="G128" s="23">
        <f>IF(AND(ISNUMBER(E128),ISNUMBER(F128)),ROUND(E128*F128,2),"")</f>
        <v/>
      </c>
      <c r="H128" s="32" t="n"/>
      <c r="I128" s="32" t="n"/>
    </row>
    <row r="129">
      <c r="A129" s="15" t="inlineStr">
        <is>
          <t>סה״כ פרק 09 — מחיצות ותקרות גבס</t>
        </is>
      </c>
      <c r="B129" s="45" t="n"/>
      <c r="C129" s="45" t="n"/>
      <c r="D129" s="45" t="n"/>
      <c r="E129" s="45" t="n"/>
      <c r="F129" s="46" t="n"/>
      <c r="G129" s="9">
        <f>IF(COUNT(G125,G126,G127,G128)=0,"",SUM(G125,G126,G127,G128))</f>
        <v/>
      </c>
      <c r="H129" s="32" t="n"/>
      <c r="I129" s="32" t="n"/>
    </row>
    <row r="130">
      <c r="A130" s="32" t="n"/>
      <c r="B130" s="32" t="n"/>
      <c r="C130" s="32" t="n"/>
      <c r="D130" s="32" t="n"/>
      <c r="E130" s="32" t="n"/>
      <c r="F130" s="32" t="n"/>
      <c r="G130" s="32" t="n"/>
      <c r="H130" s="32" t="n"/>
      <c r="I130" s="32" t="n"/>
    </row>
    <row r="131" ht="15.75" customHeight="1">
      <c r="A131" s="18" t="inlineStr">
        <is>
          <t xml:space="preserve">פרק 10 — איטום </t>
        </is>
      </c>
      <c r="B131" s="45" t="n"/>
      <c r="C131" s="45" t="n"/>
      <c r="D131" s="45" t="n"/>
      <c r="E131" s="45" t="n"/>
      <c r="F131" s="45" t="n"/>
      <c r="G131" s="46" t="n"/>
      <c r="H131" s="32" t="n"/>
      <c r="I131" s="32" t="n"/>
    </row>
    <row r="132" ht="69" customHeight="1">
      <c r="A132" s="36" t="inlineStr">
        <is>
          <t>10.01</t>
        </is>
      </c>
      <c r="B132" s="37" t="inlineStr">
        <is>
          <t>איטום קירות חדרים רטובים</t>
        </is>
      </c>
      <c r="C132" s="38" t="inlineStr">
        <is>
          <t>ביצוע מערכת איטום לקירות באזורים הרטובים, בשטחים ובגבהים שיאושרו, לרבות התאמה לתשתית בלוקים, בטון או לוחות, טיפול בפינות ובמפגשים ואיטום סביב חדירות ואביזרים, בהתאם להנחיות יועץ האיטום.</t>
        </is>
      </c>
      <c r="D132" s="37" t="inlineStr">
        <is>
          <t>מ״ר</t>
        </is>
      </c>
      <c r="E132" s="28" t="n">
        <v>186</v>
      </c>
      <c r="F132" s="23" t="n"/>
      <c r="G132" s="23">
        <f>IF(AND(ISNUMBER(E132),ISNUMBER(F132)),ROUND(E132*F132,2),"")</f>
        <v/>
      </c>
      <c r="H132" s="32" t="n"/>
      <c r="I132" s="32" t="n"/>
    </row>
    <row r="133" ht="52.5" customHeight="1">
      <c r="A133" s="36" t="inlineStr">
        <is>
          <t>10.03</t>
        </is>
      </c>
      <c r="B133" s="37" t="inlineStr">
        <is>
          <t>בדיקות הצפה לחדרים רטובים</t>
        </is>
      </c>
      <c r="C133" s="38" t="inlineStr">
        <is>
          <t>ביצוע בדיקות הצפה נפרדות לחדרים הרטובים לאחר השלמת האיטום, למשך הזמן שיאשר יועץ האיטום, לרבות תיעוד הבדיקות וקבלת אישור בכתב לפני הריצוף.</t>
        </is>
      </c>
      <c r="D133" s="37" t="inlineStr">
        <is>
          <t>קומפ׳</t>
        </is>
      </c>
      <c r="E133" s="28" t="n">
        <v>5</v>
      </c>
      <c r="F133" s="23" t="n">
        <v>0</v>
      </c>
      <c r="G133" s="23">
        <f>IF(AND(ISNUMBER(E133),ISNUMBER(F133)),ROUND(E133*F133,2),"")</f>
        <v/>
      </c>
      <c r="H133" s="32" t="n"/>
      <c r="I133" s="32" t="n"/>
    </row>
    <row r="134" ht="44.25" customHeight="1">
      <c r="A134" s="36" t="inlineStr">
        <is>
          <t>10.04</t>
        </is>
      </c>
      <c r="B134" s="37" t="inlineStr">
        <is>
          <t xml:space="preserve">איטום מרפסות </t>
        </is>
      </c>
      <c r="C134" s="38" t="inlineStr">
        <is>
          <t>איטום רצפות המרפסות מעל חללים מבונים, כולל הרמות איטום, טיפול בספים ובנקודות ניקוז ובדיקת הצפה, בהנחיית יועץ האיטום.</t>
        </is>
      </c>
      <c r="D134" s="37" t="inlineStr">
        <is>
          <t>מ״ר</t>
        </is>
      </c>
      <c r="E134" s="28">
        <f>'[1]חישובי כמויות'!G36</f>
        <v/>
      </c>
      <c r="F134" s="23" t="n"/>
      <c r="G134" s="23">
        <f>IF(AND(ISNUMBER(E134),ISNUMBER(F134)),ROUND(E134*F134,2),"")</f>
        <v/>
      </c>
      <c r="H134" s="32" t="n"/>
      <c r="I134" s="32" t="n"/>
    </row>
    <row r="135" ht="33" customHeight="1">
      <c r="A135" s="52" t="inlineStr">
        <is>
          <t>סה״כ פרק 10 — איטום פנים</t>
        </is>
      </c>
      <c r="B135" s="53" t="n"/>
      <c r="C135" s="53" t="n"/>
      <c r="D135" s="53" t="n"/>
      <c r="E135" s="53" t="n"/>
      <c r="F135" s="54" t="n"/>
      <c r="G135" s="55">
        <f>IF(COUNT(G132,G133,G134)=0,"",SUM(G132,G133,G134))</f>
        <v/>
      </c>
      <c r="H135" s="32" t="n"/>
      <c r="I135" s="32" t="n"/>
    </row>
    <row r="136">
      <c r="A136" s="32" t="n"/>
      <c r="B136" s="32" t="n"/>
      <c r="C136" s="32" t="n"/>
      <c r="D136" s="32" t="n"/>
      <c r="E136" s="32" t="n"/>
      <c r="F136" s="32" t="n"/>
      <c r="G136" s="32" t="n"/>
      <c r="H136" s="32" t="n"/>
      <c r="I136" s="32" t="n"/>
    </row>
    <row r="137" ht="15.75" customHeight="1">
      <c r="A137" s="18" t="inlineStr">
        <is>
          <t>פרק 12 — אדני חלונות וספי פתחים</t>
        </is>
      </c>
      <c r="B137" s="45" t="n"/>
      <c r="C137" s="45" t="n"/>
      <c r="D137" s="45" t="n"/>
      <c r="E137" s="45" t="n"/>
      <c r="F137" s="45" t="n"/>
      <c r="G137" s="46" t="n"/>
      <c r="H137" s="32" t="n"/>
      <c r="I137" s="32" t="n"/>
    </row>
    <row r="138" ht="63.75" customHeight="1">
      <c r="A138" s="36" t="inlineStr">
        <is>
          <t>12.01</t>
        </is>
      </c>
      <c r="B138" s="37" t="inlineStr">
        <is>
          <t xml:space="preserve">התקנת אדני חלונות </t>
        </is>
      </c>
      <c r="C138" s="38" t="inlineStr">
        <is>
          <t>התקנת אדני חלונות פנימיים מאבן, שיש או חומר אחר שאושר במפרט, לאחר מדידה סופית של הפתחים, לרבות התאמה, מצע התקנה וקיבוע, בגמר ישר ואחיד וללא שברים או סדקים.</t>
        </is>
      </c>
      <c r="D138" s="37" t="inlineStr">
        <is>
          <t>מ״א</t>
        </is>
      </c>
      <c r="E138" s="29" t="n">
        <v>33.23</v>
      </c>
      <c r="F138" s="23" t="n"/>
      <c r="G138" s="23">
        <f>IF(AND(ISNUMBER(E138),ISNUMBER(F138)),ROUND(E138*F138,2),"")</f>
        <v/>
      </c>
      <c r="H138" s="32" t="n"/>
      <c r="I138" s="32" t="n"/>
    </row>
    <row r="139" ht="51" customHeight="1">
      <c r="A139" s="36" t="inlineStr">
        <is>
          <t>12.02</t>
        </is>
      </c>
      <c r="B139" s="37" t="inlineStr">
        <is>
          <t>התקנת ספי חלונות חיצוניים</t>
        </is>
      </c>
      <c r="C139" s="38" t="inlineStr">
        <is>
          <t>התקנת ספי חלונות חיצוניים מהחומר המאושר, לאחר מדידה סופית, לרבות התאמה וקיבוע בשיפוע כלפי חוץ ותיאום עם מסגרות האלומיניום ועם מערכת האיטום.</t>
        </is>
      </c>
      <c r="D139" s="37" t="inlineStr">
        <is>
          <t>מ״א</t>
        </is>
      </c>
      <c r="E139" s="29" t="n">
        <v>35</v>
      </c>
      <c r="F139" s="23" t="n"/>
      <c r="G139" s="23">
        <f>IF(AND(ISNUMBER(E139),ISNUMBER(F139)),ROUND(E139*F139,2),"")</f>
        <v/>
      </c>
      <c r="H139" s="32" t="n"/>
      <c r="I139" s="32" t="n"/>
    </row>
    <row r="140" ht="42" customHeight="1">
      <c r="A140" s="47" t="inlineStr">
        <is>
          <t>12.04</t>
        </is>
      </c>
      <c r="B140" s="48" t="inlineStr">
        <is>
          <t>איטום חלונות</t>
        </is>
      </c>
      <c r="C140" s="49" t="inlineStr">
        <is>
          <t>איטום חלונות בהיקף המסגרות, לרבות הכנת הפתח, מילוי ואיטום בחומר איטום מתאים ובדיקת אטימות.</t>
        </is>
      </c>
      <c r="D140" s="48" t="inlineStr">
        <is>
          <t>מ״א</t>
        </is>
      </c>
      <c r="E140" s="50" t="n">
        <v>68.23</v>
      </c>
      <c r="F140" s="51" t="n"/>
      <c r="G140" s="51">
        <f>IF(AND(ISNUMBER(E140),ISNUMBER(F140)),ROUND(E140*F140,2),"")</f>
        <v/>
      </c>
      <c r="H140" s="32" t="n"/>
      <c r="I140" s="32" t="n"/>
    </row>
    <row r="141">
      <c r="A141" s="52" t="inlineStr">
        <is>
          <t>סה״כ פרק 12 — אדני חלונות וספי פתחים</t>
        </is>
      </c>
      <c r="B141" s="53" t="n"/>
      <c r="C141" s="53" t="n"/>
      <c r="D141" s="53" t="n"/>
      <c r="E141" s="53" t="n"/>
      <c r="F141" s="54" t="n"/>
      <c r="G141" s="55">
        <f>IF(COUNT(G138,G139,G140)=0,"",SUM(G138,G139,G140))</f>
        <v/>
      </c>
      <c r="H141" s="32" t="n"/>
      <c r="I141" s="32" t="n"/>
    </row>
    <row r="142">
      <c r="A142" s="32" t="n"/>
      <c r="B142" s="32" t="n"/>
      <c r="C142" s="32" t="n"/>
      <c r="D142" s="32" t="n"/>
      <c r="E142" s="32" t="n"/>
      <c r="F142" s="32" t="n"/>
      <c r="G142" s="32" t="n"/>
      <c r="H142" s="32" t="n"/>
      <c r="I142" s="32" t="n"/>
    </row>
    <row r="143" ht="15.75" customHeight="1">
      <c r="A143" s="18" t="inlineStr">
        <is>
          <t>פרק 13 — ריצופים, חיפויים ופנלים</t>
        </is>
      </c>
      <c r="B143" s="45" t="n"/>
      <c r="C143" s="45" t="n"/>
      <c r="D143" s="45" t="n"/>
      <c r="E143" s="45" t="n"/>
      <c r="F143" s="45" t="n"/>
      <c r="G143" s="46" t="n"/>
      <c r="H143" s="32" t="n"/>
      <c r="I143" s="32" t="n"/>
    </row>
    <row r="144" ht="68.25" customHeight="1">
      <c r="A144" s="36" t="inlineStr">
        <is>
          <t>13.01</t>
        </is>
      </c>
      <c r="B144" s="37" t="inlineStr">
        <is>
          <t>ריצוף פנים באריחים 120×120 ס״מ, כולל רצפות מקלחות</t>
        </is>
      </c>
      <c r="C144" s="38" t="inlineStr">
        <is>
          <t>הנחת אריחי 120×120 ס״מ בשטחי הפנים, כולל רצפות המקלחות (28.90 מ״ר) לאחר אישור האיטום, לרבות הכנת תשתית, הדבקה, חיתוכים, התאמת שיפועים לניקוזים ומילוי פוגות.</t>
        </is>
      </c>
      <c r="D144" s="37" t="inlineStr">
        <is>
          <t>מ״ר</t>
        </is>
      </c>
      <c r="E144" s="28" t="n">
        <v>219.9</v>
      </c>
      <c r="F144" s="23" t="n"/>
      <c r="G144" s="23">
        <f>IF(AND(ISNUMBER(E144),ISNUMBER(F144)),ROUND(E144*F144,2),"")</f>
        <v/>
      </c>
      <c r="H144" s="32" t="n"/>
      <c r="I144" s="32" t="n"/>
    </row>
    <row r="145" ht="55.5" customHeight="1">
      <c r="A145" s="36" t="inlineStr">
        <is>
          <t>13.02</t>
        </is>
      </c>
      <c r="B145" s="37" t="inlineStr">
        <is>
          <t>ריצוף פנים במרתף באריחים 120×60 ס״מ</t>
        </is>
      </c>
      <c r="C145" s="38" t="inlineStr">
        <is>
          <t>הנחת אריחי ריצוף במידות 120×60 ס״מ בשטחי הפנים של המרתף, ללא רצפות המקלחות, לרבות הכנת תשתית ההתקנה, חיתוכים, התאמות ומילוי פוגות.</t>
        </is>
      </c>
      <c r="D145" s="37" t="inlineStr">
        <is>
          <t>מ״ר</t>
        </is>
      </c>
      <c r="E145" s="28" t="n">
        <v>105</v>
      </c>
      <c r="F145" s="23" t="n"/>
      <c r="G145" s="23">
        <f>IF(AND(ISNUMBER(E145),ISNUMBER(F145)),ROUND(E145*F145,2),"")</f>
        <v/>
      </c>
      <c r="H145" s="32" t="n"/>
      <c r="I145" s="32" t="n"/>
    </row>
    <row r="146" ht="72.75" customHeight="1">
      <c r="A146" s="36" t="inlineStr">
        <is>
          <t>13.03</t>
        </is>
      </c>
      <c r="B146" s="37" t="inlineStr">
        <is>
          <t>חיפוי קירות מקלחות באריחים 120×60 ס״מ</t>
        </is>
      </c>
      <c r="C146" s="38" t="inlineStr">
        <is>
          <t>חיפוי קירות המקלחות באריחים במידות 120×60 ס״מ, לאחר אישור מערכת האיטום, לרבות הדבקה בחומר מתאים, חיתוכים סביב אביזרים ופתחים, פרופילי גמר לפי התוכנית ומילוי פוגות.</t>
        </is>
      </c>
      <c r="D146" s="37" t="inlineStr">
        <is>
          <t>מ״ר</t>
        </is>
      </c>
      <c r="E146" s="28" t="n">
        <v>121.2</v>
      </c>
      <c r="F146" s="23" t="n"/>
      <c r="G146" s="23">
        <f>IF(AND(ISNUMBER(E146),ISNUMBER(F146)),ROUND(E146*F146,2),"")</f>
        <v/>
      </c>
      <c r="H146" s="32" t="n"/>
      <c r="I146" s="32" t="n"/>
    </row>
    <row r="147" ht="59.25" customHeight="1">
      <c r="A147" s="36" t="inlineStr">
        <is>
          <t>13.04</t>
        </is>
      </c>
      <c r="B147" s="37" t="inlineStr">
        <is>
          <t>התקנת פנלים</t>
        </is>
      </c>
      <c r="C147" s="38" t="inlineStr">
        <is>
          <t>חיתוך והתקנת פנלים מאריחי הגמר שנבחרו, בגובה ובהתאם לפרט המאושר, לרבות הדבקה, התאמות בפינות ובפתחים ומילוי המישקים.</t>
        </is>
      </c>
      <c r="D147" s="37" t="inlineStr">
        <is>
          <t>מטר רץ</t>
        </is>
      </c>
      <c r="E147" s="28" t="n">
        <v>285</v>
      </c>
      <c r="F147" s="23" t="n"/>
      <c r="G147" s="23">
        <f>IF(AND(ISNUMBER(E147),ISNUMBER(F147)),ROUND(E147*F147,2),"")</f>
        <v/>
      </c>
      <c r="H147" s="32" t="n"/>
      <c r="I147" s="32" t="n"/>
    </row>
    <row r="148" ht="59.25" customHeight="1">
      <c r="A148" s="36" t="inlineStr">
        <is>
          <t>13.05</t>
        </is>
      </c>
      <c r="B148" s="37" t="inlineStr">
        <is>
          <t>ריצוף חוץ ומרפסות באריחים 120×60 ס״מ, R11</t>
        </is>
      </c>
      <c r="C148" s="38" t="inlineStr">
        <is>
          <t>הנחת אריחי חוץ 120×60 ס״מ R10 בשטחי החוץ ובמרפסות, לאחר אישור התשתית והאיטום, לרבות התאמה למפלסים, לשיפועי ניקוז ולספי הפתחים, חיתוכים ומילוי פוגות.</t>
        </is>
      </c>
      <c r="D148" s="37" t="inlineStr">
        <is>
          <t>מ״ר</t>
        </is>
      </c>
      <c r="E148" s="28" t="n">
        <v>263.7</v>
      </c>
      <c r="F148" s="23" t="n"/>
      <c r="G148" s="23">
        <f>IF(AND(ISNUMBER(E148),ISNUMBER(F148)),ROUND(E148*F148,2),"")</f>
        <v/>
      </c>
      <c r="H148" s="32" t="n"/>
      <c r="I148" s="32" t="n"/>
    </row>
    <row r="149" ht="39.75" customHeight="1">
      <c r="A149" s="36" t="inlineStr">
        <is>
          <t>13.07</t>
        </is>
      </c>
      <c r="B149" s="37" t="inlineStr">
        <is>
          <t>חיפוי מדרגות פנים (שלח ורום)</t>
        </is>
      </c>
      <c r="C149" s="38" t="inlineStr">
        <is>
          <t>חיפוי מדרגות פנים באבן או באריחים לפי בחירה, שלח ורום, כולל פסי החלקה ופרופילי גמר.</t>
        </is>
      </c>
      <c r="D149" s="37" t="inlineStr">
        <is>
          <t>מ״א</t>
        </is>
      </c>
      <c r="E149" s="28" t="n">
        <v>51.7</v>
      </c>
      <c r="F149" s="23" t="n"/>
      <c r="G149" s="23">
        <f>IF(AND(ISNUMBER(E149),ISNUMBER(F149)),ROUND(E149*F149,2),"")</f>
        <v/>
      </c>
      <c r="H149" s="32" t="n"/>
      <c r="I149" s="32" t="n"/>
    </row>
    <row r="150" ht="42" customHeight="1">
      <c r="A150" s="47" t="inlineStr">
        <is>
          <t>13.08</t>
        </is>
      </c>
      <c r="B150" s="48" t="inlineStr">
        <is>
          <t>ריצוף מדרגות כניסה חדשות</t>
        </is>
      </c>
      <c r="C150" s="49" t="inlineStr">
        <is>
          <t xml:space="preserve">ריצוף או חיפוי גרם מדרגות הכניסה החדש באריחי חוץ R10, כולל שלח, רום </t>
        </is>
      </c>
      <c r="D150" s="48" t="inlineStr">
        <is>
          <t>מ״א</t>
        </is>
      </c>
      <c r="E150" s="50" t="n">
        <v>13.8</v>
      </c>
      <c r="F150" s="51" t="n"/>
      <c r="G150" s="51">
        <f>IF(AND(ISNUMBER(E150),ISNUMBER(F150)),ROUND(E150*F150,2),"")</f>
        <v/>
      </c>
      <c r="H150" s="32" t="n"/>
      <c r="I150" s="32" t="n"/>
    </row>
    <row r="151">
      <c r="A151" s="15" t="inlineStr">
        <is>
          <t>סה״כ פרק 13 — ריצופים, חיפויים ופנלים</t>
        </is>
      </c>
      <c r="B151" s="45" t="n"/>
      <c r="C151" s="45" t="n"/>
      <c r="D151" s="45" t="n"/>
      <c r="E151" s="45" t="n"/>
      <c r="F151" s="46" t="n"/>
      <c r="G151" s="9">
        <f>IF(COUNT(G144,G145,G146,G147,G148,G149,G150)=0,"",SUM(G144,G145,G146,G147,G148,G149,G150))</f>
        <v/>
      </c>
      <c r="H151" s="32" t="n"/>
      <c r="I151" s="32" t="n"/>
    </row>
    <row r="152">
      <c r="A152" s="32" t="n"/>
      <c r="B152" s="32" t="n"/>
      <c r="C152" s="32" t="n"/>
      <c r="D152" s="32" t="n"/>
      <c r="E152" s="32" t="n"/>
      <c r="F152" s="32" t="n"/>
      <c r="G152" s="32" t="n"/>
      <c r="H152" s="32" t="n"/>
      <c r="I152" s="32" t="n"/>
    </row>
    <row r="153" ht="15.75" customHeight="1">
      <c r="A153" s="56" t="inlineStr">
        <is>
          <t>פרק 14 — טיח, שפכטל וצבע</t>
        </is>
      </c>
      <c r="B153" s="53" t="n"/>
      <c r="C153" s="53" t="n"/>
      <c r="D153" s="53" t="n"/>
      <c r="E153" s="53" t="n"/>
      <c r="F153" s="53" t="n"/>
      <c r="G153" s="54" t="n"/>
      <c r="H153" s="32" t="n"/>
      <c r="I153" s="32" t="n"/>
    </row>
    <row r="154" ht="69" customHeight="1">
      <c r="A154" s="36" t="inlineStr">
        <is>
          <t>14.01</t>
        </is>
      </c>
      <c r="B154" s="37" t="inlineStr">
        <is>
          <t>הכנת תשתית וטיח צבעוני לחזיתות הבית</t>
        </is>
      </c>
      <c r="C154" s="38" t="inlineStr">
        <is>
          <t>הכנה ותיקון תשתית החזית (כולל יישור אזורי המסגרות שפורקו ורשת במעברי חומרים) ויישום מערכת גמר צבעונית בגוון ובמרקם המאושרים, עם גבולות ישרים במפגש עם אזורי חיפוי.</t>
        </is>
      </c>
      <c r="D154" s="37" t="inlineStr">
        <is>
          <t>מ״ר</t>
        </is>
      </c>
      <c r="E154" s="28" t="n">
        <v>225</v>
      </c>
      <c r="F154" s="23" t="n"/>
      <c r="G154" s="23">
        <f>IF(AND(ISNUMBER(E154),ISNUMBER(F154)),ROUND(E154*F154,2),"")</f>
        <v/>
      </c>
      <c r="H154" s="32" t="n"/>
      <c r="I154" s="32" t="n"/>
    </row>
    <row r="155" ht="141" customHeight="1">
      <c r="A155" s="47" t="inlineStr">
        <is>
          <t>14.02</t>
        </is>
      </c>
      <c r="B155" s="48" t="inlineStr">
        <is>
          <t>תיקוני טיח, שפכטל וצבע פנים</t>
        </is>
      </c>
      <c r="C155" s="49" t="inlineStr">
        <is>
          <t>תיקוני טיח בקירות ובתקרות הפנים, יישור והחלקה בשפכטל וצביעה בצבע אקרילי איכותי, לרבות הכנות, הגנה על אלמנטים סמוכים וניקיון, עד לאישור המעצבת. הסעיף אינו כולל חללים ציבוריים. הכמות לפי כתב הכמויות של המעצבת (מרתף 254, קרקע 118, קומה א׳ 204 מ״ר).</t>
        </is>
      </c>
      <c r="D155" s="48" t="inlineStr">
        <is>
          <t>מ״ר</t>
        </is>
      </c>
      <c r="E155" s="50" t="n">
        <v>576</v>
      </c>
      <c r="F155" s="51" t="n"/>
      <c r="G155" s="51">
        <f>IF(AND(ISNUMBER(E155),ISNUMBER(F155)),ROUND(E155*F155,2),"")</f>
        <v/>
      </c>
      <c r="H155" s="32" t="n"/>
      <c r="I155" s="32" t="n"/>
    </row>
    <row r="156" ht="100.5" customHeight="1">
      <c r="A156" s="47" t="inlineStr">
        <is>
          <t>14.03</t>
        </is>
      </c>
      <c r="B156" s="48" t="inlineStr">
        <is>
          <t>שפכטל אמריקאי וצבע – חלל ציבורי</t>
        </is>
      </c>
      <c r="C156" s="49" t="inlineStr">
        <is>
          <t>שפכטל אמריקאי בגימור חלק בקירות החללים הציבוריים, לרבות הכנת התשתית, ליטוש וצביעה בצבע עמיד המתאים לחללים ציבוריים. שטח זה ייגרע מהכמות בסעיף 14.02 בעת המדידה.</t>
        </is>
      </c>
      <c r="D156" s="48" t="inlineStr">
        <is>
          <t>מ״ר</t>
        </is>
      </c>
      <c r="E156" s="50" t="inlineStr">
        <is>
          <t>להשלמה</t>
        </is>
      </c>
      <c r="F156" s="51" t="n"/>
      <c r="G156" s="51">
        <f>IF(AND(ISNUMBER(E156),ISNUMBER(F156)),ROUND(E156*F156,2),"")</f>
        <v/>
      </c>
      <c r="H156" s="32" t="n"/>
      <c r="I156" s="32" t="n"/>
    </row>
    <row r="157">
      <c r="A157" s="52" t="inlineStr">
        <is>
          <t>סה״כ פרק 14 — טיח, שפכטל וצבע</t>
        </is>
      </c>
      <c r="B157" s="53" t="n"/>
      <c r="C157" s="53" t="n"/>
      <c r="D157" s="53" t="n"/>
      <c r="E157" s="53" t="n"/>
      <c r="F157" s="54" t="n"/>
      <c r="G157" s="55">
        <f>IF(COUNT(G154,G155,G156)=0,"",SUM(G154,G155,G156))</f>
        <v/>
      </c>
      <c r="H157" s="32" t="n"/>
      <c r="I157" s="32" t="n"/>
    </row>
    <row r="158">
      <c r="A158" s="32" t="n"/>
      <c r="B158" s="32" t="n"/>
      <c r="C158" s="32" t="n"/>
      <c r="D158" s="32" t="n"/>
      <c r="E158" s="32" t="n"/>
      <c r="F158" s="32" t="n"/>
      <c r="G158" s="32" t="n"/>
      <c r="H158" s="32" t="n"/>
      <c r="I158" s="32" t="n"/>
    </row>
    <row r="159" ht="15.75" customHeight="1">
      <c r="A159" s="18" t="inlineStr">
        <is>
          <t>פרק 17 — פיתוח חוץ</t>
        </is>
      </c>
      <c r="B159" s="45" t="n"/>
      <c r="C159" s="45" t="n"/>
      <c r="D159" s="45" t="n"/>
      <c r="E159" s="45" t="n"/>
      <c r="F159" s="45" t="n"/>
      <c r="G159" s="46" t="n"/>
      <c r="H159" s="32" t="n"/>
      <c r="I159" s="32" t="n"/>
    </row>
    <row r="160" ht="105" customHeight="1">
      <c r="A160" s="36" t="inlineStr">
        <is>
          <t>17.01</t>
        </is>
      </c>
      <c r="B160" s="37" t="inlineStr">
        <is>
          <t>עבודות עפר ופילוס שטחי הפיתוח</t>
        </is>
      </c>
      <c r="C160" s="38" t="inlineStr">
        <is>
          <t>ביצוע עבודות העפר והפילוס לשטחי הפיתוח בהתאם לתוכנית המאושרת, לרבות עיצוב מפלסים, תיחום והידוק הקרקע להשגת תשתית יציבה.</t>
        </is>
      </c>
      <c r="D160" s="37" t="inlineStr">
        <is>
          <t>מ״ר</t>
        </is>
      </c>
      <c r="E160" s="29" t="n">
        <v>60</v>
      </c>
      <c r="F160" s="23" t="n"/>
      <c r="G160" s="23">
        <f>IF(AND(ISNUMBER(E160),ISNUMBER(F160)),ROUND(E160*F160,2),"")</f>
        <v/>
      </c>
      <c r="H160" s="32" t="n"/>
      <c r="I160" s="32" t="n"/>
    </row>
    <row r="161" ht="86.09999999999999" customHeight="1">
      <c r="A161" s="36" t="inlineStr">
        <is>
          <t>17.02</t>
        </is>
      </c>
      <c r="B161" s="37" t="inlineStr">
        <is>
          <t>מערכת ניקוז מי נגר</t>
        </is>
      </c>
      <c r="C161" s="38" t="inlineStr">
        <is>
          <t>ביצוע מערכת ניקוז מי נגר בשטחי הפיתוח בהתאם לתכנון, לרבות רכיבי הניקוז והחיבורים המוגדרים, התאמה למפלסים ולשיפועים ובדיקת זרימה המוודאת הרחקת מים מהמבנה.</t>
        </is>
      </c>
      <c r="D161" s="37" t="inlineStr">
        <is>
          <t>קומפ׳</t>
        </is>
      </c>
      <c r="E161" s="29" t="n">
        <v>1</v>
      </c>
      <c r="F161" s="23" t="n"/>
      <c r="G161" s="23">
        <f>IF(AND(ISNUMBER(E161),ISNUMBER(F161)),ROUND(E161*F161,2),"")</f>
        <v/>
      </c>
      <c r="H161" s="32" t="n"/>
      <c r="I161" s="32" t="n"/>
    </row>
    <row r="162" ht="56.1" customHeight="1">
      <c r="A162" s="36" t="inlineStr">
        <is>
          <t>17.04</t>
        </is>
      </c>
      <c r="B162" s="37" t="inlineStr">
        <is>
          <t>גינון, מערכת השקיה אוטומטית וברזי גינה</t>
        </is>
      </c>
      <c r="C162" s="38" t="inlineStr">
        <is>
          <t>עבודות גינון בשטחים המיועדים, מערכת השקיה אוטומטית (צנרת, טפטוף/המטרה ובקר) וחיבור 11 ברזי גינה, כולל בדיקת תפקוד. סוגי הצמחייה טעונים השלמה.</t>
        </is>
      </c>
      <c r="D162" s="37" t="inlineStr">
        <is>
          <t>קומפ׳</t>
        </is>
      </c>
      <c r="E162" s="28" t="n">
        <v>1</v>
      </c>
      <c r="F162" s="23" t="n">
        <v>0</v>
      </c>
      <c r="G162" s="23">
        <f>IF(AND(ISNUMBER(E162),ISNUMBER(F162)),ROUND(E162*F162,2),"")</f>
        <v/>
      </c>
      <c r="H162" s="32" t="n"/>
      <c r="I162" s="32" t="n"/>
    </row>
    <row r="163" ht="74.09999999999999" customHeight="1">
      <c r="A163" s="36" t="inlineStr">
        <is>
          <t>17.05</t>
        </is>
      </c>
      <c r="B163" s="37" t="inlineStr">
        <is>
          <t>תאורת גן כולל חיבור חשמלי</t>
        </is>
      </c>
      <c r="C163" s="38" t="inlineStr">
        <is>
          <t>התקנת גופי תאורת גן בדרגת ההגנה הנדרשת, כולל החיבורים החשמליים למעגל מוגן ייעודי ובדיקת תקינות. גופים המתומחרים בפרק 07 לא ייכללו שוב.</t>
        </is>
      </c>
      <c r="D163" s="37" t="inlineStr">
        <is>
          <t>קומפ׳</t>
        </is>
      </c>
      <c r="E163" s="28" t="n">
        <v>1</v>
      </c>
      <c r="F163" s="23" t="n"/>
      <c r="G163" s="23">
        <f>IF(AND(ISNUMBER(E163),ISNUMBER(F163)),ROUND(E163*F163,2),"")</f>
        <v/>
      </c>
      <c r="H163" s="32" t="n"/>
      <c r="I163" s="32" t="n"/>
    </row>
    <row r="164">
      <c r="A164" s="15" t="inlineStr">
        <is>
          <t>סה״כ פרק 17 — פיתוח חוץ</t>
        </is>
      </c>
      <c r="B164" s="45" t="n"/>
      <c r="C164" s="45" t="n"/>
      <c r="D164" s="45" t="n"/>
      <c r="E164" s="45" t="n"/>
      <c r="F164" s="46" t="n"/>
      <c r="G164" s="9">
        <f>IF(COUNT(G160,G161,G162,G163)=0,"",SUM(G160,G161,G162,G163))</f>
        <v/>
      </c>
      <c r="H164" s="32" t="n"/>
      <c r="I164" s="32" t="n"/>
    </row>
    <row r="165">
      <c r="A165" s="32" t="n"/>
      <c r="B165" s="32" t="n"/>
      <c r="C165" s="32" t="n"/>
      <c r="D165" s="32" t="n"/>
      <c r="E165" s="32" t="n"/>
      <c r="F165" s="32" t="n"/>
      <c r="G165" s="32" t="n"/>
      <c r="H165" s="32" t="n"/>
      <c r="I165" s="32" t="n"/>
    </row>
    <row r="166">
      <c r="A166" s="52" t="inlineStr">
        <is>
          <t>סיכום הצעה מתומחרת</t>
        </is>
      </c>
      <c r="B166" s="53" t="n"/>
      <c r="C166" s="53" t="n"/>
      <c r="D166" s="53" t="n"/>
      <c r="E166" s="53" t="n"/>
      <c r="F166" s="54" t="n"/>
      <c r="G166" s="55">
        <f>IF(COUNT(G13,G36,G44,G50,G86,G100,G122,G129,G135,G141,G151,G157,G164)=0,"",SUM(G13,G36,G44,G50,G86,G100,G122,G129,G135,G141,G151,G157,G164))</f>
        <v/>
      </c>
      <c r="H166" s="32" t="n"/>
      <c r="I166" s="32" t="n"/>
    </row>
    <row r="167">
      <c r="A167" s="21" t="inlineStr">
        <is>
          <t>שיעור מע״מ</t>
        </is>
      </c>
      <c r="B167" s="45" t="n"/>
      <c r="C167" s="45" t="n"/>
      <c r="D167" s="46" t="n"/>
      <c r="E167" s="30" t="n">
        <v>0.18</v>
      </c>
      <c r="F167" s="23" t="n"/>
      <c r="G167" s="23">
        <f>IF(ISNUMBER(G166),ROUND(G166*E167,2),"")</f>
        <v/>
      </c>
      <c r="H167" s="32" t="n"/>
      <c r="I167" s="32" t="n"/>
    </row>
    <row r="168" ht="15.75" customHeight="1">
      <c r="A168" s="15" t="inlineStr">
        <is>
          <t>סך מתומחר כולל מע״מ</t>
        </is>
      </c>
      <c r="B168" s="45" t="n"/>
      <c r="C168" s="45" t="n"/>
      <c r="D168" s="45" t="n"/>
      <c r="E168" s="45" t="n"/>
      <c r="F168" s="46" t="n"/>
      <c r="G168" s="9">
        <f>IF(ISNUMBER(G166),G166+G167,"")</f>
        <v/>
      </c>
      <c r="H168" s="32" t="n"/>
      <c r="I168" s="32" t="n"/>
    </row>
    <row r="169">
      <c r="A169" s="32" t="n"/>
      <c r="B169" s="32" t="n"/>
      <c r="C169" s="32" t="n"/>
      <c r="D169" s="32" t="n"/>
      <c r="E169" s="32" t="n"/>
      <c r="F169" s="32" t="n"/>
      <c r="G169" s="32" t="n"/>
      <c r="H169" s="32" t="n"/>
      <c r="I169" s="32" t="n"/>
    </row>
    <row r="170">
      <c r="A170" s="32" t="n"/>
      <c r="B170" s="32" t="n"/>
      <c r="C170" s="32" t="n"/>
      <c r="D170" s="32" t="n"/>
      <c r="E170" s="32" t="n"/>
      <c r="F170" s="32" t="n"/>
      <c r="G170" s="32" t="n"/>
      <c r="H170" s="32" t="n"/>
      <c r="I170" s="32" t="n"/>
    </row>
    <row r="171">
      <c r="A171" s="32" t="n"/>
      <c r="B171" s="32" t="n"/>
      <c r="C171" s="32" t="n"/>
      <c r="D171" s="32" t="n"/>
      <c r="E171" s="32" t="n"/>
      <c r="F171" s="32" t="n"/>
      <c r="G171" s="32" t="n"/>
      <c r="H171" s="32" t="n"/>
      <c r="I171" s="32" t="n"/>
    </row>
    <row r="172">
      <c r="A172" s="32" t="n"/>
      <c r="B172" s="32" t="n"/>
      <c r="C172" s="32" t="n"/>
      <c r="D172" s="32" t="n"/>
      <c r="E172" s="32" t="n"/>
      <c r="F172" s="32" t="n"/>
      <c r="G172" s="32" t="n"/>
      <c r="H172" s="32" t="n"/>
      <c r="I172" s="32" t="n"/>
    </row>
  </sheetData>
  <mergeCells count="30">
    <mergeCell ref="A159:G159"/>
    <mergeCell ref="A164:F164"/>
    <mergeCell ref="A131:G131"/>
    <mergeCell ref="A4:G4"/>
    <mergeCell ref="A38:G38"/>
    <mergeCell ref="A50:F50"/>
    <mergeCell ref="A52:G52"/>
    <mergeCell ref="A86:F86"/>
    <mergeCell ref="A129:F129"/>
    <mergeCell ref="A102:G102"/>
    <mergeCell ref="A151:F151"/>
    <mergeCell ref="A143:G143"/>
    <mergeCell ref="A167:D167"/>
    <mergeCell ref="A141:F141"/>
    <mergeCell ref="A135:F135"/>
    <mergeCell ref="A15:G15"/>
    <mergeCell ref="A100:F100"/>
    <mergeCell ref="A122:F122"/>
    <mergeCell ref="A1:G1"/>
    <mergeCell ref="A88:G88"/>
    <mergeCell ref="A13:F13"/>
    <mergeCell ref="A44:F44"/>
    <mergeCell ref="A124:G124"/>
    <mergeCell ref="A153:G153"/>
    <mergeCell ref="A157:F157"/>
    <mergeCell ref="A137:G137"/>
    <mergeCell ref="A166:F166"/>
    <mergeCell ref="A46:G46"/>
    <mergeCell ref="A36:F36"/>
    <mergeCell ref="A168:F168"/>
  </mergeCells>
  <pageMargins left="0.7" right="0.7" top="0.75" bottom="0.75" header="0.3" footer="0.3"/>
  <pageSetup orientation="landscape" paperSize="9" verticalDpi="0"/>
</worksheet>
</file>

<file path=xl/worksheets/sheet2.xml><?xml version="1.0" encoding="utf-8"?>
<worksheet xmlns="http://schemas.openxmlformats.org/spreadsheetml/2006/main">
  <sheetPr>
    <outlinePr summaryBelow="1" summaryRight="1"/>
    <pageSetUpPr/>
  </sheetPr>
  <dimension ref="A1:C14"/>
  <sheetViews>
    <sheetView rightToLeft="1" workbookViewId="0">
      <selection activeCell="A1" sqref="A1"/>
    </sheetView>
  </sheetViews>
  <sheetFormatPr baseColWidth="8" defaultRowHeight="15"/>
  <cols>
    <col width="18" customWidth="1" min="1" max="1"/>
    <col width="22" customWidth="1" min="2" max="2"/>
    <col width="110" customWidth="1" min="3" max="3"/>
  </cols>
  <sheetData>
    <row r="1">
      <c r="A1" s="57" t="inlineStr">
        <is>
          <t>סעיף</t>
        </is>
      </c>
      <c r="B1" s="57" t="inlineStr">
        <is>
          <t>פעולה</t>
        </is>
      </c>
      <c r="C1" s="57" t="inlineStr">
        <is>
          <t>פירוט</t>
        </is>
      </c>
    </row>
    <row r="2">
      <c r="A2" s="57" t="inlineStr">
        <is>
          <t>06.12</t>
        </is>
      </c>
      <c r="B2" s="57" t="inlineStr">
        <is>
          <t>שונה</t>
        </is>
      </c>
      <c r="C2" s="57" t="inlineStr">
        <is>
          <t>הוחלף ל"חיבור ישיר ללוח חשמל – כיריים, תנור וצרכנים ייעודיים", קומפ׳ 1, במקום נקודות נפרדות. סעיף 06.10 (שקע כוח, 9 יח׳) לא שונה – אם הוא מיועד לכיריים/תנור/מדיח, יש למחוק אותו למניעת כפל</t>
        </is>
      </c>
    </row>
    <row r="3">
      <c r="A3" s="57" t="inlineStr">
        <is>
          <t>פרק 14 ופרק 15</t>
        </is>
      </c>
      <c r="B3" s="57" t="inlineStr">
        <is>
          <t>אוחדו</t>
        </is>
      </c>
      <c r="C3" s="57" t="inlineStr">
        <is>
          <t>פרק 15 נמחק ואוחד עם פרק 14 לפרק "טיח, שפכטל וצבע". 15.01–15.03 (קומפ׳ 1 לכל קומה) הוחלפו בסעיף אחד 14.02 – 576 מ״ר (254+118+204 לפי כתב הכמויות של המעצבת), ללא המילים "3 ידיים"</t>
        </is>
      </c>
    </row>
    <row r="4">
      <c r="A4" s="57" t="inlineStr">
        <is>
          <t>14.03</t>
        </is>
      </c>
      <c r="B4" s="57" t="inlineStr">
        <is>
          <t>נוסף</t>
        </is>
      </c>
      <c r="C4" s="57" t="inlineStr">
        <is>
          <t>שפכטל אמריקאי וצבע לחלל ציבורי – כמות "להשלמה" (לא ניתן לגזור מהמסמכים; השטח ייגרע מ-14.02)</t>
        </is>
      </c>
    </row>
    <row r="5">
      <c r="A5" s="57" t="inlineStr">
        <is>
          <t>07.02א</t>
        </is>
      </c>
      <c r="B5" s="57" t="inlineStr">
        <is>
          <t>נוסף</t>
        </is>
      </c>
      <c r="C5" s="57" t="inlineStr">
        <is>
          <t>מפסק צלב, 3 יח׳, עם תיאור</t>
        </is>
      </c>
    </row>
    <row r="6">
      <c r="A6" s="57" t="inlineStr">
        <is>
          <t>12.04</t>
        </is>
      </c>
      <c r="B6" s="57" t="inlineStr">
        <is>
          <t>הוחלף</t>
        </is>
      </c>
      <c r="C6" s="57" t="inlineStr">
        <is>
          <t>סעיף איטום המפגשים בחומר גמיש (125.62 מ״א) נמחק, ובמקומו "איטום חלונות" פשוט 68.23 מ״א</t>
        </is>
      </c>
    </row>
    <row r="7">
      <c r="A7" s="57" t="inlineStr">
        <is>
          <t>12.03</t>
        </is>
      </c>
      <c r="B7" s="57" t="inlineStr">
        <is>
          <t>נמחק</t>
        </is>
      </c>
      <c r="C7" s="57" t="inlineStr">
        <is>
          <t>ספי דלתות (19 מ״א) – לא מבוצעים</t>
        </is>
      </c>
    </row>
    <row r="8">
      <c r="A8" s="57" t="inlineStr">
        <is>
          <t>02.20</t>
        </is>
      </c>
      <c r="B8" s="57" t="inlineStr">
        <is>
          <t>נוסף (נגזרת)</t>
        </is>
      </c>
      <c r="C8" s="57" t="inlineStr">
        <is>
          <t>פירוק מדרגות כניסה קיימות – קומפ׳ 1, כי המדרגות הישנות מוחלפות במרחפות</t>
        </is>
      </c>
    </row>
    <row r="9">
      <c r="A9" s="57" t="inlineStr">
        <is>
          <t>03.05</t>
        </is>
      </c>
      <c r="B9" s="57" t="inlineStr">
        <is>
          <t>נוסף</t>
        </is>
      </c>
      <c r="C9" s="57" t="inlineStr">
        <is>
          <t>מדרגות כניסה מרחפות: 12 יח׳ לפי מספור המדרגות בתוכנית הקרקע (ברוחב כ-1.15 מ׳, מידה שנגזרה מהמידות בתוכנית – לאימות בשטח). שים לב: 03.03 "כניסה חדשה וגרם מדרגות חדש" כולל כבר שלד קונסטרוקטיבי – לוודא שאין כפל</t>
        </is>
      </c>
    </row>
    <row r="10">
      <c r="A10" s="57" t="inlineStr">
        <is>
          <t>13.08</t>
        </is>
      </c>
      <c r="B10" s="57" t="inlineStr">
        <is>
          <t>הושלמה כמות</t>
        </is>
      </c>
      <c r="C10" s="57" t="inlineStr">
        <is>
          <t>ריצוף מדרגות כניסה: 13.8 מ״א = 12 מדרגות × 1.15 מ׳ (במקום "להשלמה")</t>
        </is>
      </c>
    </row>
    <row r="11">
      <c r="A11" s="57" t="inlineStr">
        <is>
          <t>פרפט</t>
        </is>
      </c>
      <c r="B11" s="57" t="inlineStr">
        <is>
          <t>לא נדרש</t>
        </is>
      </c>
      <c r="C11" s="57" t="inlineStr">
        <is>
          <t>בכתב הכמויות שהתקבל אין סעיפי פרפט (פרק 11 וסעיפי 14.02/14.03 הישנים לא קיימים) – אין מה למחוק</t>
        </is>
      </c>
    </row>
    <row r="12">
      <c r="A12" s="57" t="inlineStr">
        <is>
          <t>02.09</t>
        </is>
      </c>
      <c r="B12" s="57" t="inlineStr">
        <is>
          <t>לא שונה – החלטה שלך</t>
        </is>
      </c>
      <c r="C12" s="57" t="inlineStr">
        <is>
          <t>פירוק דלתות פנים וכניסה: נשאר. אם הדלתות מחוץ להיקף, גם הפירוק (וכן 02.08 פירוק חלונות) עשויים לחול על קבלן אחר</t>
        </is>
      </c>
    </row>
    <row r="13">
      <c r="A13" s="57" t="inlineStr">
        <is>
          <t>סכומים</t>
        </is>
      </c>
      <c r="B13" s="57" t="inlineStr">
        <is>
          <t>תוקנו</t>
        </is>
      </c>
      <c r="C13" s="57" t="inlineStr">
        <is>
          <t>חסר סה״כ לפרק 06 וסיכום כללי (G170); בפרק 14 היו הפניות #REF!; בפרק 10 נכללה שורה ריקה. כל סכומי הפרקים נבנו מחדש לפי הסעיפים בפועל</t>
        </is>
      </c>
    </row>
    <row r="14">
      <c r="A14" s="57" t="inlineStr">
        <is>
          <t>מחירים וכמויות קיימים</t>
        </is>
      </c>
      <c r="B14" s="57" t="inlineStr">
        <is>
          <t>לא שונו</t>
        </is>
      </c>
      <c r="C14" s="57" t="inlineStr">
        <is>
          <t>אומת בהשוואה תוכנית: כל הכמויות והמחירים שמולאו נשארו זהים. סעיפים חדשים ללא מחיר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shairoz04@outlook.com</dc:creator>
  <dcterms:created xmlns:dcterms="http://purl.org/dc/terms/" xmlns:xsi="http://www.w3.org/2001/XMLSchema-instance" xsi:type="dcterms:W3CDTF">2026-10-07T13:23:11Z</dcterms:created>
  <dcterms:modified xmlns:dcterms="http://purl.org/dc/terms/" xmlns:xsi="http://www.w3.org/2001/XMLSchema-instance" xsi:type="dcterms:W3CDTF">2026-10-09T11:37:00Z</dcterms:modified>
  <cp:lastModifiedBy>Office</cp:lastModifiedBy>
  <cp:lastPrinted>2026-10-07T14:43:08Z</cp:lastPrinted>
</cp:coreProperties>
</file>