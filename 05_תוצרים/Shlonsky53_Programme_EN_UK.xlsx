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me" sheetId="1" r:id="rId1"/>
    <sheet name="Calendar" sheetId="2" r:id="rId2"/>
    <sheet name="Local practice" sheetId="3" r:id="rId3"/>
  </sheets>
  <definedNames>
    <definedName name="_xlnm.Print_Titles" localSheetId="0">Programme!$5:$6</definedName>
  </definedNames>
  <calcPr calcId="124519" fullCalcOnLoad="1"/>
</workbook>
</file>

<file path=xl/sharedStrings.xml><?xml version="1.0" encoding="utf-8"?>
<sst xmlns="http://schemas.openxmlformats.org/spreadsheetml/2006/main" count="462" uniqueCount="239">
  <si>
    <t>Calendar and non-working days</t>
  </si>
  <si>
    <t>Date</t>
  </si>
  <si>
    <t>Holiday / closure</t>
  </si>
  <si>
    <t>Type</t>
  </si>
  <si>
    <t>Day</t>
  </si>
  <si>
    <t>Construction Christmas shutdown</t>
  </si>
  <si>
    <t>Industry custom (assumption)</t>
  </si>
  <si>
    <t>Thu</t>
  </si>
  <si>
    <t>Christmas Day</t>
  </si>
  <si>
    <t>Bank holiday (England &amp; Wales)</t>
  </si>
  <si>
    <t>Fri</t>
  </si>
  <si>
    <t>Boxing Day (substitute day)</t>
  </si>
  <si>
    <t>Mon</t>
  </si>
  <si>
    <t>Tue</t>
  </si>
  <si>
    <t>Wed</t>
  </si>
  <si>
    <t>New Year's Day</t>
  </si>
  <si>
    <t>Good Friday</t>
  </si>
  <si>
    <t>Easter Monday</t>
  </si>
  <si>
    <t>Early May bank holiday</t>
  </si>
  <si>
    <t>Spring bank holiday</t>
  </si>
  <si>
    <t>Summer bank holiday</t>
  </si>
  <si>
    <t>Sources: UK bank holidays (Central Bedfordshire Council / gov.uk list), BOE calendar 2027 (Garrigues), French legal holidays (Code du travail L.3133-1); verify against official lists.</t>
  </si>
  <si>
    <t>PROGRAMME — Renovation and Extension, 53 Shlonsky St., Haifa (UK market assumptions)</t>
  </si>
  <si>
    <t>Start date (Monday):</t>
  </si>
  <si>
    <t>Weekend (Sat, Sun):</t>
  </si>
  <si>
    <t>0000011</t>
  </si>
  <si>
    <t>Durations are first-pass assumptions (working days, Mon–Fri) for a UK contractor. Holidays and shutdowns are taken from the Calendar sheet; change the start date or durations and all dates and the Gantt update.</t>
  </si>
  <si>
    <t xml:space="preserve"> </t>
  </si>
  <si>
    <t>ID</t>
  </si>
  <si>
    <t>Activity</t>
  </si>
  <si>
    <t>Quote items</t>
  </si>
  <si>
    <t>Dur. (wd)</t>
  </si>
  <si>
    <t>P1</t>
  </si>
  <si>
    <t>P2</t>
  </si>
  <si>
    <t>P3</t>
  </si>
  <si>
    <t>P4</t>
  </si>
  <si>
    <t>P5</t>
  </si>
  <si>
    <t>P6</t>
  </si>
  <si>
    <t>Pred. finish</t>
  </si>
  <si>
    <t>Start</t>
  </si>
  <si>
    <t>Finish</t>
  </si>
  <si>
    <t>Critical*</t>
  </si>
  <si>
    <t>By</t>
  </si>
  <si>
    <t>Non-working days in week</t>
  </si>
  <si>
    <t>Contract, approvals and orders</t>
  </si>
  <si>
    <t>A010</t>
  </si>
  <si>
    <t>Contract award and notice to proceed</t>
  </si>
  <si>
    <t>—</t>
  </si>
  <si>
    <t>●</t>
  </si>
  <si>
    <t>Contractor</t>
  </si>
  <si>
    <t>A020</t>
  </si>
  <si>
    <t>Utility application – electricity supply upgrade and new service pillar (DNO)</t>
  </si>
  <si>
    <t>06.07</t>
  </si>
  <si>
    <t>Others / Employer</t>
  </si>
  <si>
    <t>A030</t>
  </si>
  <si>
    <t>Approval of samples, materials and colours (plaster mock-up)</t>
  </si>
  <si>
    <t>14.01</t>
  </si>
  <si>
    <t>A050</t>
  </si>
  <si>
    <t>Employer supply: order and deliver sanitary ware, taps and light fittings</t>
  </si>
  <si>
    <t>05, 07</t>
  </si>
  <si>
    <t>A055</t>
  </si>
  <si>
    <t>Employer supply: order and deliver floor and wall tiles</t>
  </si>
  <si>
    <t>13</t>
  </si>
  <si>
    <t>Site set-up</t>
  </si>
  <si>
    <t>S010</t>
  </si>
  <si>
    <t>Site set-up, hoarding, temporary water and power, skip</t>
  </si>
  <si>
    <t>01.01–01.04, 01.07</t>
  </si>
  <si>
    <t>S020</t>
  </si>
  <si>
    <t>Protection of existing elements, survey and laser setting-out</t>
  </si>
  <si>
    <t>01.05, 01.06</t>
  </si>
  <si>
    <t>S030</t>
  </si>
  <si>
    <t>Written approval to start demolition</t>
  </si>
  <si>
    <t>Demolition and removals</t>
  </si>
  <si>
    <t>D010</t>
  </si>
  <si>
    <t>Strip-out: windows, doors, sanitary ware, cabinets, A/C, electrics, exposed plumbing</t>
  </si>
  <si>
    <t>02.06–02.13</t>
  </si>
  <si>
    <t>D020</t>
  </si>
  <si>
    <t>Demolition of walls and partitions – basement (62 m²)</t>
  </si>
  <si>
    <t>02.01</t>
  </si>
  <si>
    <t>D030</t>
  </si>
  <si>
    <t>Demolition of walls and partitions – ground floor (51 m²)</t>
  </si>
  <si>
    <t>02.02</t>
  </si>
  <si>
    <t>D040</t>
  </si>
  <si>
    <t>Demolition of walls and partitions – first floor (85 m²)</t>
  </si>
  <si>
    <t>02.03</t>
  </si>
  <si>
    <t>D050</t>
  </si>
  <si>
    <t>Removal of ceilings, floors and wall panels</t>
  </si>
  <si>
    <t>02.04, 02.05, 02.18</t>
  </si>
  <si>
    <t>X010</t>
  </si>
  <si>
    <t>Erect external scaffolding</t>
  </si>
  <si>
    <t>01.09</t>
  </si>
  <si>
    <t>D055</t>
  </si>
  <si>
    <t>Sawing and removal of decorative concrete frames from scaffold</t>
  </si>
  <si>
    <t>02.15</t>
  </si>
  <si>
    <t>D060</t>
  </si>
  <si>
    <t>Removal of granolithic flooring, old entrance stairs and garden planting</t>
  </si>
  <si>
    <t>02.19–02.21</t>
  </si>
  <si>
    <t>D065</t>
  </si>
  <si>
    <t>Waste removal and thorough cleaning</t>
  </si>
  <si>
    <t>02.16, 02.17</t>
  </si>
  <si>
    <t>D070</t>
  </si>
  <si>
    <t>Structural engineer and designer approval to start building</t>
  </si>
  <si>
    <t>Structure and extensions</t>
  </si>
  <si>
    <t>K010</t>
  </si>
  <si>
    <t>Strengthening of the existing internal staircase</t>
  </si>
  <si>
    <t>03.04</t>
  </si>
  <si>
    <t>K020</t>
  </si>
  <si>
    <t>New entrance and staircase structure</t>
  </si>
  <si>
    <t>03.03</t>
  </si>
  <si>
    <t>K025</t>
  </si>
  <si>
    <t>Floating entrance steps (12 steps)</t>
  </si>
  <si>
    <t>03.05</t>
  </si>
  <si>
    <t>K030</t>
  </si>
  <si>
    <t>Balcony enlargement and pergola</t>
  </si>
  <si>
    <t>03.01</t>
  </si>
  <si>
    <t>K040</t>
  </si>
  <si>
    <t>Gallery-level room addition</t>
  </si>
  <si>
    <t>03.02</t>
  </si>
  <si>
    <t>K050</t>
  </si>
  <si>
    <t>Structural engineer sign-off: structure complete</t>
  </si>
  <si>
    <t>Concealed services</t>
  </si>
  <si>
    <t>B010</t>
  </si>
  <si>
    <t>New block walls (26 m²)</t>
  </si>
  <si>
    <t>04.01–04.03</t>
  </si>
  <si>
    <t>P010</t>
  </si>
  <si>
    <t>Plumbing first fix: points, main supply and drainage</t>
  </si>
  <si>
    <t>05.25–05.33</t>
  </si>
  <si>
    <t>E010</t>
  </si>
  <si>
    <t>Electrical first fix: conduits, points and board extension</t>
  </si>
  <si>
    <t>06.01–06.06, 06.10, 06.11, 07.11, 07.20</t>
  </si>
  <si>
    <t>Q010</t>
  </si>
  <si>
    <t>Plumbing pressure and leak tests, designer sign-off</t>
  </si>
  <si>
    <t>05.35</t>
  </si>
  <si>
    <t>Q020</t>
  </si>
  <si>
    <t>Electrical first-fix inspection (earthing and RCD tests)</t>
  </si>
  <si>
    <t>06.09</t>
  </si>
  <si>
    <t>Gypsum and waterproofing</t>
  </si>
  <si>
    <t>G010</t>
  </si>
  <si>
    <t>Gypsum partitions with acoustic insulation (133 m²)</t>
  </si>
  <si>
    <t>09.01–09.03</t>
  </si>
  <si>
    <t>G020</t>
  </si>
  <si>
    <t>Suspended gypsum ceilings (33 m²)</t>
  </si>
  <si>
    <t>09.04</t>
  </si>
  <si>
    <t>G030</t>
  </si>
  <si>
    <t>Gypsum inspection and approval</t>
  </si>
  <si>
    <t>W010</t>
  </si>
  <si>
    <t>Waterproofing of wet-area walls (186 m²)</t>
  </si>
  <si>
    <t>10.01</t>
  </si>
  <si>
    <t>W020</t>
  </si>
  <si>
    <t>Balcony waterproofing (52.7 m²)</t>
  </si>
  <si>
    <t>10.04</t>
  </si>
  <si>
    <t>W030</t>
  </si>
  <si>
    <t>Flood tests – wet areas and balconies</t>
  </si>
  <si>
    <t>10.03</t>
  </si>
  <si>
    <t>W040</t>
  </si>
  <si>
    <t>Waterproofing consultant approval</t>
  </si>
  <si>
    <t>Facade and external works</t>
  </si>
  <si>
    <t>EXT1</t>
  </si>
  <si>
    <t>By others: aluminium windows and doors – supply and installation</t>
  </si>
  <si>
    <t>(outside scope)</t>
  </si>
  <si>
    <t>X020</t>
  </si>
  <si>
    <t>Facade preparation and coloured plaster (225 m²)</t>
  </si>
  <si>
    <t>Z010</t>
  </si>
  <si>
    <t>Window sills and window sealing</t>
  </si>
  <si>
    <t>12.01, 12.02, 12.04</t>
  </si>
  <si>
    <t>X030</t>
  </si>
  <si>
    <t>Dismantle scaffolding</t>
  </si>
  <si>
    <t>Interior finishes and fit-out</t>
  </si>
  <si>
    <t>F010</t>
  </si>
  <si>
    <t>Plaster repairs and skim coat, interior (576 m²; public areas American skim)</t>
  </si>
  <si>
    <t>14.02, 14.03</t>
  </si>
  <si>
    <t>T010</t>
  </si>
  <si>
    <t>Interior floor tiling 120×120 and 120×60 cm</t>
  </si>
  <si>
    <t>13.01, 13.02</t>
  </si>
  <si>
    <t>T020</t>
  </si>
  <si>
    <t>Shower wall tiling (121 m²)</t>
  </si>
  <si>
    <t>13.03</t>
  </si>
  <si>
    <t>T030</t>
  </si>
  <si>
    <t>External and balcony tiling, R11 (264 m²)</t>
  </si>
  <si>
    <t>13.05</t>
  </si>
  <si>
    <t>T040</t>
  </si>
  <si>
    <t>Stair cladding (interior and entrance) and panels</t>
  </si>
  <si>
    <t>13.04, 13.07, 13.08</t>
  </si>
  <si>
    <t>E030</t>
  </si>
  <si>
    <t>Install light fittings and spots</t>
  </si>
  <si>
    <t>07.03–07.19</t>
  </si>
  <si>
    <t>F020</t>
  </si>
  <si>
    <t>Final painting</t>
  </si>
  <si>
    <t>14.02</t>
  </si>
  <si>
    <t>E020</t>
  </si>
  <si>
    <t>Install sockets and switches</t>
  </si>
  <si>
    <t>06.01–06.05, 06.10, 07.01–07.02a</t>
  </si>
  <si>
    <t>E025</t>
  </si>
  <si>
    <t>Direct connections to the board (hob, oven, dedicated appliances)</t>
  </si>
  <si>
    <t>06.11–06.13</t>
  </si>
  <si>
    <t>P020</t>
  </si>
  <si>
    <t>Install sanitary ware, taps and water heater</t>
  </si>
  <si>
    <t>05.01–05.24, 05.34</t>
  </si>
  <si>
    <t>External development</t>
  </si>
  <si>
    <t>E040</t>
  </si>
  <si>
    <t>Install electricity company pillar and connection</t>
  </si>
  <si>
    <t>V010</t>
  </si>
  <si>
    <t>Earthworks, levelling and storm drainage</t>
  </si>
  <si>
    <t>17.01, 17.02</t>
  </si>
  <si>
    <t>V015</t>
  </si>
  <si>
    <t>Concrete paths</t>
  </si>
  <si>
    <t>17.06</t>
  </si>
  <si>
    <t>V020</t>
  </si>
  <si>
    <t>Landscaping, irrigation and garden lighting</t>
  </si>
  <si>
    <t>17.04, 17.05</t>
  </si>
  <si>
    <t>Completion and handover</t>
  </si>
  <si>
    <t>H010</t>
  </si>
  <si>
    <t>Electrical Installation Certificate (EIC) and Part P / Building Control notification</t>
  </si>
  <si>
    <t>H020</t>
  </si>
  <si>
    <t>Final tests: water, drainage, water heater</t>
  </si>
  <si>
    <t>H030</t>
  </si>
  <si>
    <t>Final cleaning</t>
  </si>
  <si>
    <t>H040</t>
  </si>
  <si>
    <t>Snagging walk-through with the designer</t>
  </si>
  <si>
    <t>H050</t>
  </si>
  <si>
    <t>Rectification of defects</t>
  </si>
  <si>
    <t>H060</t>
  </si>
  <si>
    <t>Practical completion and handover</t>
  </si>
  <si>
    <t>Project completion</t>
  </si>
  <si>
    <t>Calendar weeks</t>
  </si>
  <si>
    <t>Working days (excl. holidays)</t>
  </si>
  <si>
    <t>Legend: contractor activity | critical | by others / Employer | milestone</t>
  </si>
  <si>
    <t>* Critical path computed once at creation (ignoring holidays); it does not update if durations are changed.</t>
  </si>
  <si>
    <t>Local-market assumptions</t>
  </si>
  <si>
    <t>Working week Monday–Friday, 8 h/day; Saturdays are not scheduled.</t>
  </si>
  <si>
    <t>Public holidays: England and Wales bank holidays (verified for 2026–2027: Christmas Day 25/12/2026, Boxing Day substitute 28/12/2026, New Year 01/01/2027, Good Friday 26/03/2027, Easter Monday 29/03/2027, Early May 03/05/2027, Spring 31/05/2027, Summer 30/08/2027). Scotland and Northern Ireland differ – adjust if the site is there.</t>
  </si>
  <si>
    <t>Construction industry Christmas shutdown assumed 24 Dec 2026 – 4 Jan 2027 (industry custom; confirm with subcontractors).</t>
  </si>
  <si>
    <t>Winter weather: durations of external activities are increased by 20% for the November–March season (scaffold, facade, paths, earthworks, landscaping, balcony works).</t>
  </si>
  <si>
    <t>Planning permission and Building Regulations approval are assumed obtained before the start (householder planning decisions are statutory 8 weeks); Building Control stage inspections and the completion certificate are part of the handover.</t>
  </si>
  <si>
    <t>Electrical work is certified at completion with an Electrical Installation Certificate (Part P / Building Control notification).</t>
  </si>
  <si>
    <t>DNO supply upgrade lead time is assumed 40 working days and runs in parallel; it is outside the contractor's control.</t>
  </si>
  <si>
    <t>Employer-supplied items (sanitary ware, taps, lights, tiles): 20 working days order-to-delivery assumed.</t>
  </si>
  <si>
    <t>Aluminium windows and doors are by others (outside this quotation): 40 working days after demolition approval assumed; facade plaster, sills and sealing depend on them.</t>
  </si>
  <si>
    <t>Scope follows the UK quotation (no pool, no parapet/roof works, no carpentry). All durations are assumptions to be confirmed with the site manager and subcontractors.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</si>
</sst>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"/>
    <numFmt numFmtId="166" formatCode="0;;"/>
  </numFmts>
  <fonts count="12">
    <font>
      <sz val="11"/>
      <color theme="1"/>
      <name val="Calibri"/>
      <family val="2"/>
      <scheme val="minor"/>
    </font>
    <font>
      <b/>
      <sz val="14"/>
      <color rgb="FF012169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i/>
      <sz val="8"/>
      <color theme="1"/>
      <name val="Arial"/>
      <family val="2"/>
    </font>
    <font>
      <sz val="7"/>
      <color theme="1"/>
      <name val="Arial"/>
      <family val="2"/>
    </font>
    <font>
      <b/>
      <sz val="10"/>
      <color rgb="FF012169"/>
      <name val="Arial"/>
      <family val="2"/>
    </font>
    <font>
      <sz val="9"/>
      <color theme="1"/>
      <name val="Arial"/>
      <family val="2"/>
    </font>
    <font>
      <b/>
      <sz val="9"/>
      <color rgb="FFC8102E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1216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3E8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top" textRotation="90"/>
    </xf>
    <xf numFmtId="0" fontId="6" fillId="0" borderId="0" xfId="0" applyFont="1" applyAlignment="1">
      <alignment horizontal="right" vertical="top"/>
    </xf>
    <xf numFmtId="166" fontId="7" fillId="0" borderId="0" xfId="0" applyNumberFormat="1" applyFont="1" applyAlignment="1">
      <alignment horizontal="center" vertical="top"/>
    </xf>
    <xf numFmtId="0" fontId="8" fillId="6" borderId="1" xfId="0" applyFont="1" applyFill="1" applyBorder="1" applyAlignment="1">
      <alignment vertical="top"/>
    </xf>
    <xf numFmtId="0" fontId="9" fillId="6" borderId="0" xfId="0" applyFont="1" applyFill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000000"/>
      </font>
      <fill>
        <patternFill>
          <bgColor rgb="FFF4C7CD"/>
        </patternFill>
      </fill>
    </dxf>
    <dxf>
      <fill>
        <patternFill>
          <bgColor rgb="FF000000"/>
        </patternFill>
      </fill>
    </dxf>
    <dxf>
      <fill>
        <patternFill>
          <bgColor rgb="FFA6A6A6"/>
        </patternFill>
      </fill>
    </dxf>
    <dxf>
      <fill>
        <patternFill>
          <bgColor rgb="FFC8102E"/>
        </patternFill>
      </fill>
    </dxf>
    <dxf>
      <fill>
        <patternFill>
          <bgColor rgb="FF012169"/>
        </patternFill>
      </fill>
    </dxf>
    <dxf>
      <fill>
        <patternFill>
          <bgColor rgb="FFF4C7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12169"/>
    <pageSetUpPr fitToPage="1"/>
  </sheetPr>
  <dimension ref="A1:CH82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6.7109375" customWidth="1"/>
    <col min="2" max="2" width="58.7109375" customWidth="1"/>
    <col min="3" max="3" width="20.7109375" customWidth="1"/>
    <col min="4" max="4" width="8.7109375" customWidth="1"/>
    <col min="5" max="10" width="6.7109375" customWidth="1"/>
    <col min="11" max="13" width="11.7109375" customWidth="1"/>
    <col min="14" max="14" width="8.7109375" customWidth="1"/>
    <col min="15" max="15" width="9.7109375" customWidth="1"/>
    <col min="16" max="16" width="0.140625" customWidth="1"/>
    <col min="17" max="86" width="3.140625" customWidth="1"/>
  </cols>
  <sheetData>
    <row r="1" spans="1:86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86">
      <c r="A2" s="2" t="s">
        <v>23</v>
      </c>
      <c r="D2" s="3">
        <v>46335</v>
      </c>
      <c r="F2" s="4" t="s">
        <v>26</v>
      </c>
      <c r="G2" s="4"/>
      <c r="H2" s="4"/>
      <c r="I2" s="4"/>
      <c r="J2" s="4"/>
      <c r="K2" s="4"/>
      <c r="L2" s="4"/>
      <c r="M2" s="4"/>
    </row>
    <row r="3" spans="1:86">
      <c r="A3" s="2" t="s">
        <v>24</v>
      </c>
      <c r="D3" s="5" t="s">
        <v>25</v>
      </c>
      <c r="F3" s="4"/>
      <c r="G3" s="4"/>
      <c r="H3" s="4"/>
      <c r="I3" s="4"/>
      <c r="J3" s="4"/>
      <c r="K3" s="4"/>
      <c r="L3" s="4"/>
      <c r="M3" s="4"/>
    </row>
    <row r="4" spans="1:86" ht="12" customHeight="1">
      <c r="A4" s="6" t="s">
        <v>27</v>
      </c>
      <c r="B4" s="6"/>
      <c r="C4" s="7"/>
      <c r="D4" s="8" t="s">
        <v>27</v>
      </c>
      <c r="E4" s="8"/>
      <c r="F4" s="8"/>
      <c r="G4" s="8"/>
      <c r="H4" s="8"/>
    </row>
    <row r="5" spans="1:86" ht="30" customHeight="1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35</v>
      </c>
      <c r="I5" s="9" t="s">
        <v>36</v>
      </c>
      <c r="J5" s="9" t="s">
        <v>37</v>
      </c>
      <c r="K5" s="9" t="s">
        <v>38</v>
      </c>
      <c r="L5" s="9" t="s">
        <v>39</v>
      </c>
      <c r="M5" s="9" t="s">
        <v>40</v>
      </c>
      <c r="N5" s="9" t="s">
        <v>41</v>
      </c>
      <c r="O5" s="9" t="s">
        <v>42</v>
      </c>
      <c r="Q5" s="10">
        <f>$D$2-WEEKDAY($D$2,2)+1+0</f>
        <v>46335</v>
      </c>
      <c r="R5" s="10">
        <f>$D$2-WEEKDAY($D$2,2)+1+7</f>
        <v>46342</v>
      </c>
      <c r="S5" s="10">
        <f>$D$2-WEEKDAY($D$2,2)+1+14</f>
        <v>46349</v>
      </c>
      <c r="T5" s="10">
        <f>$D$2-WEEKDAY($D$2,2)+1+21</f>
        <v>46356</v>
      </c>
      <c r="U5" s="10">
        <f>$D$2-WEEKDAY($D$2,2)+1+28</f>
        <v>46363</v>
      </c>
      <c r="V5" s="10">
        <f>$D$2-WEEKDAY($D$2,2)+1+35</f>
        <v>46370</v>
      </c>
      <c r="W5" s="10">
        <f>$D$2-WEEKDAY($D$2,2)+1+42</f>
        <v>46377</v>
      </c>
      <c r="X5" s="10">
        <f>$D$2-WEEKDAY($D$2,2)+1+49</f>
        <v>46384</v>
      </c>
      <c r="Y5" s="10">
        <f>$D$2-WEEKDAY($D$2,2)+1+56</f>
        <v>46391</v>
      </c>
      <c r="Z5" s="10">
        <f>$D$2-WEEKDAY($D$2,2)+1+63</f>
        <v>46398</v>
      </c>
      <c r="AA5" s="10">
        <f>$D$2-WEEKDAY($D$2,2)+1+70</f>
        <v>46405</v>
      </c>
      <c r="AB5" s="10">
        <f>$D$2-WEEKDAY($D$2,2)+1+77</f>
        <v>46412</v>
      </c>
      <c r="AC5" s="10">
        <f>$D$2-WEEKDAY($D$2,2)+1+84</f>
        <v>46419</v>
      </c>
      <c r="AD5" s="10">
        <f>$D$2-WEEKDAY($D$2,2)+1+91</f>
        <v>46426</v>
      </c>
      <c r="AE5" s="10">
        <f>$D$2-WEEKDAY($D$2,2)+1+98</f>
        <v>46433</v>
      </c>
      <c r="AF5" s="10">
        <f>$D$2-WEEKDAY($D$2,2)+1+105</f>
        <v>46440</v>
      </c>
      <c r="AG5" s="10">
        <f>$D$2-WEEKDAY($D$2,2)+1+112</f>
        <v>46447</v>
      </c>
      <c r="AH5" s="10">
        <f>$D$2-WEEKDAY($D$2,2)+1+119</f>
        <v>46454</v>
      </c>
      <c r="AI5" s="10">
        <f>$D$2-WEEKDAY($D$2,2)+1+126</f>
        <v>46461</v>
      </c>
      <c r="AJ5" s="10">
        <f>$D$2-WEEKDAY($D$2,2)+1+133</f>
        <v>46468</v>
      </c>
      <c r="AK5" s="10">
        <f>$D$2-WEEKDAY($D$2,2)+1+140</f>
        <v>46475</v>
      </c>
      <c r="AL5" s="10">
        <f>$D$2-WEEKDAY($D$2,2)+1+147</f>
        <v>46482</v>
      </c>
      <c r="AM5" s="10">
        <f>$D$2-WEEKDAY($D$2,2)+1+154</f>
        <v>46489</v>
      </c>
      <c r="AN5" s="10">
        <f>$D$2-WEEKDAY($D$2,2)+1+161</f>
        <v>46496</v>
      </c>
      <c r="AO5" s="10">
        <f>$D$2-WEEKDAY($D$2,2)+1+168</f>
        <v>46503</v>
      </c>
      <c r="AP5" s="10">
        <f>$D$2-WEEKDAY($D$2,2)+1+175</f>
        <v>46510</v>
      </c>
      <c r="AQ5" s="10">
        <f>$D$2-WEEKDAY($D$2,2)+1+182</f>
        <v>46517</v>
      </c>
      <c r="AR5" s="10">
        <f>$D$2-WEEKDAY($D$2,2)+1+189</f>
        <v>46524</v>
      </c>
      <c r="AS5" s="10">
        <f>$D$2-WEEKDAY($D$2,2)+1+196</f>
        <v>46531</v>
      </c>
      <c r="AT5" s="10">
        <f>$D$2-WEEKDAY($D$2,2)+1+203</f>
        <v>46538</v>
      </c>
      <c r="AU5" s="10">
        <f>$D$2-WEEKDAY($D$2,2)+1+210</f>
        <v>46545</v>
      </c>
      <c r="AV5" s="10">
        <f>$D$2-WEEKDAY($D$2,2)+1+217</f>
        <v>46552</v>
      </c>
      <c r="AW5" s="10">
        <f>$D$2-WEEKDAY($D$2,2)+1+224</f>
        <v>46559</v>
      </c>
      <c r="AX5" s="10">
        <f>$D$2-WEEKDAY($D$2,2)+1+231</f>
        <v>46566</v>
      </c>
      <c r="AY5" s="10">
        <f>$D$2-WEEKDAY($D$2,2)+1+238</f>
        <v>46573</v>
      </c>
      <c r="AZ5" s="10">
        <f>$D$2-WEEKDAY($D$2,2)+1+245</f>
        <v>46580</v>
      </c>
      <c r="BA5" s="10">
        <f>$D$2-WEEKDAY($D$2,2)+1+252</f>
        <v>46587</v>
      </c>
      <c r="BB5" s="10">
        <f>$D$2-WEEKDAY($D$2,2)+1+259</f>
        <v>46594</v>
      </c>
      <c r="BC5" s="10">
        <f>$D$2-WEEKDAY($D$2,2)+1+266</f>
        <v>46601</v>
      </c>
      <c r="BD5" s="10">
        <f>$D$2-WEEKDAY($D$2,2)+1+273</f>
        <v>46608</v>
      </c>
      <c r="BE5" s="10">
        <f>$D$2-WEEKDAY($D$2,2)+1+280</f>
        <v>46615</v>
      </c>
      <c r="BF5" s="10">
        <f>$D$2-WEEKDAY($D$2,2)+1+287</f>
        <v>46622</v>
      </c>
      <c r="BG5" s="10">
        <f>$D$2-WEEKDAY($D$2,2)+1+294</f>
        <v>46629</v>
      </c>
      <c r="BH5" s="10">
        <f>$D$2-WEEKDAY($D$2,2)+1+301</f>
        <v>46636</v>
      </c>
      <c r="BI5" s="10">
        <f>$D$2-WEEKDAY($D$2,2)+1+308</f>
        <v>46643</v>
      </c>
      <c r="BJ5" s="10">
        <f>$D$2-WEEKDAY($D$2,2)+1+315</f>
        <v>46650</v>
      </c>
      <c r="BK5" s="10">
        <f>$D$2-WEEKDAY($D$2,2)+1+322</f>
        <v>46657</v>
      </c>
      <c r="BL5" s="10">
        <f>$D$2-WEEKDAY($D$2,2)+1+329</f>
        <v>46664</v>
      </c>
      <c r="BM5" s="10">
        <f>$D$2-WEEKDAY($D$2,2)+1+336</f>
        <v>46671</v>
      </c>
      <c r="BN5" s="10">
        <f>$D$2-WEEKDAY($D$2,2)+1+343</f>
        <v>46678</v>
      </c>
      <c r="BO5" s="10">
        <f>$D$2-WEEKDAY($D$2,2)+1+350</f>
        <v>46685</v>
      </c>
      <c r="BP5" s="10">
        <f>$D$2-WEEKDAY($D$2,2)+1+357</f>
        <v>46692</v>
      </c>
      <c r="BQ5" s="10">
        <f>$D$2-WEEKDAY($D$2,2)+1+364</f>
        <v>46699</v>
      </c>
      <c r="BR5" s="10">
        <f>$D$2-WEEKDAY($D$2,2)+1+371</f>
        <v>46706</v>
      </c>
      <c r="BS5" s="10">
        <f>$D$2-WEEKDAY($D$2,2)+1+378</f>
        <v>46713</v>
      </c>
      <c r="BT5" s="10">
        <f>$D$2-WEEKDAY($D$2,2)+1+385</f>
        <v>46720</v>
      </c>
      <c r="BU5" s="10">
        <f>$D$2-WEEKDAY($D$2,2)+1+392</f>
        <v>46727</v>
      </c>
      <c r="BV5" s="10">
        <f>$D$2-WEEKDAY($D$2,2)+1+399</f>
        <v>46734</v>
      </c>
      <c r="BW5" s="10">
        <f>$D$2-WEEKDAY($D$2,2)+1+406</f>
        <v>46741</v>
      </c>
      <c r="BX5" s="10">
        <f>$D$2-WEEKDAY($D$2,2)+1+413</f>
        <v>46748</v>
      </c>
      <c r="BY5" s="10">
        <f>$D$2-WEEKDAY($D$2,2)+1+420</f>
        <v>46755</v>
      </c>
      <c r="BZ5" s="10">
        <f>$D$2-WEEKDAY($D$2,2)+1+427</f>
        <v>46762</v>
      </c>
      <c r="CA5" s="10">
        <f>$D$2-WEEKDAY($D$2,2)+1+434</f>
        <v>46769</v>
      </c>
      <c r="CB5" s="10">
        <f>$D$2-WEEKDAY($D$2,2)+1+441</f>
        <v>46776</v>
      </c>
      <c r="CC5" s="10">
        <f>$D$2-WEEKDAY($D$2,2)+1+448</f>
        <v>46783</v>
      </c>
      <c r="CD5" s="10">
        <f>$D$2-WEEKDAY($D$2,2)+1+455</f>
        <v>46790</v>
      </c>
      <c r="CE5" s="10">
        <f>$D$2-WEEKDAY($D$2,2)+1+462</f>
        <v>46797</v>
      </c>
      <c r="CF5" s="10">
        <f>$D$2-WEEKDAY($D$2,2)+1+469</f>
        <v>46804</v>
      </c>
      <c r="CG5" s="10">
        <f>$D$2-WEEKDAY($D$2,2)+1+476</f>
        <v>46811</v>
      </c>
      <c r="CH5" s="10">
        <f>$D$2-WEEKDAY($D$2,2)+1+483</f>
        <v>46818</v>
      </c>
    </row>
    <row r="6" spans="1:86">
      <c r="B6" s="11" t="s">
        <v>43</v>
      </c>
      <c r="Q6" s="12">
        <f>COUNTIFS('Calendar'!$A$5:$A$17,"&gt;="&amp;Q$5,'Calendar'!$A$5:$A$17,"&lt;="&amp;Q$5+4)</f>
        <v>0</v>
      </c>
      <c r="R6" s="12">
        <f>COUNTIFS('Calendar'!$A$5:$A$17,"&gt;="&amp;R$5,'Calendar'!$A$5:$A$17,"&lt;="&amp;R$5+4)</f>
        <v>0</v>
      </c>
      <c r="S6" s="12">
        <f>COUNTIFS('Calendar'!$A$5:$A$17,"&gt;="&amp;S$5,'Calendar'!$A$5:$A$17,"&lt;="&amp;S$5+4)</f>
        <v>0</v>
      </c>
      <c r="T6" s="12">
        <f>COUNTIFS('Calendar'!$A$5:$A$17,"&gt;="&amp;T$5,'Calendar'!$A$5:$A$17,"&lt;="&amp;T$5+4)</f>
        <v>0</v>
      </c>
      <c r="U6" s="12">
        <f>COUNTIFS('Calendar'!$A$5:$A$17,"&gt;="&amp;U$5,'Calendar'!$A$5:$A$17,"&lt;="&amp;U$5+4)</f>
        <v>0</v>
      </c>
      <c r="V6" s="12">
        <f>COUNTIFS('Calendar'!$A$5:$A$17,"&gt;="&amp;V$5,'Calendar'!$A$5:$A$17,"&lt;="&amp;V$5+4)</f>
        <v>0</v>
      </c>
      <c r="W6" s="12">
        <f>COUNTIFS('Calendar'!$A$5:$A$17,"&gt;="&amp;W$5,'Calendar'!$A$5:$A$17,"&lt;="&amp;W$5+4)</f>
        <v>2</v>
      </c>
      <c r="X6" s="12">
        <f>COUNTIFS('Calendar'!$A$5:$A$17,"&gt;="&amp;X$5,'Calendar'!$A$5:$A$17,"&lt;="&amp;X$5+4)</f>
        <v>5</v>
      </c>
      <c r="Y6" s="12">
        <f>COUNTIFS('Calendar'!$A$5:$A$17,"&gt;="&amp;Y$5,'Calendar'!$A$5:$A$17,"&lt;="&amp;Y$5+4)</f>
        <v>1</v>
      </c>
      <c r="Z6" s="12">
        <f>COUNTIFS('Calendar'!$A$5:$A$17,"&gt;="&amp;Z$5,'Calendar'!$A$5:$A$17,"&lt;="&amp;Z$5+4)</f>
        <v>0</v>
      </c>
      <c r="AA6" s="12">
        <f>COUNTIFS('Calendar'!$A$5:$A$17,"&gt;="&amp;AA$5,'Calendar'!$A$5:$A$17,"&lt;="&amp;AA$5+4)</f>
        <v>0</v>
      </c>
      <c r="AB6" s="12">
        <f>COUNTIFS('Calendar'!$A$5:$A$17,"&gt;="&amp;AB$5,'Calendar'!$A$5:$A$17,"&lt;="&amp;AB$5+4)</f>
        <v>0</v>
      </c>
      <c r="AC6" s="12">
        <f>COUNTIFS('Calendar'!$A$5:$A$17,"&gt;="&amp;AC$5,'Calendar'!$A$5:$A$17,"&lt;="&amp;AC$5+4)</f>
        <v>0</v>
      </c>
      <c r="AD6" s="12">
        <f>COUNTIFS('Calendar'!$A$5:$A$17,"&gt;="&amp;AD$5,'Calendar'!$A$5:$A$17,"&lt;="&amp;AD$5+4)</f>
        <v>0</v>
      </c>
      <c r="AE6" s="12">
        <f>COUNTIFS('Calendar'!$A$5:$A$17,"&gt;="&amp;AE$5,'Calendar'!$A$5:$A$17,"&lt;="&amp;AE$5+4)</f>
        <v>0</v>
      </c>
      <c r="AF6" s="12">
        <f>COUNTIFS('Calendar'!$A$5:$A$17,"&gt;="&amp;AF$5,'Calendar'!$A$5:$A$17,"&lt;="&amp;AF$5+4)</f>
        <v>0</v>
      </c>
      <c r="AG6" s="12">
        <f>COUNTIFS('Calendar'!$A$5:$A$17,"&gt;="&amp;AG$5,'Calendar'!$A$5:$A$17,"&lt;="&amp;AG$5+4)</f>
        <v>0</v>
      </c>
      <c r="AH6" s="12">
        <f>COUNTIFS('Calendar'!$A$5:$A$17,"&gt;="&amp;AH$5,'Calendar'!$A$5:$A$17,"&lt;="&amp;AH$5+4)</f>
        <v>0</v>
      </c>
      <c r="AI6" s="12">
        <f>COUNTIFS('Calendar'!$A$5:$A$17,"&gt;="&amp;AI$5,'Calendar'!$A$5:$A$17,"&lt;="&amp;AI$5+4)</f>
        <v>0</v>
      </c>
      <c r="AJ6" s="12">
        <f>COUNTIFS('Calendar'!$A$5:$A$17,"&gt;="&amp;AJ$5,'Calendar'!$A$5:$A$17,"&lt;="&amp;AJ$5+4)</f>
        <v>1</v>
      </c>
      <c r="AK6" s="12">
        <f>COUNTIFS('Calendar'!$A$5:$A$17,"&gt;="&amp;AK$5,'Calendar'!$A$5:$A$17,"&lt;="&amp;AK$5+4)</f>
        <v>1</v>
      </c>
      <c r="AL6" s="12">
        <f>COUNTIFS('Calendar'!$A$5:$A$17,"&gt;="&amp;AL$5,'Calendar'!$A$5:$A$17,"&lt;="&amp;AL$5+4)</f>
        <v>0</v>
      </c>
      <c r="AM6" s="12">
        <f>COUNTIFS('Calendar'!$A$5:$A$17,"&gt;="&amp;AM$5,'Calendar'!$A$5:$A$17,"&lt;="&amp;AM$5+4)</f>
        <v>0</v>
      </c>
      <c r="AN6" s="12">
        <f>COUNTIFS('Calendar'!$A$5:$A$17,"&gt;="&amp;AN$5,'Calendar'!$A$5:$A$17,"&lt;="&amp;AN$5+4)</f>
        <v>0</v>
      </c>
      <c r="AO6" s="12">
        <f>COUNTIFS('Calendar'!$A$5:$A$17,"&gt;="&amp;AO$5,'Calendar'!$A$5:$A$17,"&lt;="&amp;AO$5+4)</f>
        <v>0</v>
      </c>
      <c r="AP6" s="12">
        <f>COUNTIFS('Calendar'!$A$5:$A$17,"&gt;="&amp;AP$5,'Calendar'!$A$5:$A$17,"&lt;="&amp;AP$5+4)</f>
        <v>1</v>
      </c>
      <c r="AQ6" s="12">
        <f>COUNTIFS('Calendar'!$A$5:$A$17,"&gt;="&amp;AQ$5,'Calendar'!$A$5:$A$17,"&lt;="&amp;AQ$5+4)</f>
        <v>0</v>
      </c>
      <c r="AR6" s="12">
        <f>COUNTIFS('Calendar'!$A$5:$A$17,"&gt;="&amp;AR$5,'Calendar'!$A$5:$A$17,"&lt;="&amp;AR$5+4)</f>
        <v>0</v>
      </c>
      <c r="AS6" s="12">
        <f>COUNTIFS('Calendar'!$A$5:$A$17,"&gt;="&amp;AS$5,'Calendar'!$A$5:$A$17,"&lt;="&amp;AS$5+4)</f>
        <v>0</v>
      </c>
      <c r="AT6" s="12">
        <f>COUNTIFS('Calendar'!$A$5:$A$17,"&gt;="&amp;AT$5,'Calendar'!$A$5:$A$17,"&lt;="&amp;AT$5+4)</f>
        <v>1</v>
      </c>
      <c r="AU6" s="12">
        <f>COUNTIFS('Calendar'!$A$5:$A$17,"&gt;="&amp;AU$5,'Calendar'!$A$5:$A$17,"&lt;="&amp;AU$5+4)</f>
        <v>0</v>
      </c>
      <c r="AV6" s="12">
        <f>COUNTIFS('Calendar'!$A$5:$A$17,"&gt;="&amp;AV$5,'Calendar'!$A$5:$A$17,"&lt;="&amp;AV$5+4)</f>
        <v>0</v>
      </c>
      <c r="AW6" s="12">
        <f>COUNTIFS('Calendar'!$A$5:$A$17,"&gt;="&amp;AW$5,'Calendar'!$A$5:$A$17,"&lt;="&amp;AW$5+4)</f>
        <v>0</v>
      </c>
      <c r="AX6" s="12">
        <f>COUNTIFS('Calendar'!$A$5:$A$17,"&gt;="&amp;AX$5,'Calendar'!$A$5:$A$17,"&lt;="&amp;AX$5+4)</f>
        <v>0</v>
      </c>
      <c r="AY6" s="12">
        <f>COUNTIFS('Calendar'!$A$5:$A$17,"&gt;="&amp;AY$5,'Calendar'!$A$5:$A$17,"&lt;="&amp;AY$5+4)</f>
        <v>0</v>
      </c>
      <c r="AZ6" s="12">
        <f>COUNTIFS('Calendar'!$A$5:$A$17,"&gt;="&amp;AZ$5,'Calendar'!$A$5:$A$17,"&lt;="&amp;AZ$5+4)</f>
        <v>0</v>
      </c>
      <c r="BA6" s="12">
        <f>COUNTIFS('Calendar'!$A$5:$A$17,"&gt;="&amp;BA$5,'Calendar'!$A$5:$A$17,"&lt;="&amp;BA$5+4)</f>
        <v>0</v>
      </c>
      <c r="BB6" s="12">
        <f>COUNTIFS('Calendar'!$A$5:$A$17,"&gt;="&amp;BB$5,'Calendar'!$A$5:$A$17,"&lt;="&amp;BB$5+4)</f>
        <v>0</v>
      </c>
      <c r="BC6" s="12">
        <f>COUNTIFS('Calendar'!$A$5:$A$17,"&gt;="&amp;BC$5,'Calendar'!$A$5:$A$17,"&lt;="&amp;BC$5+4)</f>
        <v>0</v>
      </c>
      <c r="BD6" s="12">
        <f>COUNTIFS('Calendar'!$A$5:$A$17,"&gt;="&amp;BD$5,'Calendar'!$A$5:$A$17,"&lt;="&amp;BD$5+4)</f>
        <v>0</v>
      </c>
      <c r="BE6" s="12">
        <f>COUNTIFS('Calendar'!$A$5:$A$17,"&gt;="&amp;BE$5,'Calendar'!$A$5:$A$17,"&lt;="&amp;BE$5+4)</f>
        <v>0</v>
      </c>
      <c r="BF6" s="12">
        <f>COUNTIFS('Calendar'!$A$5:$A$17,"&gt;="&amp;BF$5,'Calendar'!$A$5:$A$17,"&lt;="&amp;BF$5+4)</f>
        <v>0</v>
      </c>
      <c r="BG6" s="12">
        <f>COUNTIFS('Calendar'!$A$5:$A$17,"&gt;="&amp;BG$5,'Calendar'!$A$5:$A$17,"&lt;="&amp;BG$5+4)</f>
        <v>1</v>
      </c>
      <c r="BH6" s="12">
        <f>COUNTIFS('Calendar'!$A$5:$A$17,"&gt;="&amp;BH$5,'Calendar'!$A$5:$A$17,"&lt;="&amp;BH$5+4)</f>
        <v>0</v>
      </c>
      <c r="BI6" s="12">
        <f>COUNTIFS('Calendar'!$A$5:$A$17,"&gt;="&amp;BI$5,'Calendar'!$A$5:$A$17,"&lt;="&amp;BI$5+4)</f>
        <v>0</v>
      </c>
      <c r="BJ6" s="12">
        <f>COUNTIFS('Calendar'!$A$5:$A$17,"&gt;="&amp;BJ$5,'Calendar'!$A$5:$A$17,"&lt;="&amp;BJ$5+4)</f>
        <v>0</v>
      </c>
      <c r="BK6" s="12">
        <f>COUNTIFS('Calendar'!$A$5:$A$17,"&gt;="&amp;BK$5,'Calendar'!$A$5:$A$17,"&lt;="&amp;BK$5+4)</f>
        <v>0</v>
      </c>
      <c r="BL6" s="12">
        <f>COUNTIFS('Calendar'!$A$5:$A$17,"&gt;="&amp;BL$5,'Calendar'!$A$5:$A$17,"&lt;="&amp;BL$5+4)</f>
        <v>0</v>
      </c>
      <c r="BM6" s="12">
        <f>COUNTIFS('Calendar'!$A$5:$A$17,"&gt;="&amp;BM$5,'Calendar'!$A$5:$A$17,"&lt;="&amp;BM$5+4)</f>
        <v>0</v>
      </c>
      <c r="BN6" s="12">
        <f>COUNTIFS('Calendar'!$A$5:$A$17,"&gt;="&amp;BN$5,'Calendar'!$A$5:$A$17,"&lt;="&amp;BN$5+4)</f>
        <v>0</v>
      </c>
      <c r="BO6" s="12">
        <f>COUNTIFS('Calendar'!$A$5:$A$17,"&gt;="&amp;BO$5,'Calendar'!$A$5:$A$17,"&lt;="&amp;BO$5+4)</f>
        <v>0</v>
      </c>
      <c r="BP6" s="12">
        <f>COUNTIFS('Calendar'!$A$5:$A$17,"&gt;="&amp;BP$5,'Calendar'!$A$5:$A$17,"&lt;="&amp;BP$5+4)</f>
        <v>0</v>
      </c>
      <c r="BQ6" s="12">
        <f>COUNTIFS('Calendar'!$A$5:$A$17,"&gt;="&amp;BQ$5,'Calendar'!$A$5:$A$17,"&lt;="&amp;BQ$5+4)</f>
        <v>0</v>
      </c>
      <c r="BR6" s="12">
        <f>COUNTIFS('Calendar'!$A$5:$A$17,"&gt;="&amp;BR$5,'Calendar'!$A$5:$A$17,"&lt;="&amp;BR$5+4)</f>
        <v>0</v>
      </c>
      <c r="BS6" s="12">
        <f>COUNTIFS('Calendar'!$A$5:$A$17,"&gt;="&amp;BS$5,'Calendar'!$A$5:$A$17,"&lt;="&amp;BS$5+4)</f>
        <v>0</v>
      </c>
      <c r="BT6" s="12">
        <f>COUNTIFS('Calendar'!$A$5:$A$17,"&gt;="&amp;BT$5,'Calendar'!$A$5:$A$17,"&lt;="&amp;BT$5+4)</f>
        <v>0</v>
      </c>
      <c r="BU6" s="12">
        <f>COUNTIFS('Calendar'!$A$5:$A$17,"&gt;="&amp;BU$5,'Calendar'!$A$5:$A$17,"&lt;="&amp;BU$5+4)</f>
        <v>0</v>
      </c>
      <c r="BV6" s="12">
        <f>COUNTIFS('Calendar'!$A$5:$A$17,"&gt;="&amp;BV$5,'Calendar'!$A$5:$A$17,"&lt;="&amp;BV$5+4)</f>
        <v>0</v>
      </c>
      <c r="BW6" s="12">
        <f>COUNTIFS('Calendar'!$A$5:$A$17,"&gt;="&amp;BW$5,'Calendar'!$A$5:$A$17,"&lt;="&amp;BW$5+4)</f>
        <v>0</v>
      </c>
      <c r="BX6" s="12">
        <f>COUNTIFS('Calendar'!$A$5:$A$17,"&gt;="&amp;BX$5,'Calendar'!$A$5:$A$17,"&lt;="&amp;BX$5+4)</f>
        <v>0</v>
      </c>
      <c r="BY6" s="12">
        <f>COUNTIFS('Calendar'!$A$5:$A$17,"&gt;="&amp;BY$5,'Calendar'!$A$5:$A$17,"&lt;="&amp;BY$5+4)</f>
        <v>0</v>
      </c>
      <c r="BZ6" s="12">
        <f>COUNTIFS('Calendar'!$A$5:$A$17,"&gt;="&amp;BZ$5,'Calendar'!$A$5:$A$17,"&lt;="&amp;BZ$5+4)</f>
        <v>0</v>
      </c>
      <c r="CA6" s="12">
        <f>COUNTIFS('Calendar'!$A$5:$A$17,"&gt;="&amp;CA$5,'Calendar'!$A$5:$A$17,"&lt;="&amp;CA$5+4)</f>
        <v>0</v>
      </c>
      <c r="CB6" s="12">
        <f>COUNTIFS('Calendar'!$A$5:$A$17,"&gt;="&amp;CB$5,'Calendar'!$A$5:$A$17,"&lt;="&amp;CB$5+4)</f>
        <v>0</v>
      </c>
      <c r="CC6" s="12">
        <f>COUNTIFS('Calendar'!$A$5:$A$17,"&gt;="&amp;CC$5,'Calendar'!$A$5:$A$17,"&lt;="&amp;CC$5+4)</f>
        <v>0</v>
      </c>
      <c r="CD6" s="12">
        <f>COUNTIFS('Calendar'!$A$5:$A$17,"&gt;="&amp;CD$5,'Calendar'!$A$5:$A$17,"&lt;="&amp;CD$5+4)</f>
        <v>0</v>
      </c>
      <c r="CE6" s="12">
        <f>COUNTIFS('Calendar'!$A$5:$A$17,"&gt;="&amp;CE$5,'Calendar'!$A$5:$A$17,"&lt;="&amp;CE$5+4)</f>
        <v>0</v>
      </c>
      <c r="CF6" s="12">
        <f>COUNTIFS('Calendar'!$A$5:$A$17,"&gt;="&amp;CF$5,'Calendar'!$A$5:$A$17,"&lt;="&amp;CF$5+4)</f>
        <v>0</v>
      </c>
      <c r="CG6" s="12">
        <f>COUNTIFS('Calendar'!$A$5:$A$17,"&gt;="&amp;CG$5,'Calendar'!$A$5:$A$17,"&lt;="&amp;CG$5+4)</f>
        <v>0</v>
      </c>
      <c r="CH6" s="12">
        <f>COUNTIFS('Calendar'!$A$5:$A$17,"&gt;="&amp;CH$5,'Calendar'!$A$5:$A$17,"&lt;="&amp;CH$5+4)</f>
        <v>0</v>
      </c>
    </row>
    <row r="7" spans="1:86">
      <c r="A7" s="13" t="s">
        <v>44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8" spans="1:86">
      <c r="A8" s="15" t="s">
        <v>45</v>
      </c>
      <c r="B8" s="16" t="s">
        <v>46</v>
      </c>
      <c r="C8" s="16" t="s">
        <v>47</v>
      </c>
      <c r="D8" s="15">
        <v>0</v>
      </c>
      <c r="E8" s="15"/>
      <c r="F8" s="15"/>
      <c r="G8" s="15"/>
      <c r="H8" s="15"/>
      <c r="I8" s="15"/>
      <c r="J8" s="15"/>
      <c r="K8" s="17">
        <f>MAX($D$2-1,IFERROR(INDEX($M$7:$M$76,MATCH(E8,$A$7:$A$76,0)),0),IFERROR(INDEX($M$7:$M$76,MATCH(F8,$A$7:$A$76,0)),0),IFERROR(INDEX($M$7:$M$76,MATCH(G8,$A$7:$A$76,0)),0),IFERROR(INDEX($M$7:$M$76,MATCH(H8,$A$7:$A$76,0)),0),IFERROR(INDEX($M$7:$M$76,MATCH(I8,$A$7:$A$76,0)),0),IFERROR(INDEX($M$7:$M$76,MATCH(J8,$A$7:$A$76,0)),0))</f>
        <v>46334</v>
      </c>
      <c r="L8" s="17">
        <f>IF(D8=0,IF(COUNTA(E8:J8)=0,$D$2,K8),WORKDAY.INTL(K8,1,$D$3,'Calendar'!$A$5:$A$17))</f>
        <v>46335</v>
      </c>
      <c r="M8" s="17">
        <f>IF(D8=0,L8,WORKDAY.INTL(L8,D8-1,$D$3,'Calendar'!$A$5:$A$17))</f>
        <v>46335</v>
      </c>
      <c r="N8" s="18" t="s">
        <v>48</v>
      </c>
      <c r="O8" s="15" t="s">
        <v>49</v>
      </c>
    </row>
    <row r="9" spans="1:86" ht="26" customHeight="1">
      <c r="A9" s="15" t="s">
        <v>50</v>
      </c>
      <c r="B9" s="16" t="s">
        <v>51</v>
      </c>
      <c r="C9" s="16" t="s">
        <v>52</v>
      </c>
      <c r="D9" s="15">
        <v>40</v>
      </c>
      <c r="E9" s="15" t="s">
        <v>45</v>
      </c>
      <c r="F9" s="15"/>
      <c r="G9" s="15"/>
      <c r="H9" s="15"/>
      <c r="I9" s="15"/>
      <c r="J9" s="15"/>
      <c r="K9" s="17">
        <f>MAX($D$2-1,IFERROR(INDEX($M$7:$M$76,MATCH(E9,$A$7:$A$76,0)),0),IFERROR(INDEX($M$7:$M$76,MATCH(F9,$A$7:$A$76,0)),0),IFERROR(INDEX($M$7:$M$76,MATCH(G9,$A$7:$A$76,0)),0),IFERROR(INDEX($M$7:$M$76,MATCH(H9,$A$7:$A$76,0)),0),IFERROR(INDEX($M$7:$M$76,MATCH(I9,$A$7:$A$76,0)),0),IFERROR(INDEX($M$7:$M$76,MATCH(J9,$A$7:$A$76,0)),0))</f>
        <v>46335</v>
      </c>
      <c r="L9" s="17">
        <f>IF(D9=0,IF(COUNTA(E9:J9)=0,$D$2,K9),WORKDAY.INTL(K9,1,$D$3,'Calendar'!$A$5:$A$17))</f>
        <v>46336</v>
      </c>
      <c r="M9" s="17">
        <f>IF(D9=0,L9,WORKDAY.INTL(L9,D9-1,$D$3,'Calendar'!$A$5:$A$17))</f>
        <v>46401</v>
      </c>
      <c r="N9" s="18"/>
      <c r="O9" s="15" t="s">
        <v>53</v>
      </c>
    </row>
    <row r="10" spans="1:86">
      <c r="A10" s="15" t="s">
        <v>54</v>
      </c>
      <c r="B10" s="16" t="s">
        <v>55</v>
      </c>
      <c r="C10" s="16" t="s">
        <v>56</v>
      </c>
      <c r="D10" s="15">
        <v>10</v>
      </c>
      <c r="E10" s="15" t="s">
        <v>45</v>
      </c>
      <c r="F10" s="15"/>
      <c r="G10" s="15"/>
      <c r="H10" s="15"/>
      <c r="I10" s="15"/>
      <c r="J10" s="15"/>
      <c r="K10" s="17">
        <f>MAX($D$2-1,IFERROR(INDEX($M$7:$M$76,MATCH(E10,$A$7:$A$76,0)),0),IFERROR(INDEX($M$7:$M$76,MATCH(F10,$A$7:$A$76,0)),0),IFERROR(INDEX($M$7:$M$76,MATCH(G10,$A$7:$A$76,0)),0),IFERROR(INDEX($M$7:$M$76,MATCH(H10,$A$7:$A$76,0)),0),IFERROR(INDEX($M$7:$M$76,MATCH(I10,$A$7:$A$76,0)),0),IFERROR(INDEX($M$7:$M$76,MATCH(J10,$A$7:$A$76,0)),0))</f>
        <v>46335</v>
      </c>
      <c r="L10" s="17">
        <f>IF(D10=0,IF(COUNTA(E10:J10)=0,$D$2,K10),WORKDAY.INTL(K10,1,$D$3,'Calendar'!$A$5:$A$17))</f>
        <v>46336</v>
      </c>
      <c r="M10" s="17">
        <f>IF(D10=0,L10,WORKDAY.INTL(L10,D10-1,$D$3,'Calendar'!$A$5:$A$17))</f>
        <v>46349</v>
      </c>
      <c r="N10" s="18"/>
      <c r="O10" s="15" t="s">
        <v>49</v>
      </c>
    </row>
    <row r="11" spans="1:86" ht="26" customHeight="1">
      <c r="A11" s="15" t="s">
        <v>57</v>
      </c>
      <c r="B11" s="16" t="s">
        <v>58</v>
      </c>
      <c r="C11" s="16" t="s">
        <v>59</v>
      </c>
      <c r="D11" s="15">
        <v>20</v>
      </c>
      <c r="E11" s="15" t="s">
        <v>54</v>
      </c>
      <c r="F11" s="15"/>
      <c r="G11" s="15"/>
      <c r="H11" s="15"/>
      <c r="I11" s="15"/>
      <c r="J11" s="15"/>
      <c r="K11" s="17">
        <f>MAX($D$2-1,IFERROR(INDEX($M$7:$M$76,MATCH(E11,$A$7:$A$76,0)),0),IFERROR(INDEX($M$7:$M$76,MATCH(F11,$A$7:$A$76,0)),0),IFERROR(INDEX($M$7:$M$76,MATCH(G11,$A$7:$A$76,0)),0),IFERROR(INDEX($M$7:$M$76,MATCH(H11,$A$7:$A$76,0)),0),IFERROR(INDEX($M$7:$M$76,MATCH(I11,$A$7:$A$76,0)),0),IFERROR(INDEX($M$7:$M$76,MATCH(J11,$A$7:$A$76,0)),0))</f>
        <v>46349</v>
      </c>
      <c r="L11" s="17">
        <f>IF(D11=0,IF(COUNTA(E11:J11)=0,$D$2,K11),WORKDAY.INTL(K11,1,$D$3,'Calendar'!$A$5:$A$17))</f>
        <v>46350</v>
      </c>
      <c r="M11" s="17">
        <f>IF(D11=0,L11,WORKDAY.INTL(L11,D11-1,$D$3,'Calendar'!$A$5:$A$17))</f>
        <v>46377</v>
      </c>
      <c r="N11" s="18"/>
      <c r="O11" s="15" t="s">
        <v>53</v>
      </c>
    </row>
    <row r="12" spans="1:86">
      <c r="A12" s="15" t="s">
        <v>60</v>
      </c>
      <c r="B12" s="16" t="s">
        <v>61</v>
      </c>
      <c r="C12" s="16" t="s">
        <v>62</v>
      </c>
      <c r="D12" s="15">
        <v>20</v>
      </c>
      <c r="E12" s="15" t="s">
        <v>54</v>
      </c>
      <c r="F12" s="15"/>
      <c r="G12" s="15"/>
      <c r="H12" s="15"/>
      <c r="I12" s="15"/>
      <c r="J12" s="15"/>
      <c r="K12" s="17">
        <f>MAX($D$2-1,IFERROR(INDEX($M$7:$M$76,MATCH(E12,$A$7:$A$76,0)),0),IFERROR(INDEX($M$7:$M$76,MATCH(F12,$A$7:$A$76,0)),0),IFERROR(INDEX($M$7:$M$76,MATCH(G12,$A$7:$A$76,0)),0),IFERROR(INDEX($M$7:$M$76,MATCH(H12,$A$7:$A$76,0)),0),IFERROR(INDEX($M$7:$M$76,MATCH(I12,$A$7:$A$76,0)),0),IFERROR(INDEX($M$7:$M$76,MATCH(J12,$A$7:$A$76,0)),0))</f>
        <v>46349</v>
      </c>
      <c r="L12" s="17">
        <f>IF(D12=0,IF(COUNTA(E12:J12)=0,$D$2,K12),WORKDAY.INTL(K12,1,$D$3,'Calendar'!$A$5:$A$17))</f>
        <v>46350</v>
      </c>
      <c r="M12" s="17">
        <f>IF(D12=0,L12,WORKDAY.INTL(L12,D12-1,$D$3,'Calendar'!$A$5:$A$17))</f>
        <v>46377</v>
      </c>
      <c r="N12" s="18"/>
      <c r="O12" s="15" t="s">
        <v>53</v>
      </c>
    </row>
    <row r="13" spans="1:86">
      <c r="A13" s="13" t="s">
        <v>63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</row>
    <row r="14" spans="1:86">
      <c r="A14" s="15" t="s">
        <v>64</v>
      </c>
      <c r="B14" s="16" t="s">
        <v>65</v>
      </c>
      <c r="C14" s="16" t="s">
        <v>66</v>
      </c>
      <c r="D14" s="15">
        <v>5</v>
      </c>
      <c r="E14" s="15" t="s">
        <v>45</v>
      </c>
      <c r="F14" s="15"/>
      <c r="G14" s="15"/>
      <c r="H14" s="15"/>
      <c r="I14" s="15"/>
      <c r="J14" s="15"/>
      <c r="K14" s="17">
        <f>MAX($D$2-1,IFERROR(INDEX($M$7:$M$76,MATCH(E14,$A$7:$A$76,0)),0),IFERROR(INDEX($M$7:$M$76,MATCH(F14,$A$7:$A$76,0)),0),IFERROR(INDEX($M$7:$M$76,MATCH(G14,$A$7:$A$76,0)),0),IFERROR(INDEX($M$7:$M$76,MATCH(H14,$A$7:$A$76,0)),0),IFERROR(INDEX($M$7:$M$76,MATCH(I14,$A$7:$A$76,0)),0),IFERROR(INDEX($M$7:$M$76,MATCH(J14,$A$7:$A$76,0)),0))</f>
        <v>46335</v>
      </c>
      <c r="L14" s="17">
        <f>IF(D14=0,IF(COUNTA(E14:J14)=0,$D$2,K14),WORKDAY.INTL(K14,1,$D$3,'Calendar'!$A$5:$A$17))</f>
        <v>46336</v>
      </c>
      <c r="M14" s="17">
        <f>IF(D14=0,L14,WORKDAY.INTL(L14,D14-1,$D$3,'Calendar'!$A$5:$A$17))</f>
        <v>46342</v>
      </c>
      <c r="N14" s="18" t="s">
        <v>48</v>
      </c>
      <c r="O14" s="15" t="s">
        <v>49</v>
      </c>
    </row>
    <row r="15" spans="1:86">
      <c r="A15" s="15" t="s">
        <v>67</v>
      </c>
      <c r="B15" s="16" t="s">
        <v>68</v>
      </c>
      <c r="C15" s="16" t="s">
        <v>69</v>
      </c>
      <c r="D15" s="15">
        <v>4</v>
      </c>
      <c r="E15" s="15" t="s">
        <v>64</v>
      </c>
      <c r="F15" s="15"/>
      <c r="G15" s="15"/>
      <c r="H15" s="15"/>
      <c r="I15" s="15"/>
      <c r="J15" s="15"/>
      <c r="K15" s="17">
        <f>MAX($D$2-1,IFERROR(INDEX($M$7:$M$76,MATCH(E15,$A$7:$A$76,0)),0),IFERROR(INDEX($M$7:$M$76,MATCH(F15,$A$7:$A$76,0)),0),IFERROR(INDEX($M$7:$M$76,MATCH(G15,$A$7:$A$76,0)),0),IFERROR(INDEX($M$7:$M$76,MATCH(H15,$A$7:$A$76,0)),0),IFERROR(INDEX($M$7:$M$76,MATCH(I15,$A$7:$A$76,0)),0),IFERROR(INDEX($M$7:$M$76,MATCH(J15,$A$7:$A$76,0)),0))</f>
        <v>46342</v>
      </c>
      <c r="L15" s="17">
        <f>IF(D15=0,IF(COUNTA(E15:J15)=0,$D$2,K15),WORKDAY.INTL(K15,1,$D$3,'Calendar'!$A$5:$A$17))</f>
        <v>46343</v>
      </c>
      <c r="M15" s="17">
        <f>IF(D15=0,L15,WORKDAY.INTL(L15,D15-1,$D$3,'Calendar'!$A$5:$A$17))</f>
        <v>46346</v>
      </c>
      <c r="N15" s="18" t="s">
        <v>48</v>
      </c>
      <c r="O15" s="15" t="s">
        <v>49</v>
      </c>
    </row>
    <row r="16" spans="1:86">
      <c r="A16" s="15" t="s">
        <v>70</v>
      </c>
      <c r="B16" s="16" t="s">
        <v>71</v>
      </c>
      <c r="C16" s="16" t="s">
        <v>47</v>
      </c>
      <c r="D16" s="15">
        <v>1</v>
      </c>
      <c r="E16" s="15" t="s">
        <v>67</v>
      </c>
      <c r="F16" s="15"/>
      <c r="G16" s="15"/>
      <c r="H16" s="15"/>
      <c r="I16" s="15"/>
      <c r="J16" s="15"/>
      <c r="K16" s="17">
        <f>MAX($D$2-1,IFERROR(INDEX($M$7:$M$76,MATCH(E16,$A$7:$A$76,0)),0),IFERROR(INDEX($M$7:$M$76,MATCH(F16,$A$7:$A$76,0)),0),IFERROR(INDEX($M$7:$M$76,MATCH(G16,$A$7:$A$76,0)),0),IFERROR(INDEX($M$7:$M$76,MATCH(H16,$A$7:$A$76,0)),0),IFERROR(INDEX($M$7:$M$76,MATCH(I16,$A$7:$A$76,0)),0),IFERROR(INDEX($M$7:$M$76,MATCH(J16,$A$7:$A$76,0)),0))</f>
        <v>46346</v>
      </c>
      <c r="L16" s="17">
        <f>IF(D16=0,IF(COUNTA(E16:J16)=0,$D$2,K16),WORKDAY.INTL(K16,1,$D$3,'Calendar'!$A$5:$A$17))</f>
        <v>46349</v>
      </c>
      <c r="M16" s="17">
        <f>IF(D16=0,L16,WORKDAY.INTL(L16,D16-1,$D$3,'Calendar'!$A$5:$A$17))</f>
        <v>46349</v>
      </c>
      <c r="N16" s="18" t="s">
        <v>48</v>
      </c>
      <c r="O16" s="15" t="s">
        <v>49</v>
      </c>
    </row>
    <row r="17" spans="1:86">
      <c r="A17" s="13" t="s">
        <v>72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</row>
    <row r="18" spans="1:86" ht="26" customHeight="1">
      <c r="A18" s="15" t="s">
        <v>73</v>
      </c>
      <c r="B18" s="16" t="s">
        <v>74</v>
      </c>
      <c r="C18" s="16" t="s">
        <v>75</v>
      </c>
      <c r="D18" s="15">
        <v>8</v>
      </c>
      <c r="E18" s="15" t="s">
        <v>70</v>
      </c>
      <c r="F18" s="15"/>
      <c r="G18" s="15"/>
      <c r="H18" s="15"/>
      <c r="I18" s="15"/>
      <c r="J18" s="15"/>
      <c r="K18" s="17">
        <f>MAX($D$2-1,IFERROR(INDEX($M$7:$M$76,MATCH(E18,$A$7:$A$76,0)),0),IFERROR(INDEX($M$7:$M$76,MATCH(F18,$A$7:$A$76,0)),0),IFERROR(INDEX($M$7:$M$76,MATCH(G18,$A$7:$A$76,0)),0),IFERROR(INDEX($M$7:$M$76,MATCH(H18,$A$7:$A$76,0)),0),IFERROR(INDEX($M$7:$M$76,MATCH(I18,$A$7:$A$76,0)),0),IFERROR(INDEX($M$7:$M$76,MATCH(J18,$A$7:$A$76,0)),0))</f>
        <v>46349</v>
      </c>
      <c r="L18" s="17">
        <f>IF(D18=0,IF(COUNTA(E18:J18)=0,$D$2,K18),WORKDAY.INTL(K18,1,$D$3,'Calendar'!$A$5:$A$17))</f>
        <v>46350</v>
      </c>
      <c r="M18" s="17">
        <f>IF(D18=0,L18,WORKDAY.INTL(L18,D18-1,$D$3,'Calendar'!$A$5:$A$17))</f>
        <v>46359</v>
      </c>
      <c r="N18" s="18" t="s">
        <v>48</v>
      </c>
      <c r="O18" s="15" t="s">
        <v>49</v>
      </c>
    </row>
    <row r="19" spans="1:86">
      <c r="A19" s="15" t="s">
        <v>76</v>
      </c>
      <c r="B19" s="16" t="s">
        <v>77</v>
      </c>
      <c r="C19" s="16" t="s">
        <v>78</v>
      </c>
      <c r="D19" s="15">
        <v>3</v>
      </c>
      <c r="E19" s="15" t="s">
        <v>73</v>
      </c>
      <c r="F19" s="15"/>
      <c r="G19" s="15"/>
      <c r="H19" s="15"/>
      <c r="I19" s="15"/>
      <c r="J19" s="15"/>
      <c r="K19" s="17">
        <f>MAX($D$2-1,IFERROR(INDEX($M$7:$M$76,MATCH(E19,$A$7:$A$76,0)),0),IFERROR(INDEX($M$7:$M$76,MATCH(F19,$A$7:$A$76,0)),0),IFERROR(INDEX($M$7:$M$76,MATCH(G19,$A$7:$A$76,0)),0),IFERROR(INDEX($M$7:$M$76,MATCH(H19,$A$7:$A$76,0)),0),IFERROR(INDEX($M$7:$M$76,MATCH(I19,$A$7:$A$76,0)),0),IFERROR(INDEX($M$7:$M$76,MATCH(J19,$A$7:$A$76,0)),0))</f>
        <v>46359</v>
      </c>
      <c r="L19" s="17">
        <f>IF(D19=0,IF(COUNTA(E19:J19)=0,$D$2,K19),WORKDAY.INTL(K19,1,$D$3,'Calendar'!$A$5:$A$17))</f>
        <v>46360</v>
      </c>
      <c r="M19" s="17">
        <f>IF(D19=0,L19,WORKDAY.INTL(L19,D19-1,$D$3,'Calendar'!$A$5:$A$17))</f>
        <v>46364</v>
      </c>
      <c r="N19" s="18"/>
      <c r="O19" s="15" t="s">
        <v>49</v>
      </c>
    </row>
    <row r="20" spans="1:86">
      <c r="A20" s="15" t="s">
        <v>79</v>
      </c>
      <c r="B20" s="16" t="s">
        <v>80</v>
      </c>
      <c r="C20" s="16" t="s">
        <v>81</v>
      </c>
      <c r="D20" s="15">
        <v>3</v>
      </c>
      <c r="E20" s="15" t="s">
        <v>73</v>
      </c>
      <c r="F20" s="15"/>
      <c r="G20" s="15"/>
      <c r="H20" s="15"/>
      <c r="I20" s="15"/>
      <c r="J20" s="15"/>
      <c r="K20" s="17">
        <f>MAX($D$2-1,IFERROR(INDEX($M$7:$M$76,MATCH(E20,$A$7:$A$76,0)),0),IFERROR(INDEX($M$7:$M$76,MATCH(F20,$A$7:$A$76,0)),0),IFERROR(INDEX($M$7:$M$76,MATCH(G20,$A$7:$A$76,0)),0),IFERROR(INDEX($M$7:$M$76,MATCH(H20,$A$7:$A$76,0)),0),IFERROR(INDEX($M$7:$M$76,MATCH(I20,$A$7:$A$76,0)),0),IFERROR(INDEX($M$7:$M$76,MATCH(J20,$A$7:$A$76,0)),0))</f>
        <v>46359</v>
      </c>
      <c r="L20" s="17">
        <f>IF(D20=0,IF(COUNTA(E20:J20)=0,$D$2,K20),WORKDAY.INTL(K20,1,$D$3,'Calendar'!$A$5:$A$17))</f>
        <v>46360</v>
      </c>
      <c r="M20" s="17">
        <f>IF(D20=0,L20,WORKDAY.INTL(L20,D20-1,$D$3,'Calendar'!$A$5:$A$17))</f>
        <v>46364</v>
      </c>
      <c r="N20" s="18"/>
      <c r="O20" s="15" t="s">
        <v>49</v>
      </c>
    </row>
    <row r="21" spans="1:86">
      <c r="A21" s="15" t="s">
        <v>82</v>
      </c>
      <c r="B21" s="16" t="s">
        <v>83</v>
      </c>
      <c r="C21" s="16" t="s">
        <v>84</v>
      </c>
      <c r="D21" s="15">
        <v>4</v>
      </c>
      <c r="E21" s="15" t="s">
        <v>73</v>
      </c>
      <c r="F21" s="15"/>
      <c r="G21" s="15"/>
      <c r="H21" s="15"/>
      <c r="I21" s="15"/>
      <c r="J21" s="15"/>
      <c r="K21" s="17">
        <f>MAX($D$2-1,IFERROR(INDEX($M$7:$M$76,MATCH(E21,$A$7:$A$76,0)),0),IFERROR(INDEX($M$7:$M$76,MATCH(F21,$A$7:$A$76,0)),0),IFERROR(INDEX($M$7:$M$76,MATCH(G21,$A$7:$A$76,0)),0),IFERROR(INDEX($M$7:$M$76,MATCH(H21,$A$7:$A$76,0)),0),IFERROR(INDEX($M$7:$M$76,MATCH(I21,$A$7:$A$76,0)),0),IFERROR(INDEX($M$7:$M$76,MATCH(J21,$A$7:$A$76,0)),0))</f>
        <v>46359</v>
      </c>
      <c r="L21" s="17">
        <f>IF(D21=0,IF(COUNTA(E21:J21)=0,$D$2,K21),WORKDAY.INTL(K21,1,$D$3,'Calendar'!$A$5:$A$17))</f>
        <v>46360</v>
      </c>
      <c r="M21" s="17">
        <f>IF(D21=0,L21,WORKDAY.INTL(L21,D21-1,$D$3,'Calendar'!$A$5:$A$17))</f>
        <v>46365</v>
      </c>
      <c r="N21" s="18"/>
      <c r="O21" s="15" t="s">
        <v>49</v>
      </c>
    </row>
    <row r="22" spans="1:86">
      <c r="A22" s="15" t="s">
        <v>85</v>
      </c>
      <c r="B22" s="16" t="s">
        <v>86</v>
      </c>
      <c r="C22" s="16" t="s">
        <v>87</v>
      </c>
      <c r="D22" s="15">
        <v>6</v>
      </c>
      <c r="E22" s="15" t="s">
        <v>73</v>
      </c>
      <c r="F22" s="15"/>
      <c r="G22" s="15"/>
      <c r="H22" s="15"/>
      <c r="I22" s="15"/>
      <c r="J22" s="15"/>
      <c r="K22" s="17">
        <f>MAX($D$2-1,IFERROR(INDEX($M$7:$M$76,MATCH(E22,$A$7:$A$76,0)),0),IFERROR(INDEX($M$7:$M$76,MATCH(F22,$A$7:$A$76,0)),0),IFERROR(INDEX($M$7:$M$76,MATCH(G22,$A$7:$A$76,0)),0),IFERROR(INDEX($M$7:$M$76,MATCH(H22,$A$7:$A$76,0)),0),IFERROR(INDEX($M$7:$M$76,MATCH(I22,$A$7:$A$76,0)),0),IFERROR(INDEX($M$7:$M$76,MATCH(J22,$A$7:$A$76,0)),0))</f>
        <v>46359</v>
      </c>
      <c r="L22" s="17">
        <f>IF(D22=0,IF(COUNTA(E22:J22)=0,$D$2,K22),WORKDAY.INTL(K22,1,$D$3,'Calendar'!$A$5:$A$17))</f>
        <v>46360</v>
      </c>
      <c r="M22" s="17">
        <f>IF(D22=0,L22,WORKDAY.INTL(L22,D22-1,$D$3,'Calendar'!$A$5:$A$17))</f>
        <v>46367</v>
      </c>
      <c r="N22" s="18" t="s">
        <v>48</v>
      </c>
      <c r="O22" s="15" t="s">
        <v>49</v>
      </c>
    </row>
    <row r="23" spans="1:86">
      <c r="A23" s="15" t="s">
        <v>88</v>
      </c>
      <c r="B23" s="16" t="s">
        <v>89</v>
      </c>
      <c r="C23" s="16" t="s">
        <v>90</v>
      </c>
      <c r="D23" s="15">
        <v>5</v>
      </c>
      <c r="E23" s="15" t="s">
        <v>70</v>
      </c>
      <c r="F23" s="15"/>
      <c r="G23" s="15"/>
      <c r="H23" s="15"/>
      <c r="I23" s="15"/>
      <c r="J23" s="15"/>
      <c r="K23" s="17">
        <f>MAX($D$2-1,IFERROR(INDEX($M$7:$M$76,MATCH(E23,$A$7:$A$76,0)),0),IFERROR(INDEX($M$7:$M$76,MATCH(F23,$A$7:$A$76,0)),0),IFERROR(INDEX($M$7:$M$76,MATCH(G23,$A$7:$A$76,0)),0),IFERROR(INDEX($M$7:$M$76,MATCH(H23,$A$7:$A$76,0)),0),IFERROR(INDEX($M$7:$M$76,MATCH(I23,$A$7:$A$76,0)),0),IFERROR(INDEX($M$7:$M$76,MATCH(J23,$A$7:$A$76,0)),0))</f>
        <v>46349</v>
      </c>
      <c r="L23" s="17">
        <f>IF(D23=0,IF(COUNTA(E23:J23)=0,$D$2,K23),WORKDAY.INTL(K23,1,$D$3,'Calendar'!$A$5:$A$17))</f>
        <v>46350</v>
      </c>
      <c r="M23" s="17">
        <f>IF(D23=0,L23,WORKDAY.INTL(L23,D23-1,$D$3,'Calendar'!$A$5:$A$17))</f>
        <v>46356</v>
      </c>
      <c r="N23" s="18"/>
      <c r="O23" s="15" t="s">
        <v>49</v>
      </c>
    </row>
    <row r="24" spans="1:86">
      <c r="A24" s="15" t="s">
        <v>91</v>
      </c>
      <c r="B24" s="16" t="s">
        <v>92</v>
      </c>
      <c r="C24" s="16" t="s">
        <v>93</v>
      </c>
      <c r="D24" s="15">
        <v>6</v>
      </c>
      <c r="E24" s="15" t="s">
        <v>88</v>
      </c>
      <c r="F24" s="15" t="s">
        <v>73</v>
      </c>
      <c r="G24" s="15"/>
      <c r="H24" s="15"/>
      <c r="I24" s="15"/>
      <c r="J24" s="15"/>
      <c r="K24" s="17">
        <f>MAX($D$2-1,IFERROR(INDEX($M$7:$M$76,MATCH(E24,$A$7:$A$76,0)),0),IFERROR(INDEX($M$7:$M$76,MATCH(F24,$A$7:$A$76,0)),0),IFERROR(INDEX($M$7:$M$76,MATCH(G24,$A$7:$A$76,0)),0),IFERROR(INDEX($M$7:$M$76,MATCH(H24,$A$7:$A$76,0)),0),IFERROR(INDEX($M$7:$M$76,MATCH(I24,$A$7:$A$76,0)),0),IFERROR(INDEX($M$7:$M$76,MATCH(J24,$A$7:$A$76,0)),0))</f>
        <v>46359</v>
      </c>
      <c r="L24" s="17">
        <f>IF(D24=0,IF(COUNTA(E24:J24)=0,$D$2,K24),WORKDAY.INTL(K24,1,$D$3,'Calendar'!$A$5:$A$17))</f>
        <v>46360</v>
      </c>
      <c r="M24" s="17">
        <f>IF(D24=0,L24,WORKDAY.INTL(L24,D24-1,$D$3,'Calendar'!$A$5:$A$17))</f>
        <v>46367</v>
      </c>
      <c r="N24" s="18" t="s">
        <v>48</v>
      </c>
      <c r="O24" s="15" t="s">
        <v>49</v>
      </c>
    </row>
    <row r="25" spans="1:86" ht="26" customHeight="1">
      <c r="A25" s="15" t="s">
        <v>94</v>
      </c>
      <c r="B25" s="16" t="s">
        <v>95</v>
      </c>
      <c r="C25" s="16" t="s">
        <v>96</v>
      </c>
      <c r="D25" s="15">
        <v>8</v>
      </c>
      <c r="E25" s="15" t="s">
        <v>70</v>
      </c>
      <c r="F25" s="15"/>
      <c r="G25" s="15"/>
      <c r="H25" s="15"/>
      <c r="I25" s="15"/>
      <c r="J25" s="15"/>
      <c r="K25" s="17">
        <f>MAX($D$2-1,IFERROR(INDEX($M$7:$M$76,MATCH(E25,$A$7:$A$76,0)),0),IFERROR(INDEX($M$7:$M$76,MATCH(F25,$A$7:$A$76,0)),0),IFERROR(INDEX($M$7:$M$76,MATCH(G25,$A$7:$A$76,0)),0),IFERROR(INDEX($M$7:$M$76,MATCH(H25,$A$7:$A$76,0)),0),IFERROR(INDEX($M$7:$M$76,MATCH(I25,$A$7:$A$76,0)),0),IFERROR(INDEX($M$7:$M$76,MATCH(J25,$A$7:$A$76,0)),0))</f>
        <v>46349</v>
      </c>
      <c r="L25" s="17">
        <f>IF(D25=0,IF(COUNTA(E25:J25)=0,$D$2,K25),WORKDAY.INTL(K25,1,$D$3,'Calendar'!$A$5:$A$17))</f>
        <v>46350</v>
      </c>
      <c r="M25" s="17">
        <f>IF(D25=0,L25,WORKDAY.INTL(L25,D25-1,$D$3,'Calendar'!$A$5:$A$17))</f>
        <v>46359</v>
      </c>
      <c r="N25" s="18"/>
      <c r="O25" s="15" t="s">
        <v>49</v>
      </c>
    </row>
    <row r="26" spans="1:86">
      <c r="A26" s="15" t="s">
        <v>97</v>
      </c>
      <c r="B26" s="16" t="s">
        <v>98</v>
      </c>
      <c r="C26" s="16" t="s">
        <v>99</v>
      </c>
      <c r="D26" s="15">
        <v>4</v>
      </c>
      <c r="E26" s="15" t="s">
        <v>76</v>
      </c>
      <c r="F26" s="15" t="s">
        <v>79</v>
      </c>
      <c r="G26" s="15" t="s">
        <v>82</v>
      </c>
      <c r="H26" s="15" t="s">
        <v>85</v>
      </c>
      <c r="I26" s="15" t="s">
        <v>91</v>
      </c>
      <c r="J26" s="15" t="s">
        <v>94</v>
      </c>
      <c r="K26" s="17">
        <f>MAX($D$2-1,IFERROR(INDEX($M$7:$M$76,MATCH(E26,$A$7:$A$76,0)),0),IFERROR(INDEX($M$7:$M$76,MATCH(F26,$A$7:$A$76,0)),0),IFERROR(INDEX($M$7:$M$76,MATCH(G26,$A$7:$A$76,0)),0),IFERROR(INDEX($M$7:$M$76,MATCH(H26,$A$7:$A$76,0)),0),IFERROR(INDEX($M$7:$M$76,MATCH(I26,$A$7:$A$76,0)),0),IFERROR(INDEX($M$7:$M$76,MATCH(J26,$A$7:$A$76,0)),0))</f>
        <v>46367</v>
      </c>
      <c r="L26" s="17">
        <f>IF(D26=0,IF(COUNTA(E26:J26)=0,$D$2,K26),WORKDAY.INTL(K26,1,$D$3,'Calendar'!$A$5:$A$17))</f>
        <v>46370</v>
      </c>
      <c r="M26" s="17">
        <f>IF(D26=0,L26,WORKDAY.INTL(L26,D26-1,$D$3,'Calendar'!$A$5:$A$17))</f>
        <v>46373</v>
      </c>
      <c r="N26" s="18" t="s">
        <v>48</v>
      </c>
      <c r="O26" s="15" t="s">
        <v>49</v>
      </c>
    </row>
    <row r="27" spans="1:86">
      <c r="A27" s="15" t="s">
        <v>100</v>
      </c>
      <c r="B27" s="16" t="s">
        <v>101</v>
      </c>
      <c r="C27" s="16" t="s">
        <v>47</v>
      </c>
      <c r="D27" s="15">
        <v>2</v>
      </c>
      <c r="E27" s="15" t="s">
        <v>97</v>
      </c>
      <c r="F27" s="15"/>
      <c r="G27" s="15"/>
      <c r="H27" s="15"/>
      <c r="I27" s="15"/>
      <c r="J27" s="15"/>
      <c r="K27" s="17">
        <f>MAX($D$2-1,IFERROR(INDEX($M$7:$M$76,MATCH(E27,$A$7:$A$76,0)),0),IFERROR(INDEX($M$7:$M$76,MATCH(F27,$A$7:$A$76,0)),0),IFERROR(INDEX($M$7:$M$76,MATCH(G27,$A$7:$A$76,0)),0),IFERROR(INDEX($M$7:$M$76,MATCH(H27,$A$7:$A$76,0)),0),IFERROR(INDEX($M$7:$M$76,MATCH(I27,$A$7:$A$76,0)),0),IFERROR(INDEX($M$7:$M$76,MATCH(J27,$A$7:$A$76,0)),0))</f>
        <v>46373</v>
      </c>
      <c r="L27" s="17">
        <f>IF(D27=0,IF(COUNTA(E27:J27)=0,$D$2,K27),WORKDAY.INTL(K27,1,$D$3,'Calendar'!$A$5:$A$17))</f>
        <v>46374</v>
      </c>
      <c r="M27" s="17">
        <f>IF(D27=0,L27,WORKDAY.INTL(L27,D27-1,$D$3,'Calendar'!$A$5:$A$17))</f>
        <v>46377</v>
      </c>
      <c r="N27" s="18" t="s">
        <v>48</v>
      </c>
      <c r="O27" s="15" t="s">
        <v>49</v>
      </c>
    </row>
    <row r="28" spans="1:86">
      <c r="A28" s="13" t="s">
        <v>102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</row>
    <row r="29" spans="1:86">
      <c r="A29" s="15" t="s">
        <v>103</v>
      </c>
      <c r="B29" s="16" t="s">
        <v>104</v>
      </c>
      <c r="C29" s="16" t="s">
        <v>105</v>
      </c>
      <c r="D29" s="15">
        <v>10</v>
      </c>
      <c r="E29" s="15" t="s">
        <v>100</v>
      </c>
      <c r="F29" s="15"/>
      <c r="G29" s="15"/>
      <c r="H29" s="15"/>
      <c r="I29" s="15"/>
      <c r="J29" s="15"/>
      <c r="K29" s="17">
        <f>MAX($D$2-1,IFERROR(INDEX($M$7:$M$76,MATCH(E29,$A$7:$A$76,0)),0),IFERROR(INDEX($M$7:$M$76,MATCH(F29,$A$7:$A$76,0)),0),IFERROR(INDEX($M$7:$M$76,MATCH(G29,$A$7:$A$76,0)),0),IFERROR(INDEX($M$7:$M$76,MATCH(H29,$A$7:$A$76,0)),0),IFERROR(INDEX($M$7:$M$76,MATCH(I29,$A$7:$A$76,0)),0),IFERROR(INDEX($M$7:$M$76,MATCH(J29,$A$7:$A$76,0)),0))</f>
        <v>46377</v>
      </c>
      <c r="L29" s="17">
        <f>IF(D29=0,IF(COUNTA(E29:J29)=0,$D$2,K29),WORKDAY.INTL(K29,1,$D$3,'Calendar'!$A$5:$A$17))</f>
        <v>46378</v>
      </c>
      <c r="M29" s="17">
        <f>IF(D29=0,L29,WORKDAY.INTL(L29,D29-1,$D$3,'Calendar'!$A$5:$A$17))</f>
        <v>46401</v>
      </c>
      <c r="N29" s="18"/>
      <c r="O29" s="15" t="s">
        <v>49</v>
      </c>
    </row>
    <row r="30" spans="1:86">
      <c r="A30" s="15" t="s">
        <v>106</v>
      </c>
      <c r="B30" s="16" t="s">
        <v>107</v>
      </c>
      <c r="C30" s="16" t="s">
        <v>108</v>
      </c>
      <c r="D30" s="15">
        <v>15</v>
      </c>
      <c r="E30" s="15" t="s">
        <v>100</v>
      </c>
      <c r="F30" s="15"/>
      <c r="G30" s="15"/>
      <c r="H30" s="15"/>
      <c r="I30" s="15"/>
      <c r="J30" s="15"/>
      <c r="K30" s="17">
        <f>MAX($D$2-1,IFERROR(INDEX($M$7:$M$76,MATCH(E30,$A$7:$A$76,0)),0),IFERROR(INDEX($M$7:$M$76,MATCH(F30,$A$7:$A$76,0)),0),IFERROR(INDEX($M$7:$M$76,MATCH(G30,$A$7:$A$76,0)),0),IFERROR(INDEX($M$7:$M$76,MATCH(H30,$A$7:$A$76,0)),0),IFERROR(INDEX($M$7:$M$76,MATCH(I30,$A$7:$A$76,0)),0),IFERROR(INDEX($M$7:$M$76,MATCH(J30,$A$7:$A$76,0)),0))</f>
        <v>46377</v>
      </c>
      <c r="L30" s="17">
        <f>IF(D30=0,IF(COUNTA(E30:J30)=0,$D$2,K30),WORKDAY.INTL(K30,1,$D$3,'Calendar'!$A$5:$A$17))</f>
        <v>46378</v>
      </c>
      <c r="M30" s="17">
        <f>IF(D30=0,L30,WORKDAY.INTL(L30,D30-1,$D$3,'Calendar'!$A$5:$A$17))</f>
        <v>46408</v>
      </c>
      <c r="N30" s="18"/>
      <c r="O30" s="15" t="s">
        <v>49</v>
      </c>
    </row>
    <row r="31" spans="1:86">
      <c r="A31" s="15" t="s">
        <v>109</v>
      </c>
      <c r="B31" s="16" t="s">
        <v>110</v>
      </c>
      <c r="C31" s="16" t="s">
        <v>111</v>
      </c>
      <c r="D31" s="15">
        <v>8</v>
      </c>
      <c r="E31" s="15" t="s">
        <v>106</v>
      </c>
      <c r="F31" s="15"/>
      <c r="G31" s="15"/>
      <c r="H31" s="15"/>
      <c r="I31" s="15"/>
      <c r="J31" s="15"/>
      <c r="K31" s="17">
        <f>MAX($D$2-1,IFERROR(INDEX($M$7:$M$76,MATCH(E31,$A$7:$A$76,0)),0),IFERROR(INDEX($M$7:$M$76,MATCH(F31,$A$7:$A$76,0)),0),IFERROR(INDEX($M$7:$M$76,MATCH(G31,$A$7:$A$76,0)),0),IFERROR(INDEX($M$7:$M$76,MATCH(H31,$A$7:$A$76,0)),0),IFERROR(INDEX($M$7:$M$76,MATCH(I31,$A$7:$A$76,0)),0),IFERROR(INDEX($M$7:$M$76,MATCH(J31,$A$7:$A$76,0)),0))</f>
        <v>46408</v>
      </c>
      <c r="L31" s="17">
        <f>IF(D31=0,IF(COUNTA(E31:J31)=0,$D$2,K31),WORKDAY.INTL(K31,1,$D$3,'Calendar'!$A$5:$A$17))</f>
        <v>46409</v>
      </c>
      <c r="M31" s="17">
        <f>IF(D31=0,L31,WORKDAY.INTL(L31,D31-1,$D$3,'Calendar'!$A$5:$A$17))</f>
        <v>46420</v>
      </c>
      <c r="N31" s="18"/>
      <c r="O31" s="15" t="s">
        <v>49</v>
      </c>
    </row>
    <row r="32" spans="1:86">
      <c r="A32" s="15" t="s">
        <v>112</v>
      </c>
      <c r="B32" s="16" t="s">
        <v>113</v>
      </c>
      <c r="C32" s="16" t="s">
        <v>114</v>
      </c>
      <c r="D32" s="15">
        <v>30</v>
      </c>
      <c r="E32" s="15" t="s">
        <v>100</v>
      </c>
      <c r="F32" s="15"/>
      <c r="G32" s="15"/>
      <c r="H32" s="15"/>
      <c r="I32" s="15"/>
      <c r="J32" s="15"/>
      <c r="K32" s="17">
        <f>MAX($D$2-1,IFERROR(INDEX($M$7:$M$76,MATCH(E32,$A$7:$A$76,0)),0),IFERROR(INDEX($M$7:$M$76,MATCH(F32,$A$7:$A$76,0)),0),IFERROR(INDEX($M$7:$M$76,MATCH(G32,$A$7:$A$76,0)),0),IFERROR(INDEX($M$7:$M$76,MATCH(H32,$A$7:$A$76,0)),0),IFERROR(INDEX($M$7:$M$76,MATCH(I32,$A$7:$A$76,0)),0),IFERROR(INDEX($M$7:$M$76,MATCH(J32,$A$7:$A$76,0)),0))</f>
        <v>46377</v>
      </c>
      <c r="L32" s="17">
        <f>IF(D32=0,IF(COUNTA(E32:J32)=0,$D$2,K32),WORKDAY.INTL(K32,1,$D$3,'Calendar'!$A$5:$A$17))</f>
        <v>46378</v>
      </c>
      <c r="M32" s="17">
        <f>IF(D32=0,L32,WORKDAY.INTL(L32,D32-1,$D$3,'Calendar'!$A$5:$A$17))</f>
        <v>46429</v>
      </c>
      <c r="N32" s="18"/>
      <c r="O32" s="15" t="s">
        <v>49</v>
      </c>
    </row>
    <row r="33" spans="1:86">
      <c r="A33" s="15" t="s">
        <v>115</v>
      </c>
      <c r="B33" s="16" t="s">
        <v>116</v>
      </c>
      <c r="C33" s="16" t="s">
        <v>117</v>
      </c>
      <c r="D33" s="15">
        <v>35</v>
      </c>
      <c r="E33" s="15" t="s">
        <v>100</v>
      </c>
      <c r="F33" s="15"/>
      <c r="G33" s="15"/>
      <c r="H33" s="15"/>
      <c r="I33" s="15"/>
      <c r="J33" s="15"/>
      <c r="K33" s="17">
        <f>MAX($D$2-1,IFERROR(INDEX($M$7:$M$76,MATCH(E33,$A$7:$A$76,0)),0),IFERROR(INDEX($M$7:$M$76,MATCH(F33,$A$7:$A$76,0)),0),IFERROR(INDEX($M$7:$M$76,MATCH(G33,$A$7:$A$76,0)),0),IFERROR(INDEX($M$7:$M$76,MATCH(H33,$A$7:$A$76,0)),0),IFERROR(INDEX($M$7:$M$76,MATCH(I33,$A$7:$A$76,0)),0),IFERROR(INDEX($M$7:$M$76,MATCH(J33,$A$7:$A$76,0)),0))</f>
        <v>46377</v>
      </c>
      <c r="L33" s="17">
        <f>IF(D33=0,IF(COUNTA(E33:J33)=0,$D$2,K33),WORKDAY.INTL(K33,1,$D$3,'Calendar'!$A$5:$A$17))</f>
        <v>46378</v>
      </c>
      <c r="M33" s="17">
        <f>IF(D33=0,L33,WORKDAY.INTL(L33,D33-1,$D$3,'Calendar'!$A$5:$A$17))</f>
        <v>46436</v>
      </c>
      <c r="N33" s="18" t="s">
        <v>48</v>
      </c>
      <c r="O33" s="15" t="s">
        <v>49</v>
      </c>
    </row>
    <row r="34" spans="1:86">
      <c r="A34" s="15" t="s">
        <v>118</v>
      </c>
      <c r="B34" s="16" t="s">
        <v>119</v>
      </c>
      <c r="C34" s="16" t="s">
        <v>47</v>
      </c>
      <c r="D34" s="15">
        <v>2</v>
      </c>
      <c r="E34" s="15" t="s">
        <v>103</v>
      </c>
      <c r="F34" s="15" t="s">
        <v>106</v>
      </c>
      <c r="G34" s="15" t="s">
        <v>109</v>
      </c>
      <c r="H34" s="15" t="s">
        <v>112</v>
      </c>
      <c r="I34" s="15" t="s">
        <v>115</v>
      </c>
      <c r="J34" s="15"/>
      <c r="K34" s="17">
        <f>MAX($D$2-1,IFERROR(INDEX($M$7:$M$76,MATCH(E34,$A$7:$A$76,0)),0),IFERROR(INDEX($M$7:$M$76,MATCH(F34,$A$7:$A$76,0)),0),IFERROR(INDEX($M$7:$M$76,MATCH(G34,$A$7:$A$76,0)),0),IFERROR(INDEX($M$7:$M$76,MATCH(H34,$A$7:$A$76,0)),0),IFERROR(INDEX($M$7:$M$76,MATCH(I34,$A$7:$A$76,0)),0),IFERROR(INDEX($M$7:$M$76,MATCH(J34,$A$7:$A$76,0)),0))</f>
        <v>46436</v>
      </c>
      <c r="L34" s="17">
        <f>IF(D34=0,IF(COUNTA(E34:J34)=0,$D$2,K34),WORKDAY.INTL(K34,1,$D$3,'Calendar'!$A$5:$A$17))</f>
        <v>46437</v>
      </c>
      <c r="M34" s="17">
        <f>IF(D34=0,L34,WORKDAY.INTL(L34,D34-1,$D$3,'Calendar'!$A$5:$A$17))</f>
        <v>46440</v>
      </c>
      <c r="N34" s="18" t="s">
        <v>48</v>
      </c>
      <c r="O34" s="15" t="s">
        <v>49</v>
      </c>
    </row>
    <row r="35" spans="1:86">
      <c r="A35" s="13" t="s">
        <v>120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</row>
    <row r="36" spans="1:86">
      <c r="A36" s="15" t="s">
        <v>121</v>
      </c>
      <c r="B36" s="16" t="s">
        <v>122</v>
      </c>
      <c r="C36" s="16" t="s">
        <v>123</v>
      </c>
      <c r="D36" s="15">
        <v>4</v>
      </c>
      <c r="E36" s="15" t="s">
        <v>100</v>
      </c>
      <c r="F36" s="15"/>
      <c r="G36" s="15"/>
      <c r="H36" s="15"/>
      <c r="I36" s="15"/>
      <c r="J36" s="15"/>
      <c r="K36" s="17">
        <f>MAX($D$2-1,IFERROR(INDEX($M$7:$M$76,MATCH(E36,$A$7:$A$76,0)),0),IFERROR(INDEX($M$7:$M$76,MATCH(F36,$A$7:$A$76,0)),0),IFERROR(INDEX($M$7:$M$76,MATCH(G36,$A$7:$A$76,0)),0),IFERROR(INDEX($M$7:$M$76,MATCH(H36,$A$7:$A$76,0)),0),IFERROR(INDEX($M$7:$M$76,MATCH(I36,$A$7:$A$76,0)),0),IFERROR(INDEX($M$7:$M$76,MATCH(J36,$A$7:$A$76,0)),0))</f>
        <v>46377</v>
      </c>
      <c r="L36" s="17">
        <f>IF(D36=0,IF(COUNTA(E36:J36)=0,$D$2,K36),WORKDAY.INTL(K36,1,$D$3,'Calendar'!$A$5:$A$17))</f>
        <v>46378</v>
      </c>
      <c r="M36" s="17">
        <f>IF(D36=0,L36,WORKDAY.INTL(L36,D36-1,$D$3,'Calendar'!$A$5:$A$17))</f>
        <v>46393</v>
      </c>
      <c r="N36" s="18"/>
      <c r="O36" s="15" t="s">
        <v>49</v>
      </c>
    </row>
    <row r="37" spans="1:86">
      <c r="A37" s="15" t="s">
        <v>124</v>
      </c>
      <c r="B37" s="16" t="s">
        <v>125</v>
      </c>
      <c r="C37" s="16" t="s">
        <v>126</v>
      </c>
      <c r="D37" s="15">
        <v>20</v>
      </c>
      <c r="E37" s="15" t="s">
        <v>100</v>
      </c>
      <c r="F37" s="15" t="s">
        <v>121</v>
      </c>
      <c r="G37" s="15"/>
      <c r="H37" s="15"/>
      <c r="I37" s="15"/>
      <c r="J37" s="15"/>
      <c r="K37" s="17">
        <f>MAX($D$2-1,IFERROR(INDEX($M$7:$M$76,MATCH(E37,$A$7:$A$76,0)),0),IFERROR(INDEX($M$7:$M$76,MATCH(F37,$A$7:$A$76,0)),0),IFERROR(INDEX($M$7:$M$76,MATCH(G37,$A$7:$A$76,0)),0),IFERROR(INDEX($M$7:$M$76,MATCH(H37,$A$7:$A$76,0)),0),IFERROR(INDEX($M$7:$M$76,MATCH(I37,$A$7:$A$76,0)),0),IFERROR(INDEX($M$7:$M$76,MATCH(J37,$A$7:$A$76,0)),0))</f>
        <v>46393</v>
      </c>
      <c r="L37" s="17">
        <f>IF(D37=0,IF(COUNTA(E37:J37)=0,$D$2,K37),WORKDAY.INTL(K37,1,$D$3,'Calendar'!$A$5:$A$17))</f>
        <v>46394</v>
      </c>
      <c r="M37" s="17">
        <f>IF(D37=0,L37,WORKDAY.INTL(L37,D37-1,$D$3,'Calendar'!$A$5:$A$17))</f>
        <v>46421</v>
      </c>
      <c r="N37" s="18"/>
      <c r="O37" s="15" t="s">
        <v>49</v>
      </c>
    </row>
    <row r="38" spans="1:86">
      <c r="A38" s="15" t="s">
        <v>127</v>
      </c>
      <c r="B38" s="16" t="s">
        <v>128</v>
      </c>
      <c r="C38" s="16" t="s">
        <v>129</v>
      </c>
      <c r="D38" s="15">
        <v>20</v>
      </c>
      <c r="E38" s="15" t="s">
        <v>100</v>
      </c>
      <c r="F38" s="15" t="s">
        <v>121</v>
      </c>
      <c r="G38" s="15"/>
      <c r="H38" s="15"/>
      <c r="I38" s="15"/>
      <c r="J38" s="15"/>
      <c r="K38" s="17">
        <f>MAX($D$2-1,IFERROR(INDEX($M$7:$M$76,MATCH(E38,$A$7:$A$76,0)),0),IFERROR(INDEX($M$7:$M$76,MATCH(F38,$A$7:$A$76,0)),0),IFERROR(INDEX($M$7:$M$76,MATCH(G38,$A$7:$A$76,0)),0),IFERROR(INDEX($M$7:$M$76,MATCH(H38,$A$7:$A$76,0)),0),IFERROR(INDEX($M$7:$M$76,MATCH(I38,$A$7:$A$76,0)),0),IFERROR(INDEX($M$7:$M$76,MATCH(J38,$A$7:$A$76,0)),0))</f>
        <v>46393</v>
      </c>
      <c r="L38" s="17">
        <f>IF(D38=0,IF(COUNTA(E38:J38)=0,$D$2,K38),WORKDAY.INTL(K38,1,$D$3,'Calendar'!$A$5:$A$17))</f>
        <v>46394</v>
      </c>
      <c r="M38" s="17">
        <f>IF(D38=0,L38,WORKDAY.INTL(L38,D38-1,$D$3,'Calendar'!$A$5:$A$17))</f>
        <v>46421</v>
      </c>
      <c r="N38" s="18"/>
      <c r="O38" s="15" t="s">
        <v>49</v>
      </c>
    </row>
    <row r="39" spans="1:86">
      <c r="A39" s="15" t="s">
        <v>130</v>
      </c>
      <c r="B39" s="16" t="s">
        <v>131</v>
      </c>
      <c r="C39" s="16" t="s">
        <v>132</v>
      </c>
      <c r="D39" s="15">
        <v>3</v>
      </c>
      <c r="E39" s="15" t="s">
        <v>124</v>
      </c>
      <c r="F39" s="15"/>
      <c r="G39" s="15"/>
      <c r="H39" s="15"/>
      <c r="I39" s="15"/>
      <c r="J39" s="15"/>
      <c r="K39" s="17">
        <f>MAX($D$2-1,IFERROR(INDEX($M$7:$M$76,MATCH(E39,$A$7:$A$76,0)),0),IFERROR(INDEX($M$7:$M$76,MATCH(F39,$A$7:$A$76,0)),0),IFERROR(INDEX($M$7:$M$76,MATCH(G39,$A$7:$A$76,0)),0),IFERROR(INDEX($M$7:$M$76,MATCH(H39,$A$7:$A$76,0)),0),IFERROR(INDEX($M$7:$M$76,MATCH(I39,$A$7:$A$76,0)),0),IFERROR(INDEX($M$7:$M$76,MATCH(J39,$A$7:$A$76,0)),0))</f>
        <v>46421</v>
      </c>
      <c r="L39" s="17">
        <f>IF(D39=0,IF(COUNTA(E39:J39)=0,$D$2,K39),WORKDAY.INTL(K39,1,$D$3,'Calendar'!$A$5:$A$17))</f>
        <v>46422</v>
      </c>
      <c r="M39" s="17">
        <f>IF(D39=0,L39,WORKDAY.INTL(L39,D39-1,$D$3,'Calendar'!$A$5:$A$17))</f>
        <v>46426</v>
      </c>
      <c r="N39" s="18"/>
      <c r="O39" s="15" t="s">
        <v>49</v>
      </c>
    </row>
    <row r="40" spans="1:86">
      <c r="A40" s="15" t="s">
        <v>133</v>
      </c>
      <c r="B40" s="16" t="s">
        <v>134</v>
      </c>
      <c r="C40" s="16" t="s">
        <v>135</v>
      </c>
      <c r="D40" s="15">
        <v>3</v>
      </c>
      <c r="E40" s="15" t="s">
        <v>127</v>
      </c>
      <c r="F40" s="15"/>
      <c r="G40" s="15"/>
      <c r="H40" s="15"/>
      <c r="I40" s="15"/>
      <c r="J40" s="15"/>
      <c r="K40" s="17">
        <f>MAX($D$2-1,IFERROR(INDEX($M$7:$M$76,MATCH(E40,$A$7:$A$76,0)),0),IFERROR(INDEX($M$7:$M$76,MATCH(F40,$A$7:$A$76,0)),0),IFERROR(INDEX($M$7:$M$76,MATCH(G40,$A$7:$A$76,0)),0),IFERROR(INDEX($M$7:$M$76,MATCH(H40,$A$7:$A$76,0)),0),IFERROR(INDEX($M$7:$M$76,MATCH(I40,$A$7:$A$76,0)),0),IFERROR(INDEX($M$7:$M$76,MATCH(J40,$A$7:$A$76,0)),0))</f>
        <v>46421</v>
      </c>
      <c r="L40" s="17">
        <f>IF(D40=0,IF(COUNTA(E40:J40)=0,$D$2,K40),WORKDAY.INTL(K40,1,$D$3,'Calendar'!$A$5:$A$17))</f>
        <v>46422</v>
      </c>
      <c r="M40" s="17">
        <f>IF(D40=0,L40,WORKDAY.INTL(L40,D40-1,$D$3,'Calendar'!$A$5:$A$17))</f>
        <v>46426</v>
      </c>
      <c r="N40" s="18"/>
      <c r="O40" s="15" t="s">
        <v>49</v>
      </c>
    </row>
    <row r="41" spans="1:86">
      <c r="A41" s="13" t="s">
        <v>136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</row>
    <row r="42" spans="1:86">
      <c r="A42" s="15" t="s">
        <v>137</v>
      </c>
      <c r="B42" s="16" t="s">
        <v>138</v>
      </c>
      <c r="C42" s="16" t="s">
        <v>139</v>
      </c>
      <c r="D42" s="15">
        <v>12</v>
      </c>
      <c r="E42" s="15" t="s">
        <v>130</v>
      </c>
      <c r="F42" s="15" t="s">
        <v>133</v>
      </c>
      <c r="G42" s="15" t="s">
        <v>118</v>
      </c>
      <c r="H42" s="15"/>
      <c r="I42" s="15"/>
      <c r="J42" s="15"/>
      <c r="K42" s="17">
        <f>MAX($D$2-1,IFERROR(INDEX($M$7:$M$76,MATCH(E42,$A$7:$A$76,0)),0),IFERROR(INDEX($M$7:$M$76,MATCH(F42,$A$7:$A$76,0)),0),IFERROR(INDEX($M$7:$M$76,MATCH(G42,$A$7:$A$76,0)),0),IFERROR(INDEX($M$7:$M$76,MATCH(H42,$A$7:$A$76,0)),0),IFERROR(INDEX($M$7:$M$76,MATCH(I42,$A$7:$A$76,0)),0),IFERROR(INDEX($M$7:$M$76,MATCH(J42,$A$7:$A$76,0)),0))</f>
        <v>46440</v>
      </c>
      <c r="L42" s="17">
        <f>IF(D42=0,IF(COUNTA(E42:J42)=0,$D$2,K42),WORKDAY.INTL(K42,1,$D$3,'Calendar'!$A$5:$A$17))</f>
        <v>46441</v>
      </c>
      <c r="M42" s="17">
        <f>IF(D42=0,L42,WORKDAY.INTL(L42,D42-1,$D$3,'Calendar'!$A$5:$A$17))</f>
        <v>46456</v>
      </c>
      <c r="N42" s="18" t="s">
        <v>48</v>
      </c>
      <c r="O42" s="15" t="s">
        <v>49</v>
      </c>
    </row>
    <row r="43" spans="1:86">
      <c r="A43" s="15" t="s">
        <v>140</v>
      </c>
      <c r="B43" s="16" t="s">
        <v>141</v>
      </c>
      <c r="C43" s="16" t="s">
        <v>142</v>
      </c>
      <c r="D43" s="15">
        <v>6</v>
      </c>
      <c r="E43" s="15" t="s">
        <v>137</v>
      </c>
      <c r="F43" s="15"/>
      <c r="G43" s="15"/>
      <c r="H43" s="15"/>
      <c r="I43" s="15"/>
      <c r="J43" s="15"/>
      <c r="K43" s="17">
        <f>MAX($D$2-1,IFERROR(INDEX($M$7:$M$76,MATCH(E43,$A$7:$A$76,0)),0),IFERROR(INDEX($M$7:$M$76,MATCH(F43,$A$7:$A$76,0)),0),IFERROR(INDEX($M$7:$M$76,MATCH(G43,$A$7:$A$76,0)),0),IFERROR(INDEX($M$7:$M$76,MATCH(H43,$A$7:$A$76,0)),0),IFERROR(INDEX($M$7:$M$76,MATCH(I43,$A$7:$A$76,0)),0),IFERROR(INDEX($M$7:$M$76,MATCH(J43,$A$7:$A$76,0)),0))</f>
        <v>46456</v>
      </c>
      <c r="L43" s="17">
        <f>IF(D43=0,IF(COUNTA(E43:J43)=0,$D$2,K43),WORKDAY.INTL(K43,1,$D$3,'Calendar'!$A$5:$A$17))</f>
        <v>46457</v>
      </c>
      <c r="M43" s="17">
        <f>IF(D43=0,L43,WORKDAY.INTL(L43,D43-1,$D$3,'Calendar'!$A$5:$A$17))</f>
        <v>46464</v>
      </c>
      <c r="N43" s="18" t="s">
        <v>48</v>
      </c>
      <c r="O43" s="15" t="s">
        <v>49</v>
      </c>
    </row>
    <row r="44" spans="1:86">
      <c r="A44" s="15" t="s">
        <v>143</v>
      </c>
      <c r="B44" s="16" t="s">
        <v>144</v>
      </c>
      <c r="C44" s="16" t="s">
        <v>47</v>
      </c>
      <c r="D44" s="15">
        <v>2</v>
      </c>
      <c r="E44" s="15" t="s">
        <v>140</v>
      </c>
      <c r="F44" s="15"/>
      <c r="G44" s="15"/>
      <c r="H44" s="15"/>
      <c r="I44" s="15"/>
      <c r="J44" s="15"/>
      <c r="K44" s="17">
        <f>MAX($D$2-1,IFERROR(INDEX($M$7:$M$76,MATCH(E44,$A$7:$A$76,0)),0),IFERROR(INDEX($M$7:$M$76,MATCH(F44,$A$7:$A$76,0)),0),IFERROR(INDEX($M$7:$M$76,MATCH(G44,$A$7:$A$76,0)),0),IFERROR(INDEX($M$7:$M$76,MATCH(H44,$A$7:$A$76,0)),0),IFERROR(INDEX($M$7:$M$76,MATCH(I44,$A$7:$A$76,0)),0),IFERROR(INDEX($M$7:$M$76,MATCH(J44,$A$7:$A$76,0)),0))</f>
        <v>46464</v>
      </c>
      <c r="L44" s="17">
        <f>IF(D44=0,IF(COUNTA(E44:J44)=0,$D$2,K44),WORKDAY.INTL(K44,1,$D$3,'Calendar'!$A$5:$A$17))</f>
        <v>46465</v>
      </c>
      <c r="M44" s="17">
        <f>IF(D44=0,L44,WORKDAY.INTL(L44,D44-1,$D$3,'Calendar'!$A$5:$A$17))</f>
        <v>46468</v>
      </c>
      <c r="N44" s="18" t="s">
        <v>48</v>
      </c>
      <c r="O44" s="15" t="s">
        <v>49</v>
      </c>
    </row>
    <row r="45" spans="1:86">
      <c r="A45" s="15" t="s">
        <v>145</v>
      </c>
      <c r="B45" s="16" t="s">
        <v>146</v>
      </c>
      <c r="C45" s="16" t="s">
        <v>147</v>
      </c>
      <c r="D45" s="15">
        <v>6</v>
      </c>
      <c r="E45" s="15" t="s">
        <v>130</v>
      </c>
      <c r="F45" s="15" t="s">
        <v>121</v>
      </c>
      <c r="G45" s="15"/>
      <c r="H45" s="15"/>
      <c r="I45" s="15"/>
      <c r="J45" s="15"/>
      <c r="K45" s="17">
        <f>MAX($D$2-1,IFERROR(INDEX($M$7:$M$76,MATCH(E45,$A$7:$A$76,0)),0),IFERROR(INDEX($M$7:$M$76,MATCH(F45,$A$7:$A$76,0)),0),IFERROR(INDEX($M$7:$M$76,MATCH(G45,$A$7:$A$76,0)),0),IFERROR(INDEX($M$7:$M$76,MATCH(H45,$A$7:$A$76,0)),0),IFERROR(INDEX($M$7:$M$76,MATCH(I45,$A$7:$A$76,0)),0),IFERROR(INDEX($M$7:$M$76,MATCH(J45,$A$7:$A$76,0)),0))</f>
        <v>46426</v>
      </c>
      <c r="L45" s="17">
        <f>IF(D45=0,IF(COUNTA(E45:J45)=0,$D$2,K45),WORKDAY.INTL(K45,1,$D$3,'Calendar'!$A$5:$A$17))</f>
        <v>46427</v>
      </c>
      <c r="M45" s="17">
        <f>IF(D45=0,L45,WORKDAY.INTL(L45,D45-1,$D$3,'Calendar'!$A$5:$A$17))</f>
        <v>46434</v>
      </c>
      <c r="N45" s="18"/>
      <c r="O45" s="15" t="s">
        <v>49</v>
      </c>
    </row>
    <row r="46" spans="1:86">
      <c r="A46" s="15" t="s">
        <v>148</v>
      </c>
      <c r="B46" s="16" t="s">
        <v>149</v>
      </c>
      <c r="C46" s="16" t="s">
        <v>150</v>
      </c>
      <c r="D46" s="15">
        <v>6</v>
      </c>
      <c r="E46" s="15" t="s">
        <v>112</v>
      </c>
      <c r="F46" s="15" t="s">
        <v>130</v>
      </c>
      <c r="G46" s="15"/>
      <c r="H46" s="15"/>
      <c r="I46" s="15"/>
      <c r="J46" s="15"/>
      <c r="K46" s="17">
        <f>MAX($D$2-1,IFERROR(INDEX($M$7:$M$76,MATCH(E46,$A$7:$A$76,0)),0),IFERROR(INDEX($M$7:$M$76,MATCH(F46,$A$7:$A$76,0)),0),IFERROR(INDEX($M$7:$M$76,MATCH(G46,$A$7:$A$76,0)),0),IFERROR(INDEX($M$7:$M$76,MATCH(H46,$A$7:$A$76,0)),0),IFERROR(INDEX($M$7:$M$76,MATCH(I46,$A$7:$A$76,0)),0),IFERROR(INDEX($M$7:$M$76,MATCH(J46,$A$7:$A$76,0)),0))</f>
        <v>46429</v>
      </c>
      <c r="L46" s="17">
        <f>IF(D46=0,IF(COUNTA(E46:J46)=0,$D$2,K46),WORKDAY.INTL(K46,1,$D$3,'Calendar'!$A$5:$A$17))</f>
        <v>46430</v>
      </c>
      <c r="M46" s="17">
        <f>IF(D46=0,L46,WORKDAY.INTL(L46,D46-1,$D$3,'Calendar'!$A$5:$A$17))</f>
        <v>46437</v>
      </c>
      <c r="N46" s="18"/>
      <c r="O46" s="15" t="s">
        <v>49</v>
      </c>
    </row>
    <row r="47" spans="1:86">
      <c r="A47" s="15" t="s">
        <v>151</v>
      </c>
      <c r="B47" s="16" t="s">
        <v>152</v>
      </c>
      <c r="C47" s="16" t="s">
        <v>153</v>
      </c>
      <c r="D47" s="15">
        <v>3</v>
      </c>
      <c r="E47" s="15" t="s">
        <v>145</v>
      </c>
      <c r="F47" s="15" t="s">
        <v>148</v>
      </c>
      <c r="G47" s="15"/>
      <c r="H47" s="15"/>
      <c r="I47" s="15"/>
      <c r="J47" s="15"/>
      <c r="K47" s="17">
        <f>MAX($D$2-1,IFERROR(INDEX($M$7:$M$76,MATCH(E47,$A$7:$A$76,0)),0),IFERROR(INDEX($M$7:$M$76,MATCH(F47,$A$7:$A$76,0)),0),IFERROR(INDEX($M$7:$M$76,MATCH(G47,$A$7:$A$76,0)),0),IFERROR(INDEX($M$7:$M$76,MATCH(H47,$A$7:$A$76,0)),0),IFERROR(INDEX($M$7:$M$76,MATCH(I47,$A$7:$A$76,0)),0),IFERROR(INDEX($M$7:$M$76,MATCH(J47,$A$7:$A$76,0)),0))</f>
        <v>46437</v>
      </c>
      <c r="L47" s="17">
        <f>IF(D47=0,IF(COUNTA(E47:J47)=0,$D$2,K47),WORKDAY.INTL(K47,1,$D$3,'Calendar'!$A$5:$A$17))</f>
        <v>46440</v>
      </c>
      <c r="M47" s="17">
        <f>IF(D47=0,L47,WORKDAY.INTL(L47,D47-1,$D$3,'Calendar'!$A$5:$A$17))</f>
        <v>46442</v>
      </c>
      <c r="N47" s="18"/>
      <c r="O47" s="15" t="s">
        <v>49</v>
      </c>
    </row>
    <row r="48" spans="1:86">
      <c r="A48" s="15" t="s">
        <v>154</v>
      </c>
      <c r="B48" s="16" t="s">
        <v>155</v>
      </c>
      <c r="C48" s="16" t="s">
        <v>47</v>
      </c>
      <c r="D48" s="15">
        <v>1</v>
      </c>
      <c r="E48" s="15" t="s">
        <v>151</v>
      </c>
      <c r="F48" s="15"/>
      <c r="G48" s="15"/>
      <c r="H48" s="15"/>
      <c r="I48" s="15"/>
      <c r="J48" s="15"/>
      <c r="K48" s="17">
        <f>MAX($D$2-1,IFERROR(INDEX($M$7:$M$76,MATCH(E48,$A$7:$A$76,0)),0),IFERROR(INDEX($M$7:$M$76,MATCH(F48,$A$7:$A$76,0)),0),IFERROR(INDEX($M$7:$M$76,MATCH(G48,$A$7:$A$76,0)),0),IFERROR(INDEX($M$7:$M$76,MATCH(H48,$A$7:$A$76,0)),0),IFERROR(INDEX($M$7:$M$76,MATCH(I48,$A$7:$A$76,0)),0),IFERROR(INDEX($M$7:$M$76,MATCH(J48,$A$7:$A$76,0)),0))</f>
        <v>46442</v>
      </c>
      <c r="L48" s="17">
        <f>IF(D48=0,IF(COUNTA(E48:J48)=0,$D$2,K48),WORKDAY.INTL(K48,1,$D$3,'Calendar'!$A$5:$A$17))</f>
        <v>46443</v>
      </c>
      <c r="M48" s="17">
        <f>IF(D48=0,L48,WORKDAY.INTL(L48,D48-1,$D$3,'Calendar'!$A$5:$A$17))</f>
        <v>46443</v>
      </c>
      <c r="N48" s="18"/>
      <c r="O48" s="15" t="s">
        <v>49</v>
      </c>
    </row>
    <row r="49" spans="1:86">
      <c r="A49" s="13" t="s">
        <v>156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</row>
    <row r="50" spans="1:86" ht="26" customHeight="1">
      <c r="A50" s="15" t="s">
        <v>157</v>
      </c>
      <c r="B50" s="16" t="s">
        <v>158</v>
      </c>
      <c r="C50" s="16" t="s">
        <v>159</v>
      </c>
      <c r="D50" s="15">
        <v>40</v>
      </c>
      <c r="E50" s="15" t="s">
        <v>100</v>
      </c>
      <c r="F50" s="15"/>
      <c r="G50" s="15"/>
      <c r="H50" s="15"/>
      <c r="I50" s="15"/>
      <c r="J50" s="15"/>
      <c r="K50" s="17">
        <f>MAX($D$2-1,IFERROR(INDEX($M$7:$M$76,MATCH(E50,$A$7:$A$76,0)),0),IFERROR(INDEX($M$7:$M$76,MATCH(F50,$A$7:$A$76,0)),0),IFERROR(INDEX($M$7:$M$76,MATCH(G50,$A$7:$A$76,0)),0),IFERROR(INDEX($M$7:$M$76,MATCH(H50,$A$7:$A$76,0)),0),IFERROR(INDEX($M$7:$M$76,MATCH(I50,$A$7:$A$76,0)),0),IFERROR(INDEX($M$7:$M$76,MATCH(J50,$A$7:$A$76,0)),0))</f>
        <v>46377</v>
      </c>
      <c r="L50" s="17">
        <f>IF(D50=0,IF(COUNTA(E50:J50)=0,$D$2,K50),WORKDAY.INTL(K50,1,$D$3,'Calendar'!$A$5:$A$17))</f>
        <v>46378</v>
      </c>
      <c r="M50" s="17">
        <f>IF(D50=0,L50,WORKDAY.INTL(L50,D50-1,$D$3,'Calendar'!$A$5:$A$17))</f>
        <v>46443</v>
      </c>
      <c r="N50" s="18"/>
      <c r="O50" s="15" t="s">
        <v>53</v>
      </c>
    </row>
    <row r="51" spans="1:86">
      <c r="A51" s="15" t="s">
        <v>160</v>
      </c>
      <c r="B51" s="16" t="s">
        <v>161</v>
      </c>
      <c r="C51" s="16" t="s">
        <v>56</v>
      </c>
      <c r="D51" s="15">
        <v>22</v>
      </c>
      <c r="E51" s="15" t="s">
        <v>88</v>
      </c>
      <c r="F51" s="15" t="s">
        <v>157</v>
      </c>
      <c r="G51" s="15" t="s">
        <v>91</v>
      </c>
      <c r="H51" s="15"/>
      <c r="I51" s="15"/>
      <c r="J51" s="15"/>
      <c r="K51" s="17">
        <f>MAX($D$2-1,IFERROR(INDEX($M$7:$M$76,MATCH(E51,$A$7:$A$76,0)),0),IFERROR(INDEX($M$7:$M$76,MATCH(F51,$A$7:$A$76,0)),0),IFERROR(INDEX($M$7:$M$76,MATCH(G51,$A$7:$A$76,0)),0),IFERROR(INDEX($M$7:$M$76,MATCH(H51,$A$7:$A$76,0)),0),IFERROR(INDEX($M$7:$M$76,MATCH(I51,$A$7:$A$76,0)),0),IFERROR(INDEX($M$7:$M$76,MATCH(J51,$A$7:$A$76,0)),0))</f>
        <v>46443</v>
      </c>
      <c r="L51" s="17">
        <f>IF(D51=0,IF(COUNTA(E51:J51)=0,$D$2,K51),WORKDAY.INTL(K51,1,$D$3,'Calendar'!$A$5:$A$17))</f>
        <v>46444</v>
      </c>
      <c r="M51" s="17">
        <f>IF(D51=0,L51,WORKDAY.INTL(L51,D51-1,$D$3,'Calendar'!$A$5:$A$17))</f>
        <v>46477</v>
      </c>
      <c r="N51" s="18"/>
      <c r="O51" s="15" t="s">
        <v>49</v>
      </c>
    </row>
    <row r="52" spans="1:86">
      <c r="A52" s="15" t="s">
        <v>162</v>
      </c>
      <c r="B52" s="16" t="s">
        <v>163</v>
      </c>
      <c r="C52" s="16" t="s">
        <v>164</v>
      </c>
      <c r="D52" s="15">
        <v>8</v>
      </c>
      <c r="E52" s="15" t="s">
        <v>157</v>
      </c>
      <c r="F52" s="15" t="s">
        <v>160</v>
      </c>
      <c r="G52" s="15"/>
      <c r="H52" s="15"/>
      <c r="I52" s="15"/>
      <c r="J52" s="15"/>
      <c r="K52" s="17">
        <f>MAX($D$2-1,IFERROR(INDEX($M$7:$M$76,MATCH(E52,$A$7:$A$76,0)),0),IFERROR(INDEX($M$7:$M$76,MATCH(F52,$A$7:$A$76,0)),0),IFERROR(INDEX($M$7:$M$76,MATCH(G52,$A$7:$A$76,0)),0),IFERROR(INDEX($M$7:$M$76,MATCH(H52,$A$7:$A$76,0)),0),IFERROR(INDEX($M$7:$M$76,MATCH(I52,$A$7:$A$76,0)),0),IFERROR(INDEX($M$7:$M$76,MATCH(J52,$A$7:$A$76,0)),0))</f>
        <v>46477</v>
      </c>
      <c r="L52" s="17">
        <f>IF(D52=0,IF(COUNTA(E52:J52)=0,$D$2,K52),WORKDAY.INTL(K52,1,$D$3,'Calendar'!$A$5:$A$17))</f>
        <v>46478</v>
      </c>
      <c r="M52" s="17">
        <f>IF(D52=0,L52,WORKDAY.INTL(L52,D52-1,$D$3,'Calendar'!$A$5:$A$17))</f>
        <v>46489</v>
      </c>
      <c r="N52" s="18"/>
      <c r="O52" s="15" t="s">
        <v>49</v>
      </c>
    </row>
    <row r="53" spans="1:86">
      <c r="A53" s="15" t="s">
        <v>165</v>
      </c>
      <c r="B53" s="16" t="s">
        <v>166</v>
      </c>
      <c r="C53" s="16" t="s">
        <v>90</v>
      </c>
      <c r="D53" s="15">
        <v>4</v>
      </c>
      <c r="E53" s="15" t="s">
        <v>160</v>
      </c>
      <c r="F53" s="15" t="s">
        <v>162</v>
      </c>
      <c r="G53" s="15"/>
      <c r="H53" s="15"/>
      <c r="I53" s="15"/>
      <c r="J53" s="15"/>
      <c r="K53" s="17">
        <f>MAX($D$2-1,IFERROR(INDEX($M$7:$M$76,MATCH(E53,$A$7:$A$76,0)),0),IFERROR(INDEX($M$7:$M$76,MATCH(F53,$A$7:$A$76,0)),0),IFERROR(INDEX($M$7:$M$76,MATCH(G53,$A$7:$A$76,0)),0),IFERROR(INDEX($M$7:$M$76,MATCH(H53,$A$7:$A$76,0)),0),IFERROR(INDEX($M$7:$M$76,MATCH(I53,$A$7:$A$76,0)),0),IFERROR(INDEX($M$7:$M$76,MATCH(J53,$A$7:$A$76,0)),0))</f>
        <v>46489</v>
      </c>
      <c r="L53" s="17">
        <f>IF(D53=0,IF(COUNTA(E53:J53)=0,$D$2,K53),WORKDAY.INTL(K53,1,$D$3,'Calendar'!$A$5:$A$17))</f>
        <v>46490</v>
      </c>
      <c r="M53" s="17">
        <f>IF(D53=0,L53,WORKDAY.INTL(L53,D53-1,$D$3,'Calendar'!$A$5:$A$17))</f>
        <v>46493</v>
      </c>
      <c r="N53" s="18"/>
      <c r="O53" s="15" t="s">
        <v>49</v>
      </c>
    </row>
    <row r="54" spans="1:86">
      <c r="A54" s="13" t="s">
        <v>167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</row>
    <row r="55" spans="1:86" ht="26" customHeight="1">
      <c r="A55" s="15" t="s">
        <v>168</v>
      </c>
      <c r="B55" s="16" t="s">
        <v>169</v>
      </c>
      <c r="C55" s="16" t="s">
        <v>170</v>
      </c>
      <c r="D55" s="15">
        <v>12</v>
      </c>
      <c r="E55" s="15" t="s">
        <v>143</v>
      </c>
      <c r="F55" s="15" t="s">
        <v>157</v>
      </c>
      <c r="G55" s="15"/>
      <c r="H55" s="15"/>
      <c r="I55" s="15"/>
      <c r="J55" s="15"/>
      <c r="K55" s="17">
        <f>MAX($D$2-1,IFERROR(INDEX($M$7:$M$76,MATCH(E55,$A$7:$A$76,0)),0),IFERROR(INDEX($M$7:$M$76,MATCH(F55,$A$7:$A$76,0)),0),IFERROR(INDEX($M$7:$M$76,MATCH(G55,$A$7:$A$76,0)),0),IFERROR(INDEX($M$7:$M$76,MATCH(H55,$A$7:$A$76,0)),0),IFERROR(INDEX($M$7:$M$76,MATCH(I55,$A$7:$A$76,0)),0),IFERROR(INDEX($M$7:$M$76,MATCH(J55,$A$7:$A$76,0)),0))</f>
        <v>46468</v>
      </c>
      <c r="L55" s="17">
        <f>IF(D55=0,IF(COUNTA(E55:J55)=0,$D$2,K55),WORKDAY.INTL(K55,1,$D$3,'Calendar'!$A$5:$A$17))</f>
        <v>46469</v>
      </c>
      <c r="M55" s="17">
        <f>IF(D55=0,L55,WORKDAY.INTL(L55,D55-1,$D$3,'Calendar'!$A$5:$A$17))</f>
        <v>46486</v>
      </c>
      <c r="N55" s="18"/>
      <c r="O55" s="15" t="s">
        <v>49</v>
      </c>
    </row>
    <row r="56" spans="1:86">
      <c r="A56" s="15" t="s">
        <v>171</v>
      </c>
      <c r="B56" s="16" t="s">
        <v>172</v>
      </c>
      <c r="C56" s="16" t="s">
        <v>173</v>
      </c>
      <c r="D56" s="15">
        <v>14</v>
      </c>
      <c r="E56" s="15" t="s">
        <v>154</v>
      </c>
      <c r="F56" s="15" t="s">
        <v>143</v>
      </c>
      <c r="G56" s="15" t="s">
        <v>60</v>
      </c>
      <c r="H56" s="15"/>
      <c r="I56" s="15"/>
      <c r="J56" s="15"/>
      <c r="K56" s="17">
        <f>MAX($D$2-1,IFERROR(INDEX($M$7:$M$76,MATCH(E56,$A$7:$A$76,0)),0),IFERROR(INDEX($M$7:$M$76,MATCH(F56,$A$7:$A$76,0)),0),IFERROR(INDEX($M$7:$M$76,MATCH(G56,$A$7:$A$76,0)),0),IFERROR(INDEX($M$7:$M$76,MATCH(H56,$A$7:$A$76,0)),0),IFERROR(INDEX($M$7:$M$76,MATCH(I56,$A$7:$A$76,0)),0),IFERROR(INDEX($M$7:$M$76,MATCH(J56,$A$7:$A$76,0)),0))</f>
        <v>46468</v>
      </c>
      <c r="L56" s="17">
        <f>IF(D56=0,IF(COUNTA(E56:J56)=0,$D$2,K56),WORKDAY.INTL(K56,1,$D$3,'Calendar'!$A$5:$A$17))</f>
        <v>46469</v>
      </c>
      <c r="M56" s="17">
        <f>IF(D56=0,L56,WORKDAY.INTL(L56,D56-1,$D$3,'Calendar'!$A$5:$A$17))</f>
        <v>46490</v>
      </c>
      <c r="N56" s="18" t="s">
        <v>48</v>
      </c>
      <c r="O56" s="15" t="s">
        <v>49</v>
      </c>
    </row>
    <row r="57" spans="1:86">
      <c r="A57" s="15" t="s">
        <v>174</v>
      </c>
      <c r="B57" s="16" t="s">
        <v>175</v>
      </c>
      <c r="C57" s="16" t="s">
        <v>176</v>
      </c>
      <c r="D57" s="15">
        <v>8</v>
      </c>
      <c r="E57" s="15" t="s">
        <v>154</v>
      </c>
      <c r="F57" s="15" t="s">
        <v>60</v>
      </c>
      <c r="G57" s="15"/>
      <c r="H57" s="15"/>
      <c r="I57" s="15"/>
      <c r="J57" s="15"/>
      <c r="K57" s="17">
        <f>MAX($D$2-1,IFERROR(INDEX($M$7:$M$76,MATCH(E57,$A$7:$A$76,0)),0),IFERROR(INDEX($M$7:$M$76,MATCH(F57,$A$7:$A$76,0)),0),IFERROR(INDEX($M$7:$M$76,MATCH(G57,$A$7:$A$76,0)),0),IFERROR(INDEX($M$7:$M$76,MATCH(H57,$A$7:$A$76,0)),0),IFERROR(INDEX($M$7:$M$76,MATCH(I57,$A$7:$A$76,0)),0),IFERROR(INDEX($M$7:$M$76,MATCH(J57,$A$7:$A$76,0)),0))</f>
        <v>46443</v>
      </c>
      <c r="L57" s="17">
        <f>IF(D57=0,IF(COUNTA(E57:J57)=0,$D$2,K57),WORKDAY.INTL(K57,1,$D$3,'Calendar'!$A$5:$A$17))</f>
        <v>46444</v>
      </c>
      <c r="M57" s="17">
        <f>IF(D57=0,L57,WORKDAY.INTL(L57,D57-1,$D$3,'Calendar'!$A$5:$A$17))</f>
        <v>46455</v>
      </c>
      <c r="N57" s="18"/>
      <c r="O57" s="15" t="s">
        <v>49</v>
      </c>
    </row>
    <row r="58" spans="1:86">
      <c r="A58" s="15" t="s">
        <v>177</v>
      </c>
      <c r="B58" s="16" t="s">
        <v>178</v>
      </c>
      <c r="C58" s="16" t="s">
        <v>179</v>
      </c>
      <c r="D58" s="15">
        <v>17</v>
      </c>
      <c r="E58" s="15" t="s">
        <v>151</v>
      </c>
      <c r="F58" s="15" t="s">
        <v>60</v>
      </c>
      <c r="G58" s="15"/>
      <c r="H58" s="15"/>
      <c r="I58" s="15"/>
      <c r="J58" s="15"/>
      <c r="K58" s="17">
        <f>MAX($D$2-1,IFERROR(INDEX($M$7:$M$76,MATCH(E58,$A$7:$A$76,0)),0),IFERROR(INDEX($M$7:$M$76,MATCH(F58,$A$7:$A$76,0)),0),IFERROR(INDEX($M$7:$M$76,MATCH(G58,$A$7:$A$76,0)),0),IFERROR(INDEX($M$7:$M$76,MATCH(H58,$A$7:$A$76,0)),0),IFERROR(INDEX($M$7:$M$76,MATCH(I58,$A$7:$A$76,0)),0),IFERROR(INDEX($M$7:$M$76,MATCH(J58,$A$7:$A$76,0)),0))</f>
        <v>46442</v>
      </c>
      <c r="L58" s="17">
        <f>IF(D58=0,IF(COUNTA(E58:J58)=0,$D$2,K58),WORKDAY.INTL(K58,1,$D$3,'Calendar'!$A$5:$A$17))</f>
        <v>46443</v>
      </c>
      <c r="M58" s="17">
        <f>IF(D58=0,L58,WORKDAY.INTL(L58,D58-1,$D$3,'Calendar'!$A$5:$A$17))</f>
        <v>46465</v>
      </c>
      <c r="N58" s="18"/>
      <c r="O58" s="15" t="s">
        <v>49</v>
      </c>
    </row>
    <row r="59" spans="1:86">
      <c r="A59" s="15" t="s">
        <v>180</v>
      </c>
      <c r="B59" s="16" t="s">
        <v>181</v>
      </c>
      <c r="C59" s="16" t="s">
        <v>182</v>
      </c>
      <c r="D59" s="15">
        <v>8</v>
      </c>
      <c r="E59" s="15" t="s">
        <v>171</v>
      </c>
      <c r="F59" s="15" t="s">
        <v>118</v>
      </c>
      <c r="G59" s="15" t="s">
        <v>109</v>
      </c>
      <c r="H59" s="15" t="s">
        <v>60</v>
      </c>
      <c r="I59" s="15"/>
      <c r="J59" s="15"/>
      <c r="K59" s="17">
        <f>MAX($D$2-1,IFERROR(INDEX($M$7:$M$76,MATCH(E59,$A$7:$A$76,0)),0),IFERROR(INDEX($M$7:$M$76,MATCH(F59,$A$7:$A$76,0)),0),IFERROR(INDEX($M$7:$M$76,MATCH(G59,$A$7:$A$76,0)),0),IFERROR(INDEX($M$7:$M$76,MATCH(H59,$A$7:$A$76,0)),0),IFERROR(INDEX($M$7:$M$76,MATCH(I59,$A$7:$A$76,0)),0),IFERROR(INDEX($M$7:$M$76,MATCH(J59,$A$7:$A$76,0)),0))</f>
        <v>46490</v>
      </c>
      <c r="L59" s="17">
        <f>IF(D59=0,IF(COUNTA(E59:J59)=0,$D$2,K59),WORKDAY.INTL(K59,1,$D$3,'Calendar'!$A$5:$A$17))</f>
        <v>46491</v>
      </c>
      <c r="M59" s="17">
        <f>IF(D59=0,L59,WORKDAY.INTL(L59,D59-1,$D$3,'Calendar'!$A$5:$A$17))</f>
        <v>46500</v>
      </c>
      <c r="N59" s="18"/>
      <c r="O59" s="15" t="s">
        <v>49</v>
      </c>
    </row>
    <row r="60" spans="1:86">
      <c r="A60" s="15" t="s">
        <v>183</v>
      </c>
      <c r="B60" s="16" t="s">
        <v>184</v>
      </c>
      <c r="C60" s="16" t="s">
        <v>185</v>
      </c>
      <c r="D60" s="15">
        <v>12</v>
      </c>
      <c r="E60" s="15" t="s">
        <v>168</v>
      </c>
      <c r="F60" s="15" t="s">
        <v>171</v>
      </c>
      <c r="G60" s="15" t="s">
        <v>57</v>
      </c>
      <c r="H60" s="15"/>
      <c r="I60" s="15"/>
      <c r="J60" s="15"/>
      <c r="K60" s="17">
        <f>MAX($D$2-1,IFERROR(INDEX($M$7:$M$76,MATCH(E60,$A$7:$A$76,0)),0),IFERROR(INDEX($M$7:$M$76,MATCH(F60,$A$7:$A$76,0)),0),IFERROR(INDEX($M$7:$M$76,MATCH(G60,$A$7:$A$76,0)),0),IFERROR(INDEX($M$7:$M$76,MATCH(H60,$A$7:$A$76,0)),0),IFERROR(INDEX($M$7:$M$76,MATCH(I60,$A$7:$A$76,0)),0),IFERROR(INDEX($M$7:$M$76,MATCH(J60,$A$7:$A$76,0)),0))</f>
        <v>46490</v>
      </c>
      <c r="L60" s="17">
        <f>IF(D60=0,IF(COUNTA(E60:J60)=0,$D$2,K60),WORKDAY.INTL(K60,1,$D$3,'Calendar'!$A$5:$A$17))</f>
        <v>46491</v>
      </c>
      <c r="M60" s="17">
        <f>IF(D60=0,L60,WORKDAY.INTL(L60,D60-1,$D$3,'Calendar'!$A$5:$A$17))</f>
        <v>46506</v>
      </c>
      <c r="N60" s="18" t="s">
        <v>48</v>
      </c>
      <c r="O60" s="15" t="s">
        <v>49</v>
      </c>
    </row>
    <row r="61" spans="1:86">
      <c r="A61" s="15" t="s">
        <v>186</v>
      </c>
      <c r="B61" s="16" t="s">
        <v>187</v>
      </c>
      <c r="C61" s="16" t="s">
        <v>188</v>
      </c>
      <c r="D61" s="15">
        <v>15</v>
      </c>
      <c r="E61" s="15" t="s">
        <v>183</v>
      </c>
      <c r="F61" s="15" t="s">
        <v>174</v>
      </c>
      <c r="G61" s="15" t="s">
        <v>180</v>
      </c>
      <c r="H61" s="15" t="s">
        <v>168</v>
      </c>
      <c r="I61" s="15"/>
      <c r="J61" s="15"/>
      <c r="K61" s="17">
        <f>MAX($D$2-1,IFERROR(INDEX($M$7:$M$76,MATCH(E61,$A$7:$A$76,0)),0),IFERROR(INDEX($M$7:$M$76,MATCH(F61,$A$7:$A$76,0)),0),IFERROR(INDEX($M$7:$M$76,MATCH(G61,$A$7:$A$76,0)),0),IFERROR(INDEX($M$7:$M$76,MATCH(H61,$A$7:$A$76,0)),0),IFERROR(INDEX($M$7:$M$76,MATCH(I61,$A$7:$A$76,0)),0),IFERROR(INDEX($M$7:$M$76,MATCH(J61,$A$7:$A$76,0)),0))</f>
        <v>46506</v>
      </c>
      <c r="L61" s="17">
        <f>IF(D61=0,IF(COUNTA(E61:J61)=0,$D$2,K61),WORKDAY.INTL(K61,1,$D$3,'Calendar'!$A$5:$A$17))</f>
        <v>46507</v>
      </c>
      <c r="M61" s="17">
        <f>IF(D61=0,L61,WORKDAY.INTL(L61,D61-1,$D$3,'Calendar'!$A$5:$A$17))</f>
        <v>46528</v>
      </c>
      <c r="N61" s="18" t="s">
        <v>48</v>
      </c>
      <c r="O61" s="15" t="s">
        <v>49</v>
      </c>
    </row>
    <row r="62" spans="1:86">
      <c r="A62" s="15" t="s">
        <v>189</v>
      </c>
      <c r="B62" s="16" t="s">
        <v>190</v>
      </c>
      <c r="C62" s="16" t="s">
        <v>191</v>
      </c>
      <c r="D62" s="15">
        <v>8</v>
      </c>
      <c r="E62" s="15" t="s">
        <v>186</v>
      </c>
      <c r="F62" s="15"/>
      <c r="G62" s="15"/>
      <c r="H62" s="15"/>
      <c r="I62" s="15"/>
      <c r="J62" s="15"/>
      <c r="K62" s="17">
        <f>MAX($D$2-1,IFERROR(INDEX($M$7:$M$76,MATCH(E62,$A$7:$A$76,0)),0),IFERROR(INDEX($M$7:$M$76,MATCH(F62,$A$7:$A$76,0)),0),IFERROR(INDEX($M$7:$M$76,MATCH(G62,$A$7:$A$76,0)),0),IFERROR(INDEX($M$7:$M$76,MATCH(H62,$A$7:$A$76,0)),0),IFERROR(INDEX($M$7:$M$76,MATCH(I62,$A$7:$A$76,0)),0),IFERROR(INDEX($M$7:$M$76,MATCH(J62,$A$7:$A$76,0)),0))</f>
        <v>46528</v>
      </c>
      <c r="L62" s="17">
        <f>IF(D62=0,IF(COUNTA(E62:J62)=0,$D$2,K62),WORKDAY.INTL(K62,1,$D$3,'Calendar'!$A$5:$A$17))</f>
        <v>46531</v>
      </c>
      <c r="M62" s="17">
        <f>IF(D62=0,L62,WORKDAY.INTL(L62,D62-1,$D$3,'Calendar'!$A$5:$A$17))</f>
        <v>46541</v>
      </c>
      <c r="N62" s="18"/>
      <c r="O62" s="15" t="s">
        <v>49</v>
      </c>
    </row>
    <row r="63" spans="1:86" ht="26" customHeight="1">
      <c r="A63" s="15" t="s">
        <v>192</v>
      </c>
      <c r="B63" s="16" t="s">
        <v>193</v>
      </c>
      <c r="C63" s="16" t="s">
        <v>194</v>
      </c>
      <c r="D63" s="15">
        <v>3</v>
      </c>
      <c r="E63" s="15" t="s">
        <v>186</v>
      </c>
      <c r="F63" s="15"/>
      <c r="G63" s="15"/>
      <c r="H63" s="15"/>
      <c r="I63" s="15"/>
      <c r="J63" s="15"/>
      <c r="K63" s="17">
        <f>MAX($D$2-1,IFERROR(INDEX($M$7:$M$76,MATCH(E63,$A$7:$A$76,0)),0),IFERROR(INDEX($M$7:$M$76,MATCH(F63,$A$7:$A$76,0)),0),IFERROR(INDEX($M$7:$M$76,MATCH(G63,$A$7:$A$76,0)),0),IFERROR(INDEX($M$7:$M$76,MATCH(H63,$A$7:$A$76,0)),0),IFERROR(INDEX($M$7:$M$76,MATCH(I63,$A$7:$A$76,0)),0),IFERROR(INDEX($M$7:$M$76,MATCH(J63,$A$7:$A$76,0)),0))</f>
        <v>46528</v>
      </c>
      <c r="L63" s="17">
        <f>IF(D63=0,IF(COUNTA(E63:J63)=0,$D$2,K63),WORKDAY.INTL(K63,1,$D$3,'Calendar'!$A$5:$A$17))</f>
        <v>46531</v>
      </c>
      <c r="M63" s="17">
        <f>IF(D63=0,L63,WORKDAY.INTL(L63,D63-1,$D$3,'Calendar'!$A$5:$A$17))</f>
        <v>46533</v>
      </c>
      <c r="N63" s="18"/>
      <c r="O63" s="15" t="s">
        <v>49</v>
      </c>
    </row>
    <row r="64" spans="1:86">
      <c r="A64" s="15" t="s">
        <v>195</v>
      </c>
      <c r="B64" s="16" t="s">
        <v>196</v>
      </c>
      <c r="C64" s="16" t="s">
        <v>197</v>
      </c>
      <c r="D64" s="15">
        <v>8</v>
      </c>
      <c r="E64" s="15" t="s">
        <v>186</v>
      </c>
      <c r="F64" s="15" t="s">
        <v>174</v>
      </c>
      <c r="G64" s="15" t="s">
        <v>57</v>
      </c>
      <c r="H64" s="15"/>
      <c r="I64" s="15"/>
      <c r="J64" s="15"/>
      <c r="K64" s="17">
        <f>MAX($D$2-1,IFERROR(INDEX($M$7:$M$76,MATCH(E64,$A$7:$A$76,0)),0),IFERROR(INDEX($M$7:$M$76,MATCH(F64,$A$7:$A$76,0)),0),IFERROR(INDEX($M$7:$M$76,MATCH(G64,$A$7:$A$76,0)),0),IFERROR(INDEX($M$7:$M$76,MATCH(H64,$A$7:$A$76,0)),0),IFERROR(INDEX($M$7:$M$76,MATCH(I64,$A$7:$A$76,0)),0),IFERROR(INDEX($M$7:$M$76,MATCH(J64,$A$7:$A$76,0)),0))</f>
        <v>46528</v>
      </c>
      <c r="L64" s="17">
        <f>IF(D64=0,IF(COUNTA(E64:J64)=0,$D$2,K64),WORKDAY.INTL(K64,1,$D$3,'Calendar'!$A$5:$A$17))</f>
        <v>46531</v>
      </c>
      <c r="M64" s="17">
        <f>IF(D64=0,L64,WORKDAY.INTL(L64,D64-1,$D$3,'Calendar'!$A$5:$A$17))</f>
        <v>46541</v>
      </c>
      <c r="N64" s="18" t="s">
        <v>48</v>
      </c>
      <c r="O64" s="15" t="s">
        <v>49</v>
      </c>
    </row>
    <row r="65" spans="1:86">
      <c r="A65" s="13" t="s">
        <v>198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</row>
    <row r="66" spans="1:86">
      <c r="A66" s="15" t="s">
        <v>199</v>
      </c>
      <c r="B66" s="16" t="s">
        <v>200</v>
      </c>
      <c r="C66" s="16" t="s">
        <v>52</v>
      </c>
      <c r="D66" s="15">
        <v>5</v>
      </c>
      <c r="E66" s="15" t="s">
        <v>50</v>
      </c>
      <c r="F66" s="15" t="s">
        <v>70</v>
      </c>
      <c r="G66" s="15"/>
      <c r="H66" s="15"/>
      <c r="I66" s="15"/>
      <c r="J66" s="15"/>
      <c r="K66" s="17">
        <f>MAX($D$2-1,IFERROR(INDEX($M$7:$M$76,MATCH(E66,$A$7:$A$76,0)),0),IFERROR(INDEX($M$7:$M$76,MATCH(F66,$A$7:$A$76,0)),0),IFERROR(INDEX($M$7:$M$76,MATCH(G66,$A$7:$A$76,0)),0),IFERROR(INDEX($M$7:$M$76,MATCH(H66,$A$7:$A$76,0)),0),IFERROR(INDEX($M$7:$M$76,MATCH(I66,$A$7:$A$76,0)),0),IFERROR(INDEX($M$7:$M$76,MATCH(J66,$A$7:$A$76,0)),0))</f>
        <v>46401</v>
      </c>
      <c r="L66" s="17">
        <f>IF(D66=0,IF(COUNTA(E66:J66)=0,$D$2,K66),WORKDAY.INTL(K66,1,$D$3,'Calendar'!$A$5:$A$17))</f>
        <v>46402</v>
      </c>
      <c r="M66" s="17">
        <f>IF(D66=0,L66,WORKDAY.INTL(L66,D66-1,$D$3,'Calendar'!$A$5:$A$17))</f>
        <v>46408</v>
      </c>
      <c r="N66" s="18"/>
      <c r="O66" s="15" t="s">
        <v>49</v>
      </c>
    </row>
    <row r="67" spans="1:86">
      <c r="A67" s="15" t="s">
        <v>201</v>
      </c>
      <c r="B67" s="16" t="s">
        <v>202</v>
      </c>
      <c r="C67" s="16" t="s">
        <v>203</v>
      </c>
      <c r="D67" s="15">
        <v>10</v>
      </c>
      <c r="E67" s="15" t="s">
        <v>160</v>
      </c>
      <c r="F67" s="15"/>
      <c r="G67" s="15"/>
      <c r="H67" s="15"/>
      <c r="I67" s="15"/>
      <c r="J67" s="15"/>
      <c r="K67" s="17">
        <f>MAX($D$2-1,IFERROR(INDEX($M$7:$M$76,MATCH(E67,$A$7:$A$76,0)),0),IFERROR(INDEX($M$7:$M$76,MATCH(F67,$A$7:$A$76,0)),0),IFERROR(INDEX($M$7:$M$76,MATCH(G67,$A$7:$A$76,0)),0),IFERROR(INDEX($M$7:$M$76,MATCH(H67,$A$7:$A$76,0)),0),IFERROR(INDEX($M$7:$M$76,MATCH(I67,$A$7:$A$76,0)),0),IFERROR(INDEX($M$7:$M$76,MATCH(J67,$A$7:$A$76,0)),0))</f>
        <v>46477</v>
      </c>
      <c r="L67" s="17">
        <f>IF(D67=0,IF(COUNTA(E67:J67)=0,$D$2,K67),WORKDAY.INTL(K67,1,$D$3,'Calendar'!$A$5:$A$17))</f>
        <v>46478</v>
      </c>
      <c r="M67" s="17">
        <f>IF(D67=0,L67,WORKDAY.INTL(L67,D67-1,$D$3,'Calendar'!$A$5:$A$17))</f>
        <v>46491</v>
      </c>
      <c r="N67" s="18"/>
      <c r="O67" s="15" t="s">
        <v>49</v>
      </c>
    </row>
    <row r="68" spans="1:86">
      <c r="A68" s="15" t="s">
        <v>204</v>
      </c>
      <c r="B68" s="16" t="s">
        <v>205</v>
      </c>
      <c r="C68" s="16" t="s">
        <v>206</v>
      </c>
      <c r="D68" s="15">
        <v>8</v>
      </c>
      <c r="E68" s="15" t="s">
        <v>201</v>
      </c>
      <c r="F68" s="15"/>
      <c r="G68" s="15"/>
      <c r="H68" s="15"/>
      <c r="I68" s="15"/>
      <c r="J68" s="15"/>
      <c r="K68" s="17">
        <f>MAX($D$2-1,IFERROR(INDEX($M$7:$M$76,MATCH(E68,$A$7:$A$76,0)),0),IFERROR(INDEX($M$7:$M$76,MATCH(F68,$A$7:$A$76,0)),0),IFERROR(INDEX($M$7:$M$76,MATCH(G68,$A$7:$A$76,0)),0),IFERROR(INDEX($M$7:$M$76,MATCH(H68,$A$7:$A$76,0)),0),IFERROR(INDEX($M$7:$M$76,MATCH(I68,$A$7:$A$76,0)),0),IFERROR(INDEX($M$7:$M$76,MATCH(J68,$A$7:$A$76,0)),0))</f>
        <v>46491</v>
      </c>
      <c r="L68" s="17">
        <f>IF(D68=0,IF(COUNTA(E68:J68)=0,$D$2,K68),WORKDAY.INTL(K68,1,$D$3,'Calendar'!$A$5:$A$17))</f>
        <v>46492</v>
      </c>
      <c r="M68" s="17">
        <f>IF(D68=0,L68,WORKDAY.INTL(L68,D68-1,$D$3,'Calendar'!$A$5:$A$17))</f>
        <v>46503</v>
      </c>
      <c r="N68" s="18"/>
      <c r="O68" s="15" t="s">
        <v>49</v>
      </c>
    </row>
    <row r="69" spans="1:86">
      <c r="A69" s="15" t="s">
        <v>207</v>
      </c>
      <c r="B69" s="16" t="s">
        <v>208</v>
      </c>
      <c r="C69" s="16" t="s">
        <v>209</v>
      </c>
      <c r="D69" s="15">
        <v>12</v>
      </c>
      <c r="E69" s="15" t="s">
        <v>204</v>
      </c>
      <c r="F69" s="15" t="s">
        <v>177</v>
      </c>
      <c r="G69" s="15"/>
      <c r="H69" s="15"/>
      <c r="I69" s="15"/>
      <c r="J69" s="15"/>
      <c r="K69" s="17">
        <f>MAX($D$2-1,IFERROR(INDEX($M$7:$M$76,MATCH(E69,$A$7:$A$76,0)),0),IFERROR(INDEX($M$7:$M$76,MATCH(F69,$A$7:$A$76,0)),0),IFERROR(INDEX($M$7:$M$76,MATCH(G69,$A$7:$A$76,0)),0),IFERROR(INDEX($M$7:$M$76,MATCH(H69,$A$7:$A$76,0)),0),IFERROR(INDEX($M$7:$M$76,MATCH(I69,$A$7:$A$76,0)),0),IFERROR(INDEX($M$7:$M$76,MATCH(J69,$A$7:$A$76,0)),0))</f>
        <v>46503</v>
      </c>
      <c r="L69" s="17">
        <f>IF(D69=0,IF(COUNTA(E69:J69)=0,$D$2,K69),WORKDAY.INTL(K69,1,$D$3,'Calendar'!$A$5:$A$17))</f>
        <v>46504</v>
      </c>
      <c r="M69" s="17">
        <f>IF(D69=0,L69,WORKDAY.INTL(L69,D69-1,$D$3,'Calendar'!$A$5:$A$17))</f>
        <v>46520</v>
      </c>
      <c r="N69" s="18"/>
      <c r="O69" s="15" t="s">
        <v>49</v>
      </c>
    </row>
    <row r="70" spans="1:86">
      <c r="A70" s="13" t="s">
        <v>210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</row>
    <row r="71" spans="1:86" ht="26" customHeight="1">
      <c r="A71" s="15" t="s">
        <v>211</v>
      </c>
      <c r="B71" s="16" t="s">
        <v>212</v>
      </c>
      <c r="C71" s="16" t="s">
        <v>135</v>
      </c>
      <c r="D71" s="15">
        <v>3</v>
      </c>
      <c r="E71" s="15" t="s">
        <v>189</v>
      </c>
      <c r="F71" s="15" t="s">
        <v>192</v>
      </c>
      <c r="G71" s="15" t="s">
        <v>183</v>
      </c>
      <c r="H71" s="15" t="s">
        <v>199</v>
      </c>
      <c r="I71" s="15"/>
      <c r="J71" s="15"/>
      <c r="K71" s="17">
        <f>MAX($D$2-1,IFERROR(INDEX($M$7:$M$76,MATCH(E71,$A$7:$A$76,0)),0),IFERROR(INDEX($M$7:$M$76,MATCH(F71,$A$7:$A$76,0)),0),IFERROR(INDEX($M$7:$M$76,MATCH(G71,$A$7:$A$76,0)),0),IFERROR(INDEX($M$7:$M$76,MATCH(H71,$A$7:$A$76,0)),0),IFERROR(INDEX($M$7:$M$76,MATCH(I71,$A$7:$A$76,0)),0),IFERROR(INDEX($M$7:$M$76,MATCH(J71,$A$7:$A$76,0)),0))</f>
        <v>46541</v>
      </c>
      <c r="L71" s="17">
        <f>IF(D71=0,IF(COUNTA(E71:J71)=0,$D$2,K71),WORKDAY.INTL(K71,1,$D$3,'Calendar'!$A$5:$A$17))</f>
        <v>46542</v>
      </c>
      <c r="M71" s="17">
        <f>IF(D71=0,L71,WORKDAY.INTL(L71,D71-1,$D$3,'Calendar'!$A$5:$A$17))</f>
        <v>46546</v>
      </c>
      <c r="N71" s="18"/>
      <c r="O71" s="15" t="s">
        <v>49</v>
      </c>
    </row>
    <row r="72" spans="1:86">
      <c r="A72" s="15" t="s">
        <v>213</v>
      </c>
      <c r="B72" s="16" t="s">
        <v>214</v>
      </c>
      <c r="C72" s="16" t="s">
        <v>47</v>
      </c>
      <c r="D72" s="15">
        <v>4</v>
      </c>
      <c r="E72" s="15" t="s">
        <v>195</v>
      </c>
      <c r="F72" s="15"/>
      <c r="G72" s="15"/>
      <c r="H72" s="15"/>
      <c r="I72" s="15"/>
      <c r="J72" s="15"/>
      <c r="K72" s="17">
        <f>MAX($D$2-1,IFERROR(INDEX($M$7:$M$76,MATCH(E72,$A$7:$A$76,0)),0),IFERROR(INDEX($M$7:$M$76,MATCH(F72,$A$7:$A$76,0)),0),IFERROR(INDEX($M$7:$M$76,MATCH(G72,$A$7:$A$76,0)),0),IFERROR(INDEX($M$7:$M$76,MATCH(H72,$A$7:$A$76,0)),0),IFERROR(INDEX($M$7:$M$76,MATCH(I72,$A$7:$A$76,0)),0),IFERROR(INDEX($M$7:$M$76,MATCH(J72,$A$7:$A$76,0)),0))</f>
        <v>46541</v>
      </c>
      <c r="L72" s="17">
        <f>IF(D72=0,IF(COUNTA(E72:J72)=0,$D$2,K72),WORKDAY.INTL(K72,1,$D$3,'Calendar'!$A$5:$A$17))</f>
        <v>46542</v>
      </c>
      <c r="M72" s="17">
        <f>IF(D72=0,L72,WORKDAY.INTL(L72,D72-1,$D$3,'Calendar'!$A$5:$A$17))</f>
        <v>46547</v>
      </c>
      <c r="N72" s="18" t="s">
        <v>48</v>
      </c>
      <c r="O72" s="15" t="s">
        <v>49</v>
      </c>
    </row>
    <row r="73" spans="1:86">
      <c r="A73" s="15" t="s">
        <v>215</v>
      </c>
      <c r="B73" s="16" t="s">
        <v>216</v>
      </c>
      <c r="C73" s="16" t="s">
        <v>47</v>
      </c>
      <c r="D73" s="15">
        <v>3</v>
      </c>
      <c r="E73" s="15" t="s">
        <v>186</v>
      </c>
      <c r="F73" s="15" t="s">
        <v>195</v>
      </c>
      <c r="G73" s="15" t="s">
        <v>207</v>
      </c>
      <c r="H73" s="15" t="s">
        <v>165</v>
      </c>
      <c r="I73" s="15" t="s">
        <v>162</v>
      </c>
      <c r="J73" s="15"/>
      <c r="K73" s="17">
        <f>MAX($D$2-1,IFERROR(INDEX($M$7:$M$76,MATCH(E73,$A$7:$A$76,0)),0),IFERROR(INDEX($M$7:$M$76,MATCH(F73,$A$7:$A$76,0)),0),IFERROR(INDEX($M$7:$M$76,MATCH(G73,$A$7:$A$76,0)),0),IFERROR(INDEX($M$7:$M$76,MATCH(H73,$A$7:$A$76,0)),0),IFERROR(INDEX($M$7:$M$76,MATCH(I73,$A$7:$A$76,0)),0),IFERROR(INDEX($M$7:$M$76,MATCH(J73,$A$7:$A$76,0)),0))</f>
        <v>46541</v>
      </c>
      <c r="L73" s="17">
        <f>IF(D73=0,IF(COUNTA(E73:J73)=0,$D$2,K73),WORKDAY.INTL(K73,1,$D$3,'Calendar'!$A$5:$A$17))</f>
        <v>46542</v>
      </c>
      <c r="M73" s="17">
        <f>IF(D73=0,L73,WORKDAY.INTL(L73,D73-1,$D$3,'Calendar'!$A$5:$A$17))</f>
        <v>46546</v>
      </c>
      <c r="N73" s="18"/>
      <c r="O73" s="15" t="s">
        <v>49</v>
      </c>
    </row>
    <row r="74" spans="1:86">
      <c r="A74" s="15" t="s">
        <v>217</v>
      </c>
      <c r="B74" s="16" t="s">
        <v>218</v>
      </c>
      <c r="C74" s="16" t="s">
        <v>47</v>
      </c>
      <c r="D74" s="15">
        <v>3</v>
      </c>
      <c r="E74" s="15" t="s">
        <v>211</v>
      </c>
      <c r="F74" s="15" t="s">
        <v>213</v>
      </c>
      <c r="G74" s="15" t="s">
        <v>215</v>
      </c>
      <c r="H74" s="15"/>
      <c r="I74" s="15"/>
      <c r="J74" s="15"/>
      <c r="K74" s="17">
        <f>MAX($D$2-1,IFERROR(INDEX($M$7:$M$76,MATCH(E74,$A$7:$A$76,0)),0),IFERROR(INDEX($M$7:$M$76,MATCH(F74,$A$7:$A$76,0)),0),IFERROR(INDEX($M$7:$M$76,MATCH(G74,$A$7:$A$76,0)),0),IFERROR(INDEX($M$7:$M$76,MATCH(H74,$A$7:$A$76,0)),0),IFERROR(INDEX($M$7:$M$76,MATCH(I74,$A$7:$A$76,0)),0),IFERROR(INDEX($M$7:$M$76,MATCH(J74,$A$7:$A$76,0)),0))</f>
        <v>46547</v>
      </c>
      <c r="L74" s="17">
        <f>IF(D74=0,IF(COUNTA(E74:J74)=0,$D$2,K74),WORKDAY.INTL(K74,1,$D$3,'Calendar'!$A$5:$A$17))</f>
        <v>46548</v>
      </c>
      <c r="M74" s="17">
        <f>IF(D74=0,L74,WORKDAY.INTL(L74,D74-1,$D$3,'Calendar'!$A$5:$A$17))</f>
        <v>46552</v>
      </c>
      <c r="N74" s="18" t="s">
        <v>48</v>
      </c>
      <c r="O74" s="15" t="s">
        <v>49</v>
      </c>
    </row>
    <row r="75" spans="1:86">
      <c r="A75" s="15" t="s">
        <v>219</v>
      </c>
      <c r="B75" s="16" t="s">
        <v>220</v>
      </c>
      <c r="C75" s="16" t="s">
        <v>47</v>
      </c>
      <c r="D75" s="15">
        <v>8</v>
      </c>
      <c r="E75" s="15" t="s">
        <v>217</v>
      </c>
      <c r="F75" s="15"/>
      <c r="G75" s="15"/>
      <c r="H75" s="15"/>
      <c r="I75" s="15"/>
      <c r="J75" s="15"/>
      <c r="K75" s="17">
        <f>MAX($D$2-1,IFERROR(INDEX($M$7:$M$76,MATCH(E75,$A$7:$A$76,0)),0),IFERROR(INDEX($M$7:$M$76,MATCH(F75,$A$7:$A$76,0)),0),IFERROR(INDEX($M$7:$M$76,MATCH(G75,$A$7:$A$76,0)),0),IFERROR(INDEX($M$7:$M$76,MATCH(H75,$A$7:$A$76,0)),0),IFERROR(INDEX($M$7:$M$76,MATCH(I75,$A$7:$A$76,0)),0),IFERROR(INDEX($M$7:$M$76,MATCH(J75,$A$7:$A$76,0)),0))</f>
        <v>46552</v>
      </c>
      <c r="L75" s="17">
        <f>IF(D75=0,IF(COUNTA(E75:J75)=0,$D$2,K75),WORKDAY.INTL(K75,1,$D$3,'Calendar'!$A$5:$A$17))</f>
        <v>46553</v>
      </c>
      <c r="M75" s="17">
        <f>IF(D75=0,L75,WORKDAY.INTL(L75,D75-1,$D$3,'Calendar'!$A$5:$A$17))</f>
        <v>46562</v>
      </c>
      <c r="N75" s="18" t="s">
        <v>48</v>
      </c>
      <c r="O75" s="15" t="s">
        <v>49</v>
      </c>
    </row>
    <row r="76" spans="1:86">
      <c r="A76" s="15" t="s">
        <v>221</v>
      </c>
      <c r="B76" s="16" t="s">
        <v>222</v>
      </c>
      <c r="C76" s="16" t="s">
        <v>47</v>
      </c>
      <c r="D76" s="15">
        <v>0</v>
      </c>
      <c r="E76" s="15" t="s">
        <v>219</v>
      </c>
      <c r="F76" s="15"/>
      <c r="G76" s="15"/>
      <c r="H76" s="15"/>
      <c r="I76" s="15"/>
      <c r="J76" s="15"/>
      <c r="K76" s="17">
        <f>MAX($D$2-1,IFERROR(INDEX($M$7:$M$76,MATCH(E76,$A$7:$A$76,0)),0),IFERROR(INDEX($M$7:$M$76,MATCH(F76,$A$7:$A$76,0)),0),IFERROR(INDEX($M$7:$M$76,MATCH(G76,$A$7:$A$76,0)),0),IFERROR(INDEX($M$7:$M$76,MATCH(H76,$A$7:$A$76,0)),0),IFERROR(INDEX($M$7:$M$76,MATCH(I76,$A$7:$A$76,0)),0),IFERROR(INDEX($M$7:$M$76,MATCH(J76,$A$7:$A$76,0)),0))</f>
        <v>46562</v>
      </c>
      <c r="L76" s="17">
        <f>IF(D76=0,IF(COUNTA(E76:J76)=0,$D$2,K76),WORKDAY.INTL(K76,1,$D$3,'Calendar'!$A$5:$A$17))</f>
        <v>46562</v>
      </c>
      <c r="M76" s="17">
        <f>IF(D76=0,L76,WORKDAY.INTL(L76,D76-1,$D$3,'Calendar'!$A$5:$A$17))</f>
        <v>46562</v>
      </c>
      <c r="N76" s="18" t="s">
        <v>48</v>
      </c>
      <c r="O76" s="15" t="s">
        <v>49</v>
      </c>
    </row>
    <row r="78" spans="1:86">
      <c r="B78" s="2" t="s">
        <v>223</v>
      </c>
      <c r="M78" s="19">
        <f>MAX($M$7:$M$76)</f>
        <v>46562</v>
      </c>
    </row>
    <row r="79" spans="1:86">
      <c r="B79" s="2" t="s">
        <v>224</v>
      </c>
      <c r="M79" s="20">
        <f>ROUND((M78-$D$2+1)/7,1)</f>
        <v>32.6</v>
      </c>
    </row>
    <row r="80" spans="1:86">
      <c r="B80" s="2" t="s">
        <v>225</v>
      </c>
      <c r="M80" s="20">
        <f>NETWORKDAYS.INTL($D$2,M78,$D$3,'Calendar'!$A$5:$A$17)</f>
        <v>152</v>
      </c>
    </row>
    <row r="81" spans="2:13">
      <c r="B81" s="21" t="s">
        <v>226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2:13">
      <c r="B82" s="21" t="s">
        <v>227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</sheetData>
  <mergeCells count="16">
    <mergeCell ref="A1:M1"/>
    <mergeCell ref="F2:M3"/>
    <mergeCell ref="A4:B4"/>
    <mergeCell ref="D4:H4"/>
    <mergeCell ref="A7:O7"/>
    <mergeCell ref="A13:O13"/>
    <mergeCell ref="A17:O17"/>
    <mergeCell ref="A28:O28"/>
    <mergeCell ref="A35:O35"/>
    <mergeCell ref="A41:O41"/>
    <mergeCell ref="A49:O49"/>
    <mergeCell ref="A54:O54"/>
    <mergeCell ref="A65:O65"/>
    <mergeCell ref="A70:O70"/>
    <mergeCell ref="B81:M81"/>
    <mergeCell ref="B82:M82"/>
  </mergeCells>
  <conditionalFormatting sqref="Q6:CH6">
    <cfRule type="cellIs" dxfId="0" priority="1" operator="greaterThan">
      <formula>0</formula>
    </cfRule>
  </conditionalFormatting>
  <conditionalFormatting sqref="Q7:CH76">
    <cfRule type="expression" dxfId="1" priority="2" stopIfTrue="1">
      <formula>AND($D7=0,$A7&lt;&gt;"",$L7&gt;=Q$5,$L7&lt;=Q$5+6)</formula>
    </cfRule>
    <cfRule type="expression" dxfId="2" priority="3" stopIfTrue="1">
      <formula>AND($O7="Others / Employer",$D7&gt;0,$L7&lt;=Q$5+6,$M7&gt;=Q$5)</formula>
    </cfRule>
    <cfRule type="expression" dxfId="3" priority="4" stopIfTrue="1">
      <formula>AND($N7="●",$D7&gt;0,$L7&lt;=Q$5+6,$M7&gt;=Q$5)</formula>
    </cfRule>
    <cfRule type="expression" dxfId="4" priority="5">
      <formula>AND($D7&gt;0,$L7&lt;=Q$5+6,$M7&gt;=Q$5)</formula>
    </cfRule>
    <cfRule type="expression" dxfId="5" priority="6">
      <formula>AND(Q$6&gt;0,$D7&lt;&gt;"")</formula>
    </cfRule>
  </conditionalFormatting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8102E"/>
  </sheetPr>
  <dimension ref="A1:D17"/>
  <sheetViews>
    <sheetView workbookViewId="0"/>
  </sheetViews>
  <sheetFormatPr defaultRowHeight="15"/>
  <cols>
    <col min="1" max="1" width="14.7109375" customWidth="1"/>
    <col min="2" max="2" width="48.7109375" customWidth="1"/>
    <col min="3" max="3" width="44.7109375" customWidth="1"/>
    <col min="4" max="4" width="8.7109375" customWidth="1"/>
  </cols>
  <sheetData>
    <row r="1" spans="1:4">
      <c r="A1" s="1" t="s">
        <v>0</v>
      </c>
    </row>
    <row r="2" spans="1:4">
      <c r="A2" s="21" t="s">
        <v>21</v>
      </c>
    </row>
    <row r="4" spans="1:4">
      <c r="A4" s="9" t="s">
        <v>1</v>
      </c>
      <c r="B4" s="9" t="s">
        <v>2</v>
      </c>
      <c r="C4" s="9" t="s">
        <v>3</v>
      </c>
      <c r="D4" s="9" t="s">
        <v>4</v>
      </c>
    </row>
    <row r="5" spans="1:4">
      <c r="A5" s="17">
        <v>46380</v>
      </c>
      <c r="B5" s="16" t="s">
        <v>5</v>
      </c>
      <c r="C5" s="16" t="s">
        <v>6</v>
      </c>
      <c r="D5" s="15" t="s">
        <v>7</v>
      </c>
    </row>
    <row r="6" spans="1:4">
      <c r="A6" s="17">
        <v>46381</v>
      </c>
      <c r="B6" s="16" t="s">
        <v>8</v>
      </c>
      <c r="C6" s="16" t="s">
        <v>9</v>
      </c>
      <c r="D6" s="15" t="s">
        <v>10</v>
      </c>
    </row>
    <row r="7" spans="1:4">
      <c r="A7" s="17">
        <v>46384</v>
      </c>
      <c r="B7" s="16" t="s">
        <v>11</v>
      </c>
      <c r="C7" s="16" t="s">
        <v>9</v>
      </c>
      <c r="D7" s="15" t="s">
        <v>12</v>
      </c>
    </row>
    <row r="8" spans="1:4">
      <c r="A8" s="17">
        <v>46385</v>
      </c>
      <c r="B8" s="16" t="s">
        <v>5</v>
      </c>
      <c r="C8" s="16" t="s">
        <v>6</v>
      </c>
      <c r="D8" s="15" t="s">
        <v>13</v>
      </c>
    </row>
    <row r="9" spans="1:4">
      <c r="A9" s="17">
        <v>46386</v>
      </c>
      <c r="B9" s="16" t="s">
        <v>5</v>
      </c>
      <c r="C9" s="16" t="s">
        <v>6</v>
      </c>
      <c r="D9" s="15" t="s">
        <v>14</v>
      </c>
    </row>
    <row r="10" spans="1:4">
      <c r="A10" s="17">
        <v>46387</v>
      </c>
      <c r="B10" s="16" t="s">
        <v>5</v>
      </c>
      <c r="C10" s="16" t="s">
        <v>6</v>
      </c>
      <c r="D10" s="15" t="s">
        <v>7</v>
      </c>
    </row>
    <row r="11" spans="1:4">
      <c r="A11" s="17">
        <v>46388</v>
      </c>
      <c r="B11" s="16" t="s">
        <v>15</v>
      </c>
      <c r="C11" s="16" t="s">
        <v>9</v>
      </c>
      <c r="D11" s="15" t="s">
        <v>10</v>
      </c>
    </row>
    <row r="12" spans="1:4">
      <c r="A12" s="17">
        <v>46391</v>
      </c>
      <c r="B12" s="16" t="s">
        <v>5</v>
      </c>
      <c r="C12" s="16" t="s">
        <v>6</v>
      </c>
      <c r="D12" s="15" t="s">
        <v>12</v>
      </c>
    </row>
    <row r="13" spans="1:4">
      <c r="A13" s="17">
        <v>46472</v>
      </c>
      <c r="B13" s="16" t="s">
        <v>16</v>
      </c>
      <c r="C13" s="16" t="s">
        <v>9</v>
      </c>
      <c r="D13" s="15" t="s">
        <v>10</v>
      </c>
    </row>
    <row r="14" spans="1:4">
      <c r="A14" s="17">
        <v>46475</v>
      </c>
      <c r="B14" s="16" t="s">
        <v>17</v>
      </c>
      <c r="C14" s="16" t="s">
        <v>9</v>
      </c>
      <c r="D14" s="15" t="s">
        <v>12</v>
      </c>
    </row>
    <row r="15" spans="1:4">
      <c r="A15" s="17">
        <v>46510</v>
      </c>
      <c r="B15" s="16" t="s">
        <v>18</v>
      </c>
      <c r="C15" s="16" t="s">
        <v>9</v>
      </c>
      <c r="D15" s="15" t="s">
        <v>12</v>
      </c>
    </row>
    <row r="16" spans="1:4">
      <c r="A16" s="17">
        <v>46538</v>
      </c>
      <c r="B16" s="16" t="s">
        <v>19</v>
      </c>
      <c r="C16" s="16" t="s">
        <v>9</v>
      </c>
      <c r="D16" s="15" t="s">
        <v>12</v>
      </c>
    </row>
    <row r="17" spans="1:4">
      <c r="A17" s="17">
        <v>46629</v>
      </c>
      <c r="B17" s="16" t="s">
        <v>20</v>
      </c>
      <c r="C17" s="16" t="s">
        <v>9</v>
      </c>
      <c r="D17" s="15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12169"/>
  </sheetPr>
  <dimension ref="A1:B12"/>
  <sheetViews>
    <sheetView workbookViewId="0"/>
  </sheetViews>
  <sheetFormatPr defaultRowHeight="15"/>
  <cols>
    <col min="1" max="1" width="5.7109375" customWidth="1"/>
    <col min="2" max="2" width="150.7109375" customWidth="1"/>
  </cols>
  <sheetData>
    <row r="1" spans="1:2">
      <c r="A1" s="1" t="s">
        <v>228</v>
      </c>
    </row>
    <row r="3" spans="1:2" ht="18" customHeight="1">
      <c r="A3" s="22">
        <v>1</v>
      </c>
      <c r="B3" s="23" t="s">
        <v>229</v>
      </c>
    </row>
    <row r="4" spans="1:2" ht="30" customHeight="1">
      <c r="A4" s="22">
        <v>2</v>
      </c>
      <c r="B4" s="23" t="s">
        <v>230</v>
      </c>
    </row>
    <row r="5" spans="1:2" ht="18" customHeight="1">
      <c r="A5" s="22">
        <v>3</v>
      </c>
      <c r="B5" s="23" t="s">
        <v>231</v>
      </c>
    </row>
    <row r="6" spans="1:2" ht="30" customHeight="1">
      <c r="A6" s="22">
        <v>4</v>
      </c>
      <c r="B6" s="23" t="s">
        <v>232</v>
      </c>
    </row>
    <row r="7" spans="1:2" ht="30" customHeight="1">
      <c r="A7" s="22">
        <v>5</v>
      </c>
      <c r="B7" s="23" t="s">
        <v>233</v>
      </c>
    </row>
    <row r="8" spans="1:2" ht="18" customHeight="1">
      <c r="A8" s="22">
        <v>6</v>
      </c>
      <c r="B8" s="23" t="s">
        <v>234</v>
      </c>
    </row>
    <row r="9" spans="1:2" ht="18" customHeight="1">
      <c r="A9" s="22">
        <v>7</v>
      </c>
      <c r="B9" s="23" t="s">
        <v>235</v>
      </c>
    </row>
    <row r="10" spans="1:2" ht="18" customHeight="1">
      <c r="A10" s="22">
        <v>8</v>
      </c>
      <c r="B10" s="23" t="s">
        <v>236</v>
      </c>
    </row>
    <row r="11" spans="1:2" ht="30" customHeight="1">
      <c r="A11" s="22">
        <v>9</v>
      </c>
      <c r="B11" s="23" t="s">
        <v>237</v>
      </c>
    </row>
    <row r="12" spans="1:2" ht="30" customHeight="1">
      <c r="A12" s="22">
        <v>10</v>
      </c>
      <c r="B12" s="23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Programme</vt:lpstr>
      <vt:lpstr>Calendar</vt:lpstr>
      <vt:lpstr>Local practice</vt:lpstr>
      <vt:lpstr>Programme!Print_Titles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2026-10-16T09:31:09Z</dcterms:created>
  <dcterms:modified xsi:type="dcterms:W3CDTF">2026-10-16T09:31:09Z</dcterms:modified>
</cp:coreProperties>
</file>