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https://d.docs.live.net/9054F568AAE99C9B/Documents/"/>
    </mc:Choice>
  </mc:AlternateContent>
  <xr:revisionPtr revIDLastSave="0" documentId="8_{F573E19E-A1C9-0C4E-B050-425104DCD292}" xr6:coauthVersionLast="47" xr6:coauthVersionMax="47" xr10:uidLastSave="{00000000-0000-0000-0000-000000000000}"/>
  <bookViews>
    <workbookView xWindow="0" yWindow="660" windowWidth="29400" windowHeight="17180" xr2:uid="{0E1AD04B-D21A-BD44-968E-707F8DCE084C}"/>
  </bookViews>
  <sheets>
    <sheet name="כתב כמויות שלונסקי 53" sheetId="1" r:id="rId1"/>
  </sheets>
  <externalReferences>
    <externalReference r:id="rId2"/>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4" i="1" l="1"/>
  <c r="G202" i="1"/>
  <c r="G199" i="1"/>
  <c r="G198" i="1"/>
  <c r="G197" i="1"/>
  <c r="G196" i="1"/>
  <c r="G195" i="1"/>
  <c r="G191" i="1"/>
  <c r="G190" i="1"/>
  <c r="G189" i="1"/>
  <c r="G188" i="1"/>
  <c r="G184" i="1"/>
  <c r="G183" i="1"/>
  <c r="G182" i="1"/>
  <c r="G181" i="1"/>
  <c r="G180" i="1"/>
  <c r="G179" i="1"/>
  <c r="G178" i="1"/>
  <c r="G177" i="1"/>
  <c r="G173" i="1"/>
  <c r="G172" i="1"/>
  <c r="G171" i="1"/>
  <c r="G167" i="1"/>
  <c r="G166" i="1"/>
  <c r="G165" i="1"/>
  <c r="G161" i="1"/>
  <c r="G160" i="1"/>
  <c r="G159" i="1"/>
  <c r="G158" i="1"/>
  <c r="G157" i="1"/>
  <c r="G156" i="1"/>
  <c r="G152" i="1"/>
  <c r="G151" i="1"/>
  <c r="G150" i="1"/>
  <c r="G149" i="1"/>
  <c r="E145" i="1"/>
  <c r="G145" i="1" s="1"/>
  <c r="G144" i="1"/>
  <c r="G143" i="1"/>
  <c r="G142" i="1"/>
  <c r="E138" i="1"/>
  <c r="G138" i="1" s="1"/>
  <c r="G137" i="1"/>
  <c r="G136" i="1"/>
  <c r="G135" i="1"/>
  <c r="G131" i="1"/>
  <c r="G130" i="1"/>
  <c r="G129" i="1"/>
  <c r="G132" i="1" s="1"/>
  <c r="G125" i="1"/>
  <c r="G124" i="1"/>
  <c r="G123" i="1"/>
  <c r="G122" i="1"/>
  <c r="G121" i="1"/>
  <c r="G120" i="1"/>
  <c r="G119" i="1"/>
  <c r="G118" i="1"/>
  <c r="G117" i="1"/>
  <c r="G116" i="1"/>
  <c r="G115" i="1"/>
  <c r="G114" i="1"/>
  <c r="G113" i="1"/>
  <c r="G112" i="1"/>
  <c r="G111" i="1"/>
  <c r="G110" i="1"/>
  <c r="G109" i="1"/>
  <c r="G108" i="1"/>
  <c r="G107" i="1"/>
  <c r="G106" i="1"/>
  <c r="G102" i="1"/>
  <c r="G101" i="1"/>
  <c r="G100" i="1"/>
  <c r="G99" i="1"/>
  <c r="G98" i="1"/>
  <c r="G97" i="1"/>
  <c r="G96" i="1"/>
  <c r="G95" i="1"/>
  <c r="G94" i="1"/>
  <c r="G93" i="1"/>
  <c r="G92" i="1"/>
  <c r="G91" i="1"/>
  <c r="G90" i="1"/>
  <c r="G89" i="1"/>
  <c r="G88" i="1"/>
  <c r="G84" i="1"/>
  <c r="G83" i="1"/>
  <c r="G82" i="1"/>
  <c r="G81" i="1"/>
  <c r="G80" i="1"/>
  <c r="G79" i="1"/>
  <c r="E78" i="1"/>
  <c r="G78" i="1" s="1"/>
  <c r="E77" i="1"/>
  <c r="G77" i="1" s="1"/>
  <c r="E76" i="1"/>
  <c r="G76" i="1" s="1"/>
  <c r="G75" i="1"/>
  <c r="E74" i="1"/>
  <c r="G74" i="1" s="1"/>
  <c r="G73" i="1"/>
  <c r="G72" i="1"/>
  <c r="G71" i="1"/>
  <c r="E70" i="1"/>
  <c r="G70" i="1" s="1"/>
  <c r="E69" i="1"/>
  <c r="G69" i="1" s="1"/>
  <c r="E68" i="1"/>
  <c r="G68" i="1" s="1"/>
  <c r="E67" i="1"/>
  <c r="G67" i="1" s="1"/>
  <c r="E66" i="1"/>
  <c r="G66" i="1" s="1"/>
  <c r="G65" i="1"/>
  <c r="E64" i="1"/>
  <c r="G64" i="1" s="1"/>
  <c r="G63" i="1"/>
  <c r="G62" i="1"/>
  <c r="G61" i="1"/>
  <c r="G60" i="1"/>
  <c r="G59" i="1"/>
  <c r="G58" i="1"/>
  <c r="G57" i="1"/>
  <c r="E56" i="1"/>
  <c r="G56" i="1" s="1"/>
  <c r="E55" i="1"/>
  <c r="G55" i="1" s="1"/>
  <c r="E54" i="1"/>
  <c r="G54" i="1" s="1"/>
  <c r="E53" i="1"/>
  <c r="G53" i="1" s="1"/>
  <c r="E52" i="1"/>
  <c r="G52" i="1" s="1"/>
  <c r="G48" i="1"/>
  <c r="G47" i="1"/>
  <c r="G46" i="1"/>
  <c r="G42" i="1"/>
  <c r="G41" i="1"/>
  <c r="G40" i="1"/>
  <c r="G39" i="1"/>
  <c r="G35" i="1"/>
  <c r="G33" i="1"/>
  <c r="G32" i="1"/>
  <c r="G31" i="1"/>
  <c r="G30" i="1"/>
  <c r="G29" i="1"/>
  <c r="G28" i="1"/>
  <c r="G27" i="1"/>
  <c r="G26" i="1"/>
  <c r="G25" i="1"/>
  <c r="G24" i="1"/>
  <c r="G23" i="1"/>
  <c r="G22" i="1"/>
  <c r="G21" i="1"/>
  <c r="G20" i="1"/>
  <c r="G19" i="1"/>
  <c r="G18" i="1"/>
  <c r="G17" i="1"/>
  <c r="G16" i="1"/>
  <c r="G12" i="1"/>
  <c r="G11" i="1"/>
  <c r="G10" i="1"/>
  <c r="G9" i="1"/>
  <c r="G8" i="1"/>
  <c r="G7" i="1"/>
  <c r="G6" i="1"/>
  <c r="G168" i="1" l="1"/>
  <c r="G103" i="1"/>
  <c r="G185" i="1"/>
  <c r="G49" i="1"/>
  <c r="G200" i="1"/>
  <c r="G85" i="1"/>
  <c r="G174" i="1"/>
  <c r="G36" i="1"/>
  <c r="G13" i="1"/>
  <c r="G153" i="1"/>
  <c r="G192" i="1"/>
  <c r="G162" i="1"/>
  <c r="G126" i="1"/>
  <c r="G43" i="1"/>
  <c r="G203" i="1"/>
  <c r="G204" i="1"/>
  <c r="G146" i="1"/>
  <c r="G139" i="1"/>
</calcChain>
</file>

<file path=xl/sharedStrings.xml><?xml version="1.0" encoding="utf-8"?>
<sst xmlns="http://schemas.openxmlformats.org/spreadsheetml/2006/main" count="646" uniqueCount="497">
  <si>
    <t>מס׳ סעיף</t>
  </si>
  <si>
    <t>שם הסעיף</t>
  </si>
  <si>
    <t>תיאור סעיף</t>
  </si>
  <si>
    <t>יחידה</t>
  </si>
  <si>
    <t>כמות</t>
  </si>
  <si>
    <t>מחיר יחידה (₪)</t>
  </si>
  <si>
    <t>סה״כ (₪)</t>
  </si>
  <si>
    <t>פרק 01 — הכנות והתארגנות לביצוע</t>
  </si>
  <si>
    <t>01.01</t>
  </si>
  <si>
    <t>התארגנות אתר</t>
  </si>
  <si>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</si>
  <si>
    <t>קומפ׳</t>
  </si>
  <si>
    <t>01.02</t>
  </si>
  <si>
    <t>גידור, שילוט ואמצעי בטיחות באתר</t>
  </si>
  <si>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</si>
  <si>
    <t>01.03</t>
  </si>
  <si>
    <t>חיבור מים זמני</t>
  </si>
  <si>
    <t>הסדרת חיבור מים זמני לצורכי ביצוע העבודות, לרבות חיבור למקור המים המאושר באתר ובדיקת תקינות החיבור.</t>
  </si>
  <si>
    <t>01.04</t>
  </si>
  <si>
    <t>חיבור חשמל זמני</t>
  </si>
  <si>
    <t>הסדרת חיבור חשמל זמני לצורכי ביצוע העבודות, באמצעות חשמלאי בעל רישיון מתאים, לרבות אמצעי ההגנה הנדרשים ובדיקת תקינות החיבור.</t>
  </si>
  <si>
    <t>01.05</t>
  </si>
  <si>
    <t>הגנה על אלמנטים קיימים</t>
  </si>
  <si>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</si>
  <si>
    <t>01.06</t>
  </si>
  <si>
    <t>מדידות, אימות וסימון בלייזר</t>
  </si>
  <si>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</si>
  <si>
    <t>01.07</t>
  </si>
  <si>
    <t>מכולת פסולת והסדרת אזור ריכוז פסולת</t>
  </si>
  <si>
    <t>הצבת מכולת פסולת והסדרת מקום לריכוז פסולת הבנייה באתר, בהתאם לתנאי הגישה ולשלבי הביצוע. פינוי הפסולת לאתר מורשה מפורט בפרק ההריסות.</t>
  </si>
  <si>
    <t>01.08</t>
  </si>
  <si>
    <t>ניקיון שוטף בתקופת הביצוע</t>
  </si>
  <si>
    <t>ניקיון שוטף של שטחי העבודה והמעברים לאורך תקופת הביצוע, איסוף שאריות חומרים וריכוז הפסולת באזור המיועד לכך, לשמירת אתר מסודר ובטוח.</t>
  </si>
  <si>
    <t>סה״כ פרק 01 — הכנות והתארגנות לביצוע</t>
  </si>
  <si>
    <t>פרק 02 — הריסות, פירוקים ופינוי</t>
  </si>
  <si>
    <t>02.01</t>
  </si>
  <si>
    <t>פירוק קירות ומחיצות במרתף</t>
  </si>
  <si>
    <t>הריסה מבוקרת של כל הקירות והמחיצות המסומנים להריסה בקומת המרתף, בהתאם לתוכנית ההריסה: 10 מ״ר קירות בלוקים ו־52 מ״ר מחיצות גבס. אלמנטים נושאים – רק באישור קונסטרוקטור בכתב.</t>
  </si>
  <si>
    <t>מ״ר</t>
  </si>
  <si>
    <t>02.02</t>
  </si>
  <si>
    <t>פירוק קירות ומחיצות בקומת הקרקע</t>
  </si>
  <si>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</si>
  <si>
    <t>02.03</t>
  </si>
  <si>
    <t>פירוק קירות ומחיצות בקומה א׳</t>
  </si>
  <si>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</si>
  <si>
    <t>02.04</t>
  </si>
  <si>
    <t>פירוק תקרות גבס קיימות</t>
  </si>
  <si>
    <t>פירוק תקרות גבס קיימות המיועדות להסרה, לרבות לוחות, פרופילים ומתלים, בתיאום עם בעלי המקצוע ולאחר ניתוק המערכות הרלוונטיות.</t>
  </si>
  <si>
    <t>להשלמה</t>
  </si>
  <si>
    <t>02.05</t>
  </si>
  <si>
    <t>פירוק ריצופים קיימים</t>
  </si>
  <si>
    <t>פירוק ריצופים קיימים באזורים שיאושרו לביצוע, בהתאם להחלטה משותפת בשטח ובהתחשב במצב הריצוף הקיים. היקף הפירוק ייקבע לפני תחילת העבודה.</t>
  </si>
  <si>
    <t>02.06</t>
  </si>
  <si>
    <t>פירוק ארונות מטבח קיימים</t>
  </si>
  <si>
    <t>פירוק ארונות מטבח קיימים, לרבות יחידות הארונות ורכיבי החיבור שלהן למבנה, בתיאום עם המזמין לגבי פריטים המיועדים לשימור.</t>
  </si>
  <si>
    <t>02.07</t>
  </si>
  <si>
    <t>פירוק ארונות ונגרות קיימת אחרת</t>
  </si>
  <si>
    <t>פירוק ארונות הלבשה ופריטי נגרות קיימים אחרים המיועדים להסרה, לרבות רכיבי החיבור למבנה, בהתאם להחלטת המזמין בדבר שימור או פינוי.</t>
  </si>
  <si>
    <t>יח׳</t>
  </si>
  <si>
    <t>02.08</t>
  </si>
  <si>
    <t>פירוק חלונות אלומיניום ותריסים קיימים – קומפלט</t>
  </si>
  <si>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</si>
  <si>
    <t>02.09</t>
  </si>
  <si>
    <t>פירוק דלתות פנים וכניסה ומשקופים – קומפלט</t>
  </si>
  <si>
    <t>פירוק כל הדלתות המסומנות בתוכניות ההריסה, לרבות כנפיים, משקופים ופרזול, ובתיאום הסדרת הגישה למבנה במהלך הביצוע.</t>
  </si>
  <si>
    <t>02.10</t>
  </si>
  <si>
    <t>פירוק חדרי רחצה, שירותים וכלים סניטריים – קומפלט</t>
  </si>
  <si>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</si>
  <si>
    <t>02.11</t>
  </si>
  <si>
    <t>פירוק נקודות, אביזרי חשמל וגופי תאורה קיימים</t>
  </si>
  <si>
    <t>ניתוק ופירוק נקודות, שקעים, מפסקים וגופי תאורה קיימים המיועדים לביטול או להחלפה, באמצעות חשמלאי בעל רישיון מתאים, בתיאום עם המזמין לגבי פריטים לשימור.</t>
  </si>
  <si>
    <t>02.12</t>
  </si>
  <si>
    <t>פירוק צנרת אינסטלציה גלויה קיימת</t>
  </si>
  <si>
    <t>ניתוק ופירוק צנרת אינסטלציה גלויה המיועדת להסרה, לרבות אביזרי החיבור והקיבוע הרלוונטיים, לאחר זיהוי הקווים הפעילים וסגירת החיבורים הנדרשים.</t>
  </si>
  <si>
    <t>02.13</t>
  </si>
  <si>
    <t>פירוק יחידות מיזוג קיימות (פנים וחוץ)</t>
  </si>
  <si>
    <t>ניתוק ופירוק יחידות מיזוג פנים וחוץ קיימות, בתיאום מוקדם עם המזמין לגבי יחידות תקינות לשימוש חוזר (חלקן מיועדות ליחידת המרתף), לרבות שמירתן לפי ההחלטה.</t>
  </si>
  <si>
    <t>02.14</t>
  </si>
  <si>
    <t>פירוק מעקה גרם המדרגות הפנימי</t>
  </si>
  <si>
    <t>פירוק זהיר ומבוקר של המעקה הקיים בגרם המדרגות הפנימי, בהתאם להנחיות הקונסטרוקטור ולאישורו בכתב. חיזוק גרם המדרגות מתואר בנפרד בפרק הבנייה.</t>
  </si>
  <si>
    <t>02.15</t>
  </si>
  <si>
    <t>ניסור ופירוק מסגרות בטון דקורטיביות סביב חלונות</t>
  </si>
  <si>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</si>
  <si>
    <t>02.16</t>
  </si>
  <si>
    <t>מיון ופינוי פסולת לאתר מורשה</t>
  </si>
  <si>
    <t>מיון פסולת ההריסה והפירוק לפי סוגי החומרים, העמסה והובלה לאתר מורשה, לרבות מסירת אישורי הפינוי הנדרשים.</t>
  </si>
  <si>
    <t>02.17</t>
  </si>
  <si>
    <t>ניקיון יסודי לאחר ההריסות</t>
  </si>
  <si>
    <t>ניקיון יסודי של שטחי ההריסה והפירוק לאחר השלמתם, הסרת שאריות וריכוז פסולת שנותרה, והכנת השטחים לתחילת עבודות הבנייה.</t>
  </si>
  <si>
    <t>02.18</t>
  </si>
  <si>
    <t>פירוק פנלים קיימים בכל הבית</t>
  </si>
  <si>
    <t>פירוק פנלים קיימים בכל שטחי הבית, כולל ניקוי הקיר ושאריות הדבק, לפי הערות תוכניות ההריסה.</t>
  </si>
  <si>
    <t>02.19</t>
  </si>
  <si>
    <t>פירוק רצפת גרנוליט בחניה, בכניסה ובשבילים</t>
  </si>
  <si>
    <t>פירוק רצפת גרנוליט ומצעה באזור החניה, הכניסה לבית והשבילים, כמפורט בתכולת פרק 2 בחוברת, לרבות ריכוז הפסולת.</t>
  </si>
  <si>
    <t>סה״כ פרק 02 — הריסות, פירוקים ופינוי</t>
  </si>
  <si>
    <t>פרק 03 — בנייה ותוספות מבניות</t>
  </si>
  <si>
    <t>03.01</t>
  </si>
  <si>
    <t>הגדלת מרפסת הסלון ותוספת פרגולה</t>
  </si>
  <si>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</si>
  <si>
    <t>03.02</t>
  </si>
  <si>
    <t>תוספת חדר בקומת הגלריה</t>
  </si>
  <si>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</si>
  <si>
    <t>03.03</t>
  </si>
  <si>
    <t>כניסה חדשה וגרם מדרגות חדש</t>
  </si>
  <si>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</si>
  <si>
    <t>03.04</t>
  </si>
  <si>
    <t>חיזוק גרם המדרגות הפנימי הקיים</t>
  </si>
  <si>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</si>
  <si>
    <t>סה״כ פרק 03 — בנייה ותוספות מבניות</t>
  </si>
  <si>
    <t>פרק 04 — חלוקה חדשה בקירות בלוקים</t>
  </si>
  <si>
    <t>04.01</t>
  </si>
  <si>
    <t>קירות בלוקים במרתף</t>
  </si>
  <si>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</si>
  <si>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04.02</t>
  </si>
  <si>
    <t>קירות בלוקים בקומת הקרקע</t>
  </si>
  <si>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</si>
  <si>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04.03</t>
  </si>
  <si>
    <t>קירות בלוקים בקומה א׳ ובגלריה</t>
  </si>
  <si>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</si>
  <si>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סה״כ פרק 04 — חלוקה חדשה בקירות בלוקים</t>
  </si>
  <si>
    <t>פרק 05 — אינסטלציה, התקנת כלים סניטריים וברזים</t>
  </si>
  <si>
    <t>05.01</t>
  </si>
  <si>
    <t>התקנת אסלה תלויה</t>
  </si>
  <si>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</si>
  <si>
    <t>05.02</t>
  </si>
  <si>
    <t>התקנת מכל הדחה סמוי</t>
  </si>
  <si>
    <t>התקנת מכל הדחה סמוי ומערכת הנשיאה הנלווית לפי המוצר שנבחר, לרבות עיגון, חיבור למים ולאסלה, התאמת מיקום פתח השירות ובדיקת אטימות ותפקוד לפני סגירת החיפוי.</t>
  </si>
  <si>
    <t>05.03</t>
  </si>
  <si>
    <t>התקנת לחצן הדחה</t>
  </si>
  <si>
    <t>התקנת לחצן הדחה התואם למכל הסמוי, התאמתו למישור הגמר ובדיקת פעולת מנגנון ההדחה.</t>
  </si>
  <si>
    <t>05.04</t>
  </si>
  <si>
    <t>התקנת מושב אסלה הידראולי</t>
  </si>
  <si>
    <t>התקנת מושב אסלה בעל מנגנון סגירה הידראולי, התואם לדגם האסלה, לרבות קיבוע, כיוון ובדיקת פעולת המנגנון.</t>
  </si>
  <si>
    <t>05.05</t>
  </si>
  <si>
    <t>התקנת כיור עומד</t>
  </si>
  <si>
    <t>התקנת כיור עומד לפי הדגם שנבחר, לרבות העמדה וקיבוע בהתאם להוראות היצרן, חיבור לניקוז ואטימת המפגשים הנדרשים.</t>
  </si>
  <si>
    <t>05.06</t>
  </si>
  <si>
    <t>התקנת ברז קיר</t>
  </si>
  <si>
    <t>התקנת ברז קיר במיקום ובגובה המתוכננים, לרבות חיבור לנקודות המים, התאמה לעומק הגמר, אטימת החיבורים ובדיקת פעולה.</t>
  </si>
  <si>
    <t>05.07</t>
  </si>
  <si>
    <t>התקנת ראש גשם</t>
  </si>
  <si>
    <t>התקנת ראש גשם ורכיב החיבור התואם למוצר שנבחר, לרבות חיבור לנקודת המים, קיבוע ובדיקת זרימה ואטימות.</t>
  </si>
  <si>
    <t>05.08</t>
  </si>
  <si>
    <t>התקנת אינטרפוץ תלת־דרכי</t>
  </si>
  <si>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</si>
  <si>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05.09</t>
  </si>
  <si>
    <t>התקנת אינטרפוץ ארבע־דרכי</t>
  </si>
  <si>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</si>
  <si>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05.10</t>
  </si>
  <si>
    <t>התקנת מאחז מזלף</t>
  </si>
  <si>
    <t>התקנת מאחז מזלף במיקום המתוכנן, לרבות קיבוע לתשתית ואטימת נקודות העיגון באזור הרטוב.</t>
  </si>
  <si>
    <t>05.11</t>
  </si>
  <si>
    <t>התקנת אביזר ניקוז המסומן 10/10</t>
  </si>
  <si>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</si>
  <si>
    <t>05.12</t>
  </si>
  <si>
    <t>התקנת תעלת גלישה המסומנת 110</t>
  </si>
  <si>
    <t>התקנת תעלת הגלישה המסומנת במקור „110”, לרבות העמדה במיקום המתוכנן, חיבור לניקוז, התאמה למפלסי הגמר ושילוב עם מערכת האיטום, בהתאם לפרט ולמוצר שנבחר.</t>
  </si>
  <si>
    <t>05.13</t>
  </si>
  <si>
    <t>התקנת אמבטיה עצמאית</t>
  </si>
  <si>
    <t>התקנת אמבטיה עצמאית מסוג Free Standing, לרבות העמדה במיקום המתוכנן, התאמת מפלס, חיבור לניקוז ובדיקת אטימות. ברז המילוי מתואר בנפרד.</t>
  </si>
  <si>
    <t>05.15</t>
  </si>
  <si>
    <t>התקנת ברז מילוי לאמבטיה</t>
  </si>
  <si>
    <t>התקנת ברז מילוי אמבטיה לפי הדגם ושיטת ההתקנה שנבחרו, לרבות חיבור למים, קיבוע, אטימת החיבורים ובדיקת פעולה.</t>
  </si>
  <si>
    <t>05.16</t>
  </si>
  <si>
    <t>התקנת כיור מטבח</t>
  </si>
  <si>
    <t>התקנת כיור מטבח לפי הדגם ושיטת ההתקנה שנבחרו, בתיאום עם ספק משטח העבודה, לרבות קיבוע, אטימת המפגש וחיבור לניקוז. ברז המטבח מתואר בנפרד.</t>
  </si>
  <si>
    <t>05.17</t>
  </si>
  <si>
    <t>התקנת ברז מטבח פרח נשלף</t>
  </si>
  <si>
    <t>התקנת ברז מטבח מסוג פרח בעל פייה נשלפת, לרבות קיבוע, חיבור למים, התקנת רכיבי מנגנון השליפה ובדיקת תפקוד ואטימות.</t>
  </si>
  <si>
    <t>05.18</t>
  </si>
  <si>
    <t>התקנת כיור במטבח חוץ</t>
  </si>
  <si>
    <t>התקנת כיור במטבח החוץ, לפי הדגם שנבחר ובתיאום עם משטח העבודה, לרבות קיבוע, איטום וחיבור לניקוז.</t>
  </si>
  <si>
    <t>05.19</t>
  </si>
  <si>
    <t>התקנת ברז פרח נשלף במטבח חוץ</t>
  </si>
  <si>
    <t>התקנת ברז פרח נשלף במטבח החוץ, לרבות קיבוע, חיבור למים ובדיקת תפקוד ואטימות, בהתאם למוצר שנבחר.</t>
  </si>
  <si>
    <t>05.20</t>
  </si>
  <si>
    <t>התקנת כיור מונח או שוקת בשירותי אורחים</t>
  </si>
  <si>
    <t>התקנת כיור מונח או שוקת בשירותי האורחים, בהתאם לבחירה המאושרת, לרבות העמדה, קיבוע, אטימת המפגש עם המשטח וחיבור לניקוז.</t>
  </si>
  <si>
    <t>05.21</t>
  </si>
  <si>
    <t>התקנת ברז ניל</t>
  </si>
  <si>
    <t>התקנת ברז ניל בנקודת המים המיועדת, לרבות אטימת החיבור ובדיקת תקינות ויכולת סגירה.</t>
  </si>
  <si>
    <t>05.22</t>
  </si>
  <si>
    <t>התקנת ברז פרח וארון רחצה – מכלול</t>
  </si>
  <si>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</si>
  <si>
    <t>05.23</t>
  </si>
  <si>
    <t>התקנת תעלת גלישה חיצונית המסומנת 60</t>
  </si>
  <si>
    <t>התקנת תעלת הגלישה החיצונית המסומנת במקור „60”, לרבות חיבור לניקוז, התאמה למפלסי הגמר ושילוב אטום עם התשתית, בהתאם לתוכנית ולמוצר המאושר.</t>
  </si>
  <si>
    <t>05.24</t>
  </si>
  <si>
    <t>התקנת כיור בר</t>
  </si>
  <si>
    <t>התקנת כיור בר במיקום המתוכנן, לרבות קיבוע, איטום המפגש עם המשטח וחיבור לניקוז, בתיאום עם ספק המשטח או הנגרות.</t>
  </si>
  <si>
    <t>05.25</t>
  </si>
  <si>
    <t>נקודת מים חמים וקרים לברז או סוללה</t>
  </si>
  <si>
    <t>נקודת מים חמים וקרים ממערכת אחידה, מהרכזת הקומתית ועד היציאה בקיר, כולל מעברים, שרוולים, ברז ניל ובדיקת לחץ.</t>
  </si>
  <si>
    <t>נק׳</t>
  </si>
  <si>
    <t>05.26</t>
  </si>
  <si>
    <t>נקודת מים קרים למכל הדחה</t>
  </si>
  <si>
    <t>נקודת מים קרים   למכל הדחה סמוי, כולל ברז ניל ובדיקת לחץ.</t>
  </si>
  <si>
    <t>05.27</t>
  </si>
  <si>
    <t>נקודת ביוב לאסלה</t>
  </si>
  <si>
    <t>נקודת ביוב 110 מ״מ לאסלה תלויה, כולל חיבור לקו הביוב בשיפוע תקני ובדיקת אטימות.</t>
  </si>
  <si>
    <t>05.28</t>
  </si>
  <si>
    <t>נקודת ניקוז לכיור ולאמבטיה</t>
  </si>
  <si>
    <t>נקודת ניקוז לכיורי רחצה, מטבח, בר, מטבח חוץ ואמבטיה, כולל סיפון/מחסום, חיבור לקו בשיפוע תקני ובדיקת אטימות.</t>
  </si>
  <si>
    <t>05.29</t>
  </si>
  <si>
    <t>נקודת מים וניקוז למכונת כביסה</t>
  </si>
  <si>
    <t>נקודת מים קרים וניקוז עם ברז ניל להכנה למכונת כביסה (מקרא אינסטלציה, פריט 5).</t>
  </si>
  <si>
    <t>05.30</t>
  </si>
  <si>
    <t>ברז דלי</t>
  </si>
  <si>
    <t>ברז דלי למים קרים לניקיון או השקיה בגובה 40 ס״מ (מקרא אינסטלציה, פריט 7).</t>
  </si>
  <si>
    <t>05.32</t>
  </si>
  <si>
    <t>קווי אספקה ראשיים ורכזות מים קומתיות</t>
  </si>
  <si>
    <t>קווי מים ראשיים מהמונה ועד רכזות המים הקומתיות (מקרא אינסטלציה, פריט 10), כולל מגופים, ווסת לחץ ובידוד צנרת חמה.</t>
  </si>
  <si>
    <t>05.33</t>
  </si>
  <si>
    <t>מערכת ביוב וניקוז ראשית</t>
  </si>
  <si>
    <t>קווי ביוב וניקוז ראשיים בכל הקומות עד חיבור למערכת הקיימת או לשוחה, כולל ביקורות, אוורור ובדיקות אטימות.</t>
  </si>
  <si>
    <t>05.34</t>
  </si>
  <si>
    <t>דוד מים חמים – התקנה וחיבור</t>
  </si>
  <si>
    <t>התקנת דוד מים חמים וחיבורו למערכת, כולל ברזים, שסתום בטיחות ומפסק זרם (סוג הדוד ומיקומו לפי תוכנית).</t>
  </si>
  <si>
    <t>05.35</t>
  </si>
  <si>
    <t>בדיקות לחץ ואטימות ותוכנית עדות</t>
  </si>
  <si>
    <t>בדיקות לחץ לכל קווי המים ובדיקות אטימות לקווי הביוב לפני כיסוי, בנוכחות המתכננת, כולל דוחות חתומים ותוכנית עדות.</t>
  </si>
  <si>
    <t>סה״כ פרק 05 — אינסטלציה, התקנת כלים סניטריים וברזים</t>
  </si>
  <si>
    <t>פרק 06 — חשמל</t>
  </si>
  <si>
    <t>06.01</t>
  </si>
  <si>
    <t>נקודת שקע רגיל</t>
  </si>
  <si>
    <t>ביצוע נקודת שקע רגיל במיקום ובגובה המתוכננים, לרבות תשתית וחיווט למעגל המתאים, התקנת אביזר הגמר ובדיקת תקינות הנקודה.</t>
  </si>
  <si>
    <t>06.02</t>
  </si>
  <si>
    <t>נקודת שקע מוגן מים</t>
  </si>
  <si>
    <t>ביצוע נקודת שקע מוגן מים באזור רטוב או חיצוני, בדרגת הגנה המתאימה למיקום ולדרישות המפרט, לרבות תשתית, חיווט, אביזר הגמר וחיבור למעגל בעל ההגנות הנדרשות.</t>
  </si>
  <si>
    <t>06.03</t>
  </si>
  <si>
    <t>תשתית להפעלת תריס חשמלי</t>
  </si>
  <si>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</si>
  <si>
    <t>06.04</t>
  </si>
  <si>
    <t>שקע מנוע תריס</t>
  </si>
  <si>
    <t>ביצוע נקודת שקע למנוע תריס במיקום המתוכנן, לרבות חיווט, קופסה וחיבור למעגל המתאים. יש לתאם את גבול התכולה עם סעיף תשתית התריס כדי למנוע כפל.</t>
  </si>
  <si>
    <t>06.05</t>
  </si>
  <si>
    <t>נקודת שקע תלת־פאזי</t>
  </si>
  <si>
    <t>ביצוע נקודת שקע תלת־פאזי בהתאם לייעוד ולעומס המתוכננים, לרבות תשתית, מוליכים, אביזר מתאים, חיבור למעגל ובדיקת תקינות.</t>
  </si>
  <si>
    <t>06.06</t>
  </si>
  <si>
    <t>הרחבת לוח החשמל הראשי</t>
  </si>
  <si>
    <t>הרחבת והתאמת לוח החשמל הראשי לעומסי הבית והתוספות, בהתאם לתכנון החשמל, לרבות רכיבי הלוח, אמצעי ההגנה, חיבור המעגלים, סימונם ובדיקת תקינות.</t>
  </si>
  <si>
    <t>06.07</t>
  </si>
  <si>
    <t>אספקה והתקנת פילר חברת החשמל</t>
  </si>
  <si>
    <t>אספקה והתקנת פילר חדש בכניסה למגרש, בהתאם למיקום ולמפרט שיאושרו בידי חברת החשמל, לרבות עבודות ההתקנה וההתאמות הנדרשות במסגרת הסעיף.</t>
  </si>
  <si>
    <t>06.08</t>
  </si>
  <si>
    <t>טיפול בהגדלת חיבור החשמל</t>
  </si>
  <si>
    <t>הכנת והגשת תוכניות ומסמכים לחברת החשמל לצורך הגדלת החיבור ל־3×40 אמפר, טיפול בהליך וקבלת האישורים הנדרשים, באמצעות חשמלאי בעל רישיון מתאים. התשלום לחברת החשמל בעבור הגדלת החיבור עצמה יחול על המזמין, בהתאם למפרט.</t>
  </si>
  <si>
    <t>06.09</t>
  </si>
  <si>
    <t>בדיקת חשמל סופית</t>
  </si>
  <si>
    <t>ביצוע בדיקה סופית של מתקן החשמל באמצעות חשמלאי בודק בעל רישיון מתאים, לרבות בדיקות הארקה, בידוד ואמצעי הגנה, והמצאת דוח הבדיקה והאישורים הנדרשים.</t>
  </si>
  <si>
    <t>06.10</t>
  </si>
  <si>
    <t>נקודת שקע כוח</t>
  </si>
  <si>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</si>
  <si>
    <t>06.11</t>
  </si>
  <si>
    <t>נקודת הזנה ליחידת מיזוג</t>
  </si>
  <si>
    <t>נקודת הזנה ייעודית ליחידת מיזוג, כולל מעגל, מפסק והגנות לפי התקן.</t>
  </si>
  <si>
    <t>06.12</t>
  </si>
  <si>
    <t>נקודת חיבור ישיר</t>
  </si>
  <si>
    <t>נקודת חיבור ישיר לתנור, כיריים, קולט אדים או תנור חימום (לפי מקרא החשמל).</t>
  </si>
  <si>
    <t>06.13</t>
  </si>
  <si>
    <t>מפסק זרם לדוד עם נורת סימון</t>
  </si>
  <si>
    <t>נקודת מפסק זרם לדוד מים חמים עם נורת סימון (מקרא החשמל).</t>
  </si>
  <si>
    <t>06.14</t>
  </si>
  <si>
    <t>נקודת תרמוסטט למזגן</t>
  </si>
  <si>
    <t>נקודת הכנה לתרמוסטט מזגן (מקרא החשמל).</t>
  </si>
  <si>
    <t>06.15</t>
  </si>
  <si>
    <t>פעמון ולחצן פעמון</t>
  </si>
  <si>
    <t>התקנת פעמון בגובה 230 ס״מ ולחצן פעמון בגובה 130 ס״מ, כולל חיווט (מקרא החשמל).</t>
  </si>
  <si>
    <t>סה״כ פרק 06 — חשמל</t>
  </si>
  <si>
    <t>פרק 07 — תאורה ומפסקי תאורה</t>
  </si>
  <si>
    <t>07.01</t>
  </si>
  <si>
    <t>מפסקי הדלקת תאורה (יחיד/כפול/משולש/רביעייה)</t>
  </si>
  <si>
    <t>ביצוע והתקנת נקודות מפסקי תאורה מכל הסוגים, במיקום ובגובה המתוכננים, לרבות תשתית, חיווט ואביזר גמר, בהתאם לחלוקת ההדלקות בתוכנית.</t>
  </si>
  <si>
    <t>07.02</t>
  </si>
  <si>
    <t>מפסקי מחלף (יחיד/משולש)</t>
  </si>
  <si>
    <t>ביצוע והתקנת נקודות מפסקי מחלף להפעלת מעגלי תאורה ממיקומים שונים, לרבות תשתית, חיווט ואביזר גמר התואמים לחלוקת המעגלים.</t>
  </si>
  <si>
    <t>07.03</t>
  </si>
  <si>
    <t>התקנת גוף תאורה צמוד תקרה</t>
  </si>
  <si>
    <t>התקנת גוף תאורה צמוד תקרה במיקום המתוכנן, לרבות קיבוע לתשתית, חיבור חשמלי ובדיקת פעולה.</t>
  </si>
  <si>
    <t>07.04</t>
  </si>
  <si>
    <t>התקנת גוף תאורה תלוי</t>
  </si>
  <si>
    <t>התקנת גוף תאורה תלוי, לרבות קיבוע מערכת התלייה, התאמת גובה התלייה לפי התוכנית והנחיות המתכננת, חיבור חשמלי ובדיקת פעולה.</t>
  </si>
  <si>
    <t>07.05</t>
  </si>
  <si>
    <t>התקנת גוף תאורה קירי מוגן</t>
  </si>
  <si>
    <t>התקנת גוף תאורה קירי מוגן במיקום ובגובה המסומנים בתוכנית, לרבות קיבוע, חיבור חשמלי ואטימת מפגש ההתקנה בהתאם למוצר ולמיקום.</t>
  </si>
  <si>
    <t>07.06</t>
  </si>
  <si>
    <t>התקנת גוף תאורה שקוע בקיר, מוגן</t>
  </si>
  <si>
    <t>התקנת גוף תאורה מוגן השקוע בקיר, לרבות שילוב רכיבי ההתקנה של הגוף במיקום המתוכנן, התאמה למישור הגמר, חיבור ובדיקת פעולה.</t>
  </si>
  <si>
    <t>07.07</t>
  </si>
  <si>
    <t>התקנת ספוט שקוע בתקרת גבס</t>
  </si>
  <si>
    <t>התקנת ספוט שקוע בתקרת גבס, בתיאום מוקדם עם עבודות הגבס, לרבות התאמת הפתח לגוף, קיבוע, חיבור חשמלי ובדיקת פעולה.</t>
  </si>
  <si>
    <t>07.08</t>
  </si>
  <si>
    <t>התקנת פס תאורת לד נסתר</t>
  </si>
  <si>
    <t>התקנת פס תאורת לד נסתר במיקום המתוכנן, לרבות רכיבי ההתקנה וההפעלה שסופקו עם המערכת, חיבור לנקודת ההזנה ובדיקת רציפות ופעולה.</t>
  </si>
  <si>
    <t>07.09</t>
  </si>
  <si>
    <t>התקנת פס תאורה שקוע בגבס</t>
  </si>
  <si>
    <t>התקנת פס תאורה שקוע בגבס, לרבות שילוב פרופיל ההתקנה התואם למוצר, תיאום עם קבלן הגבס, התאמה למישור הגמר, חיבור ובדיקת פעולה.</t>
  </si>
  <si>
    <t>07.10</t>
  </si>
  <si>
    <t>התקנת פס תאורה צמוד תקרה</t>
  </si>
  <si>
    <t>התקנת פס תאורה צמוד תקרה, לרבות קיבוע ישר ואחיד, התקנת רכיבי המערכת שסופקו, חיבור לנקודת ההזנה ובדיקת פעולה.</t>
  </si>
  <si>
    <t>07.11</t>
  </si>
  <si>
    <t>נקודת הזנה לפס לד</t>
  </si>
  <si>
    <t>ביצוע נקודת הזנה ייעודית לפס לד, לרבות צנרת, חיווט וחיבור למעגל המתוכנן, במיקום מתואם עם גוף התאורה ועם רכיבי ההפעלה שלו.</t>
  </si>
  <si>
    <t>07.12</t>
  </si>
  <si>
    <t>התקנת גוף תאורה מוגן מים</t>
  </si>
  <si>
    <t>התקנת גוף תאורה מוגן מים באזור רטוב או חיצוני, בהתאם לסוג ולמיקום המסומנים במקרא, לרבות קיבוע, חיבור ובדיקת פעולה.</t>
  </si>
  <si>
    <t>07.13</t>
  </si>
  <si>
    <t>התקנת גוף תאורה קירי</t>
  </si>
  <si>
    <t>התקנת גוף תאורה קירי במיקום ובגובה המתוכננים, לרבות קיבוע לתשתית, חיבור חשמלי ובדיקת פעולה.</t>
  </si>
  <si>
    <t>07.14</t>
  </si>
  <si>
    <t>התקנת גוף תאורה שקוע בקיר</t>
  </si>
  <si>
    <t>התקנת גוף תאורה שקוע בקיר, לרבות שילוב רכיבי ההתקנה, התאמה למישור הגמר, חיבור חשמלי ובדיקת פעולה.</t>
  </si>
  <si>
    <t>07.15</t>
  </si>
  <si>
    <t>התקנת מאוורר תקרה משולב תאורה</t>
  </si>
  <si>
    <t>התקנת מאוורר תקרה הכולל גוף תאורה, לרבות קיבוע לתשתית המתאימה למוצר, הרכבה, חיבור חשמלי, כיוון ובדיקת פעולת המאוורר והתאורה.</t>
  </si>
  <si>
    <t>07.16</t>
  </si>
  <si>
    <t>התקנת מאוורר משולב תאורה, מוגן מים</t>
  </si>
  <si>
    <t>התקנת מאוורר משולב תאורה בעל התאמה למיקום הרטוב או החיצוני המתוכנן, לרבות קיבוע, הרכבה, חיבור ובדיקת פעולה בהתאם להוראות היצרן.</t>
  </si>
  <si>
    <t>07.17</t>
  </si>
  <si>
    <t>התקנת ספוט צילינדר צמוד תקרה</t>
  </si>
  <si>
    <t>התקנת גוף תאורה מסוג ספוט צילינדר צמוד תקרה, במיקום המתוכנן, לרבות קיבוע, חיבור ובדיקת פעולה.</t>
  </si>
  <si>
    <t>07.18</t>
  </si>
  <si>
    <t>התקנת תאורת חירום דו־תכליתית</t>
  </si>
  <si>
    <t>התקנת גוף תאורת חירום דו־תכליתי, לרבות חיבור ישיר ללוח בהתאם לתוכנית, ובדיקת פעולתו בעת ניתוק מבוקר של אספקת החשמל.</t>
  </si>
  <si>
    <t>07.19</t>
  </si>
  <si>
    <t>התקנת מקבץ ספוטים „נצנצים” שקוע בגבס</t>
  </si>
  <si>
    <t>התקנת מקבץ ספוטים מסוג „נצנצים” השקוע בגבס, בהתאם לפריסה המאושרת, לרבות תיאום הפתחים, קיבוע רכיבי המערכת, חיבור ובדיקת פעולה.</t>
  </si>
  <si>
    <t>07.20</t>
  </si>
  <si>
    <t>נקודת הזנה כללית לתאורה</t>
  </si>
  <si>
    <t>ביצוע נקודת הזנה כללית לתאורה בהתאם לתוכנית, לרבות צנרת, חיווט וחיבור למעגל המתוכנן, ללא התקנת גוף התאורה.</t>
  </si>
  <si>
    <t>סה״כ פרק 07 — תאורה ומפסקי תאורה</t>
  </si>
  <si>
    <t>פרק 08 — מיזוג אוויר</t>
  </si>
  <si>
    <t>08.01</t>
  </si>
  <si>
    <t>התקנת יחידת מיזוג פנימית</t>
  </si>
  <si>
    <t>התקנת יחידת מיזוג פנימית במיקום המאושר בתוכנית, לרבות קיבוע וחיבור לתשתיות הקירור, הניקוז והחשמל שהוכנו עבורה, ובדיקת פעולה. היחידה תהיה בהתאם למפרט הציוד שיימסר; במרתף נדרש אישור המתכננת לאזור המסומן בהערה.</t>
  </si>
  <si>
    <t>מ״א</t>
  </si>
  <si>
    <t>08.03</t>
  </si>
  <si>
    <t>בדיקות ואקום ולחץ</t>
  </si>
  <si>
    <t>ביצוע בדיקות ואקום ולחץ לצנרת הקירור לפני הפעלת המערכת ובהתאם להוראות היצרן, לרבות מסירת דוח בדיקה.</t>
  </si>
  <si>
    <t>08.04</t>
  </si>
  <si>
    <t>התקנת יחידות מיזוג חיצוניות</t>
  </si>
  <si>
    <t>התקנת יחידות מיזוג חיצוניות במיקום שיאושר, כולל מתלים או בסיס, חיבור לצנרת ולחשמל ובדיקת פעולה.</t>
  </si>
  <si>
    <t>סה״כ פרק 08 — מיזוג אוויר</t>
  </si>
  <si>
    <t>פרק 09 — מחיצות ותקרות גבס</t>
  </si>
  <si>
    <t>09.01</t>
  </si>
  <si>
    <t>מחיצות גבס במרתף</t>
  </si>
  <si>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</si>
  <si>
    <t>09.02</t>
  </si>
  <si>
    <t>מחיצות גבס בקומת הקרקע</t>
  </si>
  <si>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</si>
  <si>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09.03</t>
  </si>
  <si>
    <t>מחיצות גבס בקומה א׳ ובגלריה</t>
  </si>
  <si>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</si>
  <si>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09.04</t>
  </si>
  <si>
    <t>תקרות גבס תלויות</t>
  </si>
  <si>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</si>
  <si>
    <t>סה״כ פרק 09 — מחיצות ותקרות גבס</t>
  </si>
  <si>
    <t>פרק 10 — איטום פנים</t>
  </si>
  <si>
    <t>10.01</t>
  </si>
  <si>
    <t>איטום רצפות חדרים רטובים</t>
  </si>
  <si>
    <t>ביצוע מערכת איטום רציפה לרצפות חדרי הרחצה והאזורים הרטובים, לרבות הכנת התשתית, טיפול במפגשי רצפה וקיר, הרמות איטום היקפיות ושילוב אטום סביב מעברי הצנרת ואביזרי הניקוז, בהתאם להנחיות ולאישור יועץ האיטום.</t>
  </si>
  <si>
    <t>10.02</t>
  </si>
  <si>
    <t>איטום קירות חדרים רטובים</t>
  </si>
  <si>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</si>
  <si>
    <t>10.03</t>
  </si>
  <si>
    <t>בדיקות הצפה לחדרים רטובים</t>
  </si>
  <si>
    <t>ביצוע בדיקות הצפה נפרדות לחדרים הרטובים לאחר השלמת האיטום, למשך הזמן שיאשר יועץ האיטום, לרבות תיעוד הבדיקות וקבלת אישור בכתב לפני הריצוף.</t>
  </si>
  <si>
    <t>10.04</t>
  </si>
  <si>
    <t>איטום מרפסות</t>
  </si>
  <si>
    <t>איטום רצפות המרפסות מעל חללים מבונים, כולל הרמות איטום, טיפול בספים ובנקודות ניקוז ובדיקת הצפה, בהנחיית יועץ האיטום.</t>
  </si>
  <si>
    <t>סה״כ פרק 10 — איטום פנים</t>
  </si>
  <si>
    <t>פרק 12 — אדני חלונות וספי פתחים</t>
  </si>
  <si>
    <t>12.01</t>
  </si>
  <si>
    <t>התקנת אדני חלונות פנימיים</t>
  </si>
  <si>
    <t>התקנת אדני חלונות פנימיים מאבן, שיש או חומר אחר שאושר במפרט, לאחר מדידה סופית של הפתחים, לרבות התאמה, מצע התקנה וקיבוע, בגמר ישר ואחיד וללא שברים או סדקים.</t>
  </si>
  <si>
    <t>12.02</t>
  </si>
  <si>
    <t>התקנת ספי חלונות חיצוניים</t>
  </si>
  <si>
    <t>התקנת ספי חלונות חיצוניים מהחומר המאושר, לאחר מדידה סופית, לרבות התאמה וקיבוע בשיפוע כלפי חוץ ותיאום עם מסגרות האלומיניום ועם מערכת האיטום.</t>
  </si>
  <si>
    <t>12.03</t>
  </si>
  <si>
    <t>התקנת ספי דלתות</t>
  </si>
  <si>
    <t>התקנת ספי דלתות ופתחי יציאה בהתאם לפרטים המאושרים, לרבות התאמה למפלסי הריצוף ולמשקופים, מצע התקנה וקיבוע.</t>
  </si>
  <si>
    <t>12.04</t>
  </si>
  <si>
    <t>איטום סביב אדנים וספים</t>
  </si>
  <si>
    <t>איטום המפגשים סביב אדני החלונות וספי הפתחים, ובינם לבין מסגרות האלומיניום והמעטפת, באמצעות מערכת וחומר גמיש מאושרים, לרבות בדיקת מים בספי החוץ בהתאם למפרט. עבודה זו לא תיכלל פעם נוספת בסעיפי התקנת הספים.</t>
  </si>
  <si>
    <t>סה״כ פרק 12 — אדני חלונות וספי פתחים</t>
  </si>
  <si>
    <t>פרק 13 — ריצופים, חיפויים ופנלים</t>
  </si>
  <si>
    <t>13.01</t>
  </si>
  <si>
    <t>ריצוף פנים באריחים 120×120 ס״מ, כולל רצפות מקלחות</t>
  </si>
  <si>
    <t>הנחת אריחי 120×120 ס״מ בשטחי הפנים, כולל רצפות המקלחות (28.90 מ״ר) לאחר אישור האיטום, לרבות הכנת תשתית, הדבקה, חיתוכים, התאמת שיפועים לניקוזים ומילוי פוגות.</t>
  </si>
  <si>
    <t>13.02</t>
  </si>
  <si>
    <t>ריצוף פנים במרתף באריחים 120×60 ס״מ</t>
  </si>
  <si>
    <t>הנחת אריחי ריצוף במידות 120×60 ס״מ בשטחי הפנים של המרתף, ללא רצפות המקלחות, לרבות הכנת תשתית ההתקנה, חיתוכים, התאמות ומילוי פוגות.</t>
  </si>
  <si>
    <t>13.03</t>
  </si>
  <si>
    <t>חיפוי קירות מקלחות באריחים 120×60 ס״מ</t>
  </si>
  <si>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</si>
  <si>
    <t>13.04</t>
  </si>
  <si>
    <t>התקנת פנלים</t>
  </si>
  <si>
    <t>חיתוך והתקנת פנלים מאריחי הגמר שנבחרו, בגובה ובהתאם לפרט המאושר, לרבות הדבקה, התאמות בפינות ובפתחים ומילוי המישקים.</t>
  </si>
  <si>
    <t>מטר רץ</t>
  </si>
  <si>
    <t>13.05</t>
  </si>
  <si>
    <t>ריצוף חוץ ומרפסות באריחים 120×60 ס״מ, R11</t>
  </si>
  <si>
    <t>הנחת אריחי חוץ 120×60 ס״מ R11 בשטחי החוץ ובמרפסות, לאחר אישור התשתית והאיטום, לרבות התאמה למפלסים, לשיפועי ניקוז ולספי הפתחים, חיתוכים ומילוי פוגות.</t>
  </si>
  <si>
    <t>13.07</t>
  </si>
  <si>
    <t>חיפוי מדרגות פנים (שלח ורום)</t>
  </si>
  <si>
    <t>חיפוי מדרגות פנים באבן או באריחים לפי בחירה, שלח ורום, כולל פסי החלקה ופרופילי גמר.</t>
  </si>
  <si>
    <t>סה״כ פרק 13 — ריצופים, חיפויים ופנלים</t>
  </si>
  <si>
    <t>פרק 14 — טיח וגמר צבעוני חוץ</t>
  </si>
  <si>
    <t>14.01</t>
  </si>
  <si>
    <t>הכנת תשתית וטיח צבעוני לחזיתות הבית</t>
  </si>
  <si>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</si>
  <si>
    <t>14.02</t>
  </si>
  <si>
    <t>טיח וגמר צבעוני לפרפט הגג</t>
  </si>
  <si>
    <t>ביצוע הכנת תשתית וגמר צבעוני לפרפט הגג, בהתאמה לגוון ולמרקם החזיתות, לרבות טיפול בפינות ובמעברי חומרים.</t>
  </si>
  <si>
    <t>14.03</t>
  </si>
  <si>
    <t>דוגמת גוון ומרקם לאישור</t>
  </si>
  <si>
    <t>ביצוע דוגמת גמר באתר, המייצגת את החומר, הגוון והמרקם המוצעים, וקבלת אישור המזמין והמתכננת בכתב לפני יישום הגמר על החזיתות.</t>
  </si>
  <si>
    <t>סה״כ פרק 14 — טיח וגמר צבעוני חוץ</t>
  </si>
  <si>
    <t>פרק 15 — תיקוני טיח, שפכטל וצבע פנים</t>
  </si>
  <si>
    <t>15.01</t>
  </si>
  <si>
    <t>תיקוני טיח, שפכטל וצבע פנים – מרתף</t>
  </si>
  <si>
    <t>תיקוני טיח, שפכטל והחלקה, שכבת יסוד ושתי שכבות צבע לפחות לכל הקירות והתקרות בקומה, לרבות תפרי גבס, סרטים, שיוף ותיקוני תשתית. תמחור קומפלט לקומה בהתאם לחוברת הפרויקט, פרק 15.</t>
  </si>
  <si>
    <t>15.02</t>
  </si>
  <si>
    <t>תיקוני טיח, שפכטל וצבע פנים – קרקע</t>
  </si>
  <si>
    <t>15.03</t>
  </si>
  <si>
    <t>תיקוני טיח, שפכטל וצבע פנים – קומה א׳</t>
  </si>
  <si>
    <t>סה״כ פרק 15 — תיקוני טיח, שפכטל וצבע פנים</t>
  </si>
  <si>
    <t>פרק 16 — אלומיניום, דלתות ושערים</t>
  </si>
  <si>
    <t>16.01</t>
  </si>
  <si>
    <t>פריטי אלומיניום לפי רשימת הפתחים</t>
  </si>
  <si>
    <t>ביצוע והתקנת פריטי האלומיניום המסומנים R1–R26, בהתאם ללוח האלומיניום ולמדידה סופית מאושרת באתר, לרבות מסגרות, כנפיים, זיגוג, פרזול, עיגונים ואטימת חיבורי המסגרת, לפי ההגדרה של כל פריט. העבודה כוללת כיוון ובדיקת פתיחה, סגירה ואטימות.</t>
  </si>
  <si>
    <t>16.02</t>
  </si>
  <si>
    <t>16.03</t>
  </si>
  <si>
    <t>דלתות כניסה במרתף</t>
  </si>
  <si>
    <t>התקנת דלתות כניסה בקומת המרתף בהתאם ללוח הדלתות, לרבות משקופים, כנפיים ופרזול, התאמה לפתחים ולמפלסי הגמר, קיבוע, כיוון ואטימה לפי המוצר.</t>
  </si>
  <si>
    <t>16.04</t>
  </si>
  <si>
    <t>דלת כניסה ראשית בקומת הקרקע</t>
  </si>
  <si>
    <t>התקנת דלת כניסה ראשית במידות התכנון 120×220 ס״מ, בכפוף למדידה סופית וללוח הדלתות, לרבות משקוף, כנף ופרזול, קיבוע, כיוון ואטימת המפגשים הנדרשים.</t>
  </si>
  <si>
    <t>16.05</t>
  </si>
  <si>
    <t>שער כניסה חשמלי לרכב</t>
  </si>
  <si>
    <t>ביצוע והתקנת שער כניסה חשמלי לרכב בהתאם לתוכנית השערים, לרבות רכיבי השער, מנגנון ההנעה והבקרה המוגדרים, קיבוע, חיבור לתשתיות המוכנות, כיוון ובדיקת פעולה. חיבור האינטרקום מתואם עם פרק 18.</t>
  </si>
  <si>
    <t>16.06</t>
  </si>
  <si>
    <t>שער פילר חשמלי</t>
  </si>
  <si>
    <t>ביצוע והתקנת השער המסומן במקור „שער פילר חשמלי”, בהתאם לתוכנית ולפרט המאושרים, לרבות רכיבי השער ומנגנון ההפעלה ככל שמוגדר, קיבוע ובדיקת פעולה. ייעוד השער ותצורתו טעונים אימות מול התוכנית.</t>
  </si>
  <si>
    <t>16.07</t>
  </si>
  <si>
    <t>שער למתחם פחי אשפה</t>
  </si>
  <si>
    <t>ביצוע והתקנת שער למתחם פחי האשפה בהתאם לתוכנית, לרבות מסגרת, כנפיים, פרזול וקיבוע. במקור קיימת אי־אחידות בשאלה אם שער זה חשמלי; מנגנון חשמלי ייכלל רק לאחר הבהרה ואישור.</t>
  </si>
  <si>
    <t>16.09</t>
  </si>
  <si>
    <t>תריסים חשמליים</t>
  </si>
  <si>
    <t>אספקה והתקנה של תריסים חשמליים בפתחים המסומנים, כולל ארגז, שלבים, מסילות ומנוע, וחיבור לתשתית החשמל.</t>
  </si>
  <si>
    <t>סה״כ פרק 16 — אלומיניום, דלתות ושערים</t>
  </si>
  <si>
    <t>פרק 17 — פיתוח חוץ</t>
  </si>
  <si>
    <t>17.01</t>
  </si>
  <si>
    <t>עבודות עפר ופילוס שטחי הפיתוח</t>
  </si>
  <si>
    <t>ביצוע עבודות העפר והפילוס לשטחי הפיתוח בהתאם לתוכנית המאושרת, לרבות עיצוב מפלסים, תיחום והידוק הקרקע להשגת תשתית יציבה.</t>
  </si>
  <si>
    <t>17.02</t>
  </si>
  <si>
    <t>מערכת ניקוז מי נגר</t>
  </si>
  <si>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</si>
  <si>
    <t>17.04</t>
  </si>
  <si>
    <t>גינון, מערכת השקיה אוטומטית וברזי גינה</t>
  </si>
  <si>
    <t>עבודות גינון בשטחים המיועדים, מערכת השקיה אוטומטית (צנרת, טפטוף/המטרה ובקר) וחיבור 11 ברזי גינה, כולל בדיקת תפקוד. סוגי הצמחייה טעונים השלמה.</t>
  </si>
  <si>
    <t>17.05</t>
  </si>
  <si>
    <t>תאורת גן כולל חיבור חשמלי</t>
  </si>
  <si>
    <t>התקנת גופי תאורת גן בדרגת ההגנה הנדרשת, כולל החיבורים החשמליים למעגל מוגן ייעודי ובדיקת תקינות. גופים המתומחרים בפרק 07 לא ייכללו שוב.</t>
  </si>
  <si>
    <t>סה״כ פרק 17 — פיתוח חוץ</t>
  </si>
  <si>
    <t>פרק 18 — תשתיות תקשורת, מיגון, אינטרקום ושמע</t>
  </si>
  <si>
    <t>18.01</t>
  </si>
  <si>
    <t>תשתית צנרת ושרוולים לתקשורת, מיגון ושמע – כל הקומות</t>
  </si>
  <si>
    <t>הנחת צנרת ושרוולים עם חוטי משיכה מכל הנקודות שיאושרו בשלוש הקומות אל לוח התקשורת המרכזי, בתיאום עם החשמל והגבס לפני סגירת קירות ותקרות.</t>
  </si>
  <si>
    <t>18.02</t>
  </si>
  <si>
    <t>מיקום ומארז ללוח תקשורת מרכזי</t>
  </si>
  <si>
    <t>הסדרת מיקום והתקנת מארז ללוח תקשורת מרכזי באזור נגיש לתחזוקה, לרבות ריכוז כניסות הצנרת והכנתו לשילוב המערכות בהתאם למפרט האינטגרטור. ציוד פעיל אינו מוגדר בסעיף המקורי.</t>
  </si>
  <si>
    <t>18.03</t>
  </si>
  <si>
    <t>חיבור אינטרקום השער ללוח הפנימי</t>
  </si>
  <si>
    <t>ביצוע חיבור נקודת האינטרקום בשער הכניסה ללוח הפנימי, בהתאם למערכת שתיבחר, לרבות החיווט והחיבורים הנדרשים ובדיקת תקשורת והפעלת השער מהנקודות המיועדות בבית.</t>
  </si>
  <si>
    <t>18.04</t>
  </si>
  <si>
    <t>בדיקות רציפות לתשתיות</t>
  </si>
  <si>
    <t>בדיקות רציפות לקווים שבהם הותקנה כבילה ובדיקת עבירות לצנרת ריקה עם חוט משיכה, לרבות מסירת תוצאות בדיקה ותוכנית עדות לתוואים שבוצעו.</t>
  </si>
  <si>
    <t>18.05</t>
  </si>
  <si>
    <t>נקודות תקשורת (טלוויזיה, טלפון/אינטרקום, אינטרנט)</t>
  </si>
  <si>
    <t>נקודות קצה לתקשורת לפי מקרא החשמל, כולל כבילה CAT6 לפחות עד לוח התקשורת ובדיקת רציפות.</t>
  </si>
  <si>
    <t>סה״כ פרק 18 — תשתיות תקשורת, מיגון, אינטרקום ושמע</t>
  </si>
  <si>
    <t>סיכום הצעה מתומחרת</t>
  </si>
  <si>
    <t>שיעור מע״מ</t>
  </si>
  <si>
    <t>סך מתומחר כולל מע״מ</t>
  </si>
  <si>
    <t>כתב כמויות — שלונסקי 53, חיפה |</t>
  </si>
  <si>
    <t>להשלמה לפי מס דודים</t>
  </si>
  <si>
    <t>להשלמה לפי כמות מזגנים</t>
  </si>
  <si>
    <t>התקנת דלתות פנים  לפי לוח הדלתות, לרבות כנפיים, משקופים ופרזול המוגדרים בו, התאמה למפלסי הגמר ולכיווני הפתיחה, קיבוע, כיוון ובדיקת פעולה.</t>
  </si>
  <si>
    <t xml:space="preserve">דלתות פנים </t>
  </si>
  <si>
    <t>כאופציה במידה ומספקים גם את התריס ולא רק את ההכנה</t>
  </si>
  <si>
    <t>7/8?</t>
  </si>
  <si>
    <t>7 או 8 ?</t>
  </si>
  <si>
    <t xml:space="preserve">מתייחס לשלח+ רום </t>
  </si>
  <si>
    <t>2.20</t>
  </si>
  <si>
    <t xml:space="preserve">פירוק והריסת מדרגות בטון בגמר גרנוליט, לרבות פירוק המעקות ועיגוניהם, חיתוך הזיון לפי הצורך, איסוף הפסולת, העמסתה ,הובלתה לאתר מורשה, כולל אגרות פינוי וניקוי שטח העבודה בגמר הביצוע. </t>
  </si>
  <si>
    <t>פירוק מדרגות חוץ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</si>
</sst>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0.00"/>
  </numFmts>
  <fonts count="7" x14ac:knownFonts="1">
    <font>
      <sz val="12"/>
      <color theme="1"/>
      <name val="Arial"/>
      <family val="2"/>
      <charset val="177"/>
      <scheme val="minor"/>
    </font>
    <font>
      <b/>
      <sz val="18"/>
      <color rgb="FFFFFFFF"/>
      <name val="Arial"/>
      <family val="2"/>
    </font>
    <font>
      <sz val="10"/>
      <color rgb="FF263238"/>
      <name val="Arial"/>
      <family val="2"/>
    </font>
    <font>
      <b/>
      <sz val="10"/>
      <color rgb="FFFFFFFF"/>
      <name val="Arial"/>
      <family val="2"/>
    </font>
    <font>
      <b/>
      <sz val="12"/>
      <color rgb="FFFFFFFF"/>
      <name val="Arial"/>
      <family val="2"/>
    </font>
    <font>
      <sz val="10"/>
      <color rgb="FF806000"/>
      <name val="Arial"/>
      <family val="2"/>
    </font>
    <font>
      <b/>
      <sz val="10"/>
      <color rgb="FF263238"/>
      <name val="Arial"/>
      <family val="2"/>
    </font>
  </fonts>
  <fills count="8">
    <fill>
      <patternFill patternType="none"/>
    </fill>
    <fill>
      <patternFill patternType="gray125"/>
    </fill>
    <fill>
      <patternFill patternType="solid">
        <fgColor rgb="FF17365D"/>
      </patternFill>
    </fill>
    <fill>
      <patternFill patternType="solid">
        <fgColor rgb="FFE8EFF7"/>
      </patternFill>
    </fill>
    <fill>
      <patternFill patternType="solid">
        <fgColor rgb="FFFFF2CC"/>
      </patternFill>
    </fill>
    <fill>
      <patternFill patternType="solid">
        <fgColor rgb="FFFCE4D6"/>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2" fillId="0" borderId="0" xfId="0" applyFont="1" applyAlignment="1">
      <alignment horizontal="right" vertical="center" wrapText="1"/>
    </xf>
    <xf numFmtId="0" fontId="3" fillId="2" borderId="0" xfId="0" applyFont="1" applyFill="1" applyAlignment="1">
      <alignment horizontal="right" vertical="center" wrapText="1"/>
    </xf>
    <xf numFmtId="49"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164" fontId="5" fillId="0" borderId="1" xfId="0" applyNumberFormat="1" applyFont="1" applyBorder="1" applyAlignment="1">
      <alignment horizontal="right" vertical="center" wrapText="1"/>
    </xf>
    <xf numFmtId="164" fontId="2" fillId="4" borderId="1" xfId="0" applyNumberFormat="1" applyFont="1" applyFill="1" applyBorder="1" applyAlignment="1">
      <alignment horizontal="right" vertical="center" wrapText="1"/>
    </xf>
    <xf numFmtId="164" fontId="2" fillId="0" borderId="1" xfId="0" applyNumberFormat="1" applyFont="1" applyBorder="1" applyAlignment="1">
      <alignment horizontal="right" vertical="center" wrapText="1"/>
    </xf>
    <xf numFmtId="164" fontId="6" fillId="3" borderId="1" xfId="0" applyNumberFormat="1" applyFont="1" applyFill="1" applyBorder="1" applyAlignment="1">
      <alignment horizontal="right" vertical="center" wrapText="1"/>
    </xf>
    <xf numFmtId="164" fontId="2" fillId="5" borderId="1" xfId="0" applyNumberFormat="1" applyFont="1" applyFill="1" applyBorder="1" applyAlignment="1">
      <alignment horizontal="right" vertical="center" wrapText="1"/>
    </xf>
    <xf numFmtId="164" fontId="2" fillId="6" borderId="1" xfId="0" applyNumberFormat="1" applyFont="1" applyFill="1" applyBorder="1" applyAlignment="1">
      <alignment horizontal="right" vertical="center" wrapText="1"/>
    </xf>
    <xf numFmtId="9" fontId="2" fillId="0" borderId="1" xfId="0" applyNumberFormat="1" applyFont="1" applyBorder="1" applyAlignment="1">
      <alignment horizontal="right" vertical="center" wrapText="1"/>
    </xf>
    <xf numFmtId="49" fontId="2" fillId="7" borderId="1" xfId="0" applyNumberFormat="1" applyFont="1" applyFill="1" applyBorder="1" applyAlignment="1">
      <alignment horizontal="right" vertical="center" wrapText="1"/>
    </xf>
    <xf numFmtId="0" fontId="2" fillId="7" borderId="1" xfId="0" applyFont="1" applyFill="1" applyBorder="1" applyAlignment="1">
      <alignment horizontal="right" vertical="center" wrapText="1"/>
    </xf>
    <xf numFmtId="164" fontId="2" fillId="7" borderId="1" xfId="0" applyNumberFormat="1" applyFont="1" applyFill="1" applyBorder="1" applyAlignment="1">
      <alignment horizontal="right" vertical="center" wrapText="1"/>
    </xf>
    <xf numFmtId="0" fontId="0" fillId="7" borderId="2" xfId="0" applyFill="1" applyBorder="1" applyAlignment="1">
      <alignment horizontal="center"/>
    </xf>
    <xf numFmtId="0" fontId="0" fillId="7" borderId="0" xfId="0" applyFill="1" applyAlignment="1">
      <alignment horizontal="center"/>
    </xf>
    <xf numFmtId="49" fontId="6" fillId="3" borderId="1" xfId="0" applyNumberFormat="1" applyFont="1" applyFill="1" applyBorder="1" applyAlignment="1">
      <alignment horizontal="right" vertical="center" wrapText="1"/>
    </xf>
    <xf numFmtId="0" fontId="6" fillId="3" borderId="1" xfId="0" applyFont="1" applyFill="1" applyBorder="1" applyAlignment="1">
      <alignment horizontal="right" vertical="center" wrapText="1"/>
    </xf>
    <xf numFmtId="164" fontId="6" fillId="3" borderId="1" xfId="0" applyNumberFormat="1" applyFont="1" applyFill="1" applyBorder="1" applyAlignment="1">
      <alignment horizontal="right" vertical="center" wrapText="1"/>
    </xf>
    <xf numFmtId="49" fontId="2" fillId="0" borderId="1" xfId="0" applyNumberFormat="1" applyFont="1" applyBorder="1" applyAlignment="1">
      <alignment horizontal="right" vertical="center" wrapText="1"/>
    </xf>
    <xf numFmtId="0" fontId="2" fillId="0" borderId="1" xfId="0" applyFont="1" applyBorder="1" applyAlignment="1">
      <alignment horizontal="right" vertical="center" wrapText="1"/>
    </xf>
    <xf numFmtId="49" fontId="4" fillId="2" borderId="1" xfId="0" applyNumberFormat="1" applyFont="1" applyFill="1" applyBorder="1" applyAlignment="1">
      <alignment horizontal="right" vertical="center" wrapText="1"/>
    </xf>
    <xf numFmtId="0" fontId="4" fillId="2" borderId="1" xfId="0" applyFont="1" applyFill="1" applyBorder="1" applyAlignment="1">
      <alignment horizontal="right" vertical="center" wrapText="1"/>
    </xf>
    <xf numFmtId="164" fontId="4" fillId="2" borderId="1" xfId="0" applyNumberFormat="1" applyFont="1" applyFill="1" applyBorder="1" applyAlignment="1">
      <alignment horizontal="right" vertical="center" wrapText="1"/>
    </xf>
    <xf numFmtId="0" fontId="1" fillId="2" borderId="0" xfId="0" applyFont="1" applyFill="1" applyAlignment="1">
      <alignment horizontal="right" vertical="center" wrapText="1"/>
    </xf>
    <xf numFmtId="49" fontId="4" fillId="2" borderId="0" xfId="0" applyNumberFormat="1" applyFont="1" applyFill="1" applyAlignment="1">
      <alignment horizontal="right" vertical="center" wrapText="1"/>
    </xf>
    <xf numFmtId="0" fontId="4" fillId="2" borderId="0" xfId="0" applyFont="1" applyFill="1" applyAlignment="1">
      <alignment horizontal="right" vertical="center" wrapText="1"/>
    </xf>
    <xf numFmtId="164" fontId="4" fillId="2" borderId="0" xfId="0" applyNumberFormat="1" applyFont="1" applyFill="1" applyAlignment="1">
      <alignment horizontal="right" vertical="center" wrapText="1"/>
    </xf>
    <xf numFmtId="164" fontId="2" fillId="0" borderId="3" xfId="0" applyNumberFormat="1" applyFont="1" applyBorder="1" applyAlignment="1">
      <alignment horizontal="right" vertical="center" wrapText="1"/>
    </xf>
    <xf numFmtId="0" fontId="0" fillId="7" borderId="4" xfId="0" applyFill="1" applyBorder="1" applyAlignment="1">
      <alignment horizontal="center"/>
    </xf>
    <xf numFmtId="0" fontId="0" fillId="7" borderId="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054F568AAE99C9B/Documents/&#1513;&#1500;&#1493;&#1504;&#1505;&#1511;&#1497;_53_&#1499;&#1514;&#1489;_&#1499;&#1502;&#1493;&#1497;&#1493;&#1514;_&#1500;&#1488;&#1495;&#1512;_&#1489;&#1511;&#1512;&#1492;.xlsx" TargetMode="External"/><Relationship Id="rId1" Type="http://schemas.openxmlformats.org/officeDocument/2006/relationships/externalLinkPath" Target="&#1513;&#1500;&#1493;&#1504;&#1505;&#1511;&#1497;_53_&#1499;&#1514;&#1489;_&#1499;&#1502;&#1493;&#1497;&#1493;&#1514;_&#1500;&#1488;&#1495;&#1512;_&#1489;&#1511;&#1512;&#14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כתב כמויות"/>
      <sheetName val="חישובי כמויות"/>
      <sheetName val="בקרה והשלמות"/>
    </sheetNames>
    <sheetDataSet>
      <sheetData sheetId="0"/>
      <sheetData sheetId="1">
        <row r="8">
          <cell r="G8">
            <v>7</v>
          </cell>
        </row>
        <row r="13">
          <cell r="G13">
            <v>1</v>
          </cell>
        </row>
        <row r="14">
          <cell r="G14">
            <v>1</v>
          </cell>
        </row>
        <row r="18">
          <cell r="G18">
            <v>3</v>
          </cell>
        </row>
        <row r="19">
          <cell r="G19">
            <v>2</v>
          </cell>
        </row>
        <row r="20">
          <cell r="G20">
            <v>2</v>
          </cell>
        </row>
        <row r="21">
          <cell r="G21">
            <v>1</v>
          </cell>
        </row>
        <row r="22">
          <cell r="G22">
            <v>15</v>
          </cell>
        </row>
        <row r="32">
          <cell r="G32">
            <v>33.299999999999997</v>
          </cell>
        </row>
        <row r="36">
          <cell r="G36">
            <v>52.7</v>
          </cell>
        </row>
      </sheetData>
      <sheetData sheetId="2"/>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3CB7-44F7-8C46-A624-8A84FD2DEBC5}">
  <dimension ref="A1:K204"/>
  <sheetViews>
    <sheetView rightToLeft="1" tabSelected="1" workbookViewId="0">
      <selection activeCell="I165" sqref="I165"/>
    </sheetView>
  </sheetViews>
  <sheetFormatPr baseColWidth="10" defaultRowHeight="16" x14ac:dyDescent="0.2"/>
  <cols>
    <col min="1" max="1" width="28.140625" customWidth="1"/>
    <col min="2" max="2" width="24.42578125" customWidth="1"/>
    <col min="3" max="3" width="26.7109375" customWidth="1"/>
    <col min="4" max="4" width="10.85546875" customWidth="1"/>
    <col min="5" max="5" width="13.85546875" customWidth="1"/>
    <col min="6" max="6" width="18" customWidth="1"/>
    <col min="7" max="7" width="10.7109375" customWidth="1"/>
    <col min="9" max="9" width="38.42578125" customWidth="1"/>
  </cols>
  <sheetData>
    <row r="1" spans="1:7" ht="23" x14ac:dyDescent="0.2">
      <c r="A1" s="25" t="s">
        <v>485</v>
      </c>
      <c r="B1" s="25"/>
      <c r="C1" s="25"/>
      <c r="D1" s="25"/>
      <c r="E1" s="25"/>
      <c r="F1" s="25"/>
      <c r="G1" s="25"/>
    </row>
    <row r="2" spans="1:7" x14ac:dyDescent="0.2">
      <c r="A2" s="1"/>
      <c r="B2" s="1"/>
      <c r="C2" s="1"/>
      <c r="D2" s="1"/>
      <c r="E2" s="1"/>
      <c r="F2" s="1"/>
      <c r="G2" s="1"/>
    </row>
    <row r="3" spans="1:7" x14ac:dyDescent="0.2">
      <c r="A3" s="2" t="s">
        <v>0</v>
      </c>
      <c r="B3" s="2" t="s">
        <v>1</v>
      </c>
      <c r="C3" s="2" t="s">
        <v>2</v>
      </c>
      <c r="D3" s="2" t="s">
        <v>3</v>
      </c>
      <c r="E3" s="2" t="s">
        <v>4</v>
      </c>
      <c r="F3" s="2" t="s">
        <v>5</v>
      </c>
      <c r="G3" s="2" t="s">
        <v>6</v>
      </c>
    </row>
    <row r="4" spans="1:7" ht="25" customHeight="1" x14ac:dyDescent="0.2">
      <c r="A4" s="26" t="s">
        <v>7</v>
      </c>
      <c r="B4" s="27"/>
      <c r="C4" s="27"/>
      <c r="D4" s="27"/>
      <c r="E4" s="28"/>
      <c r="F4" s="28"/>
      <c r="G4" s="28"/>
    </row>
    <row r="5" spans="1:7" ht="84" customHeight="1" x14ac:dyDescent="0.2">
      <c r="A5" s="3" t="s">
        <v>8</v>
      </c>
      <c r="B5" s="4" t="s">
        <v>9</v>
      </c>
      <c r="C5" s="4" t="s">
        <v>10</v>
      </c>
      <c r="D5" s="4" t="s">
        <v>11</v>
      </c>
      <c r="E5" s="5">
        <v>1</v>
      </c>
      <c r="F5" s="6"/>
      <c r="G5" s="7"/>
    </row>
    <row r="6" spans="1:7" ht="88" customHeight="1" x14ac:dyDescent="0.2">
      <c r="A6" s="3" t="s">
        <v>12</v>
      </c>
      <c r="B6" s="4" t="s">
        <v>13</v>
      </c>
      <c r="C6" s="4" t="s">
        <v>14</v>
      </c>
      <c r="D6" s="4" t="s">
        <v>11</v>
      </c>
      <c r="E6" s="5">
        <v>1</v>
      </c>
      <c r="F6" s="6"/>
      <c r="G6" s="7" t="str">
        <f t="shared" ref="G6:G12" si="0">IF(AND(ISNUMBER(E6),ISNUMBER(F6)),ROUND(E6*F6,2),"")</f>
        <v/>
      </c>
    </row>
    <row r="7" spans="1:7" ht="63" customHeight="1" x14ac:dyDescent="0.2">
      <c r="A7" s="3" t="s">
        <v>15</v>
      </c>
      <c r="B7" s="4" t="s">
        <v>16</v>
      </c>
      <c r="C7" s="4" t="s">
        <v>17</v>
      </c>
      <c r="D7" s="4" t="s">
        <v>11</v>
      </c>
      <c r="E7" s="5">
        <v>1</v>
      </c>
      <c r="F7" s="6"/>
      <c r="G7" s="7" t="str">
        <f t="shared" si="0"/>
        <v/>
      </c>
    </row>
    <row r="8" spans="1:7" ht="75" customHeight="1" x14ac:dyDescent="0.2">
      <c r="A8" s="3" t="s">
        <v>18</v>
      </c>
      <c r="B8" s="4" t="s">
        <v>19</v>
      </c>
      <c r="C8" s="4" t="s">
        <v>20</v>
      </c>
      <c r="D8" s="4" t="s">
        <v>11</v>
      </c>
      <c r="E8" s="5">
        <v>1</v>
      </c>
      <c r="F8" s="6"/>
      <c r="G8" s="7" t="str">
        <f t="shared" si="0"/>
        <v/>
      </c>
    </row>
    <row r="9" spans="1:7" ht="86" customHeight="1" x14ac:dyDescent="0.2">
      <c r="A9" s="3" t="s">
        <v>21</v>
      </c>
      <c r="B9" s="4" t="s">
        <v>22</v>
      </c>
      <c r="C9" s="4" t="s">
        <v>23</v>
      </c>
      <c r="D9" s="4" t="s">
        <v>11</v>
      </c>
      <c r="E9" s="5">
        <v>1</v>
      </c>
      <c r="F9" s="6"/>
      <c r="G9" s="7" t="str">
        <f t="shared" si="0"/>
        <v/>
      </c>
    </row>
    <row r="10" spans="1:7" ht="84" customHeight="1" x14ac:dyDescent="0.2">
      <c r="A10" s="3" t="s">
        <v>24</v>
      </c>
      <c r="B10" s="4" t="s">
        <v>25</v>
      </c>
      <c r="C10" s="4" t="s">
        <v>26</v>
      </c>
      <c r="D10" s="4" t="s">
        <v>11</v>
      </c>
      <c r="E10" s="5">
        <v>1</v>
      </c>
      <c r="F10" s="6"/>
      <c r="G10" s="7" t="str">
        <f t="shared" si="0"/>
        <v/>
      </c>
    </row>
    <row r="11" spans="1:7" ht="107" customHeight="1" x14ac:dyDescent="0.2">
      <c r="A11" s="3" t="s">
        <v>27</v>
      </c>
      <c r="B11" s="4" t="s">
        <v>28</v>
      </c>
      <c r="C11" s="4" t="s">
        <v>29</v>
      </c>
      <c r="D11" s="4" t="s">
        <v>11</v>
      </c>
      <c r="E11" s="5">
        <v>1</v>
      </c>
      <c r="F11" s="6"/>
      <c r="G11" s="7" t="str">
        <f t="shared" si="0"/>
        <v/>
      </c>
    </row>
    <row r="12" spans="1:7" ht="89" customHeight="1" x14ac:dyDescent="0.2">
      <c r="A12" s="3" t="s">
        <v>30</v>
      </c>
      <c r="B12" s="4" t="s">
        <v>31</v>
      </c>
      <c r="C12" s="4" t="s">
        <v>32</v>
      </c>
      <c r="D12" s="4" t="s">
        <v>11</v>
      </c>
      <c r="E12" s="5">
        <v>1</v>
      </c>
      <c r="F12" s="6"/>
      <c r="G12" s="7" t="str">
        <f t="shared" si="0"/>
        <v/>
      </c>
    </row>
    <row r="13" spans="1:7" x14ac:dyDescent="0.2">
      <c r="A13" s="17" t="s">
        <v>33</v>
      </c>
      <c r="B13" s="18"/>
      <c r="C13" s="18"/>
      <c r="D13" s="18"/>
      <c r="E13" s="19"/>
      <c r="F13" s="19"/>
      <c r="G13" s="8" t="str">
        <f>IF(COUNT(G5,G6,G7,G8,G9,G10,G11,G12)=0,"",SUM(G5,G6,G7,G8,G9,G10,G11,G12))</f>
        <v/>
      </c>
    </row>
    <row r="14" spans="1:7" x14ac:dyDescent="0.2">
      <c r="A14" s="3"/>
      <c r="B14" s="4"/>
      <c r="C14" s="4"/>
      <c r="D14" s="4"/>
      <c r="E14" s="7"/>
      <c r="F14" s="6"/>
      <c r="G14" s="7"/>
    </row>
    <row r="15" spans="1:7" x14ac:dyDescent="0.2">
      <c r="A15" s="22" t="s">
        <v>34</v>
      </c>
      <c r="B15" s="23"/>
      <c r="C15" s="23"/>
      <c r="D15" s="23"/>
      <c r="E15" s="24"/>
      <c r="F15" s="24"/>
      <c r="G15" s="24"/>
    </row>
    <row r="16" spans="1:7" ht="123" customHeight="1" x14ac:dyDescent="0.2">
      <c r="A16" s="3" t="s">
        <v>35</v>
      </c>
      <c r="B16" s="4" t="s">
        <v>36</v>
      </c>
      <c r="C16" s="4" t="s">
        <v>37</v>
      </c>
      <c r="D16" s="4" t="s">
        <v>38</v>
      </c>
      <c r="E16" s="5">
        <v>62</v>
      </c>
      <c r="F16" s="6"/>
      <c r="G16" s="7" t="str">
        <f t="shared" ref="G16:G35" si="1">IF(AND(ISNUMBER(E16),ISNUMBER(F16)),ROUND(E16*F16,2),"")</f>
        <v/>
      </c>
    </row>
    <row r="17" spans="1:7" ht="114" customHeight="1" x14ac:dyDescent="0.2">
      <c r="A17" s="3" t="s">
        <v>39</v>
      </c>
      <c r="B17" s="4" t="s">
        <v>40</v>
      </c>
      <c r="C17" s="4" t="s">
        <v>41</v>
      </c>
      <c r="D17" s="4" t="s">
        <v>38</v>
      </c>
      <c r="E17" s="5">
        <v>51</v>
      </c>
      <c r="F17" s="6"/>
      <c r="G17" s="7" t="str">
        <f t="shared" si="1"/>
        <v/>
      </c>
    </row>
    <row r="18" spans="1:7" ht="106" customHeight="1" x14ac:dyDescent="0.2">
      <c r="A18" s="3" t="s">
        <v>42</v>
      </c>
      <c r="B18" s="4" t="s">
        <v>43</v>
      </c>
      <c r="C18" s="4" t="s">
        <v>44</v>
      </c>
      <c r="D18" s="4" t="s">
        <v>38</v>
      </c>
      <c r="E18" s="5">
        <v>85</v>
      </c>
      <c r="F18" s="6"/>
      <c r="G18" s="7" t="str">
        <f t="shared" si="1"/>
        <v/>
      </c>
    </row>
    <row r="19" spans="1:7" ht="79" customHeight="1" x14ac:dyDescent="0.2">
      <c r="A19" s="3" t="s">
        <v>45</v>
      </c>
      <c r="B19" s="4" t="s">
        <v>46</v>
      </c>
      <c r="C19" s="4" t="s">
        <v>47</v>
      </c>
      <c r="D19" s="4" t="s">
        <v>38</v>
      </c>
      <c r="E19" s="10">
        <v>10</v>
      </c>
      <c r="F19" s="6"/>
      <c r="G19" s="7" t="str">
        <f t="shared" si="1"/>
        <v/>
      </c>
    </row>
    <row r="20" spans="1:7" ht="87" customHeight="1" x14ac:dyDescent="0.2">
      <c r="A20" s="3" t="s">
        <v>49</v>
      </c>
      <c r="B20" s="4" t="s">
        <v>50</v>
      </c>
      <c r="C20" s="4" t="s">
        <v>51</v>
      </c>
      <c r="D20" s="4" t="s">
        <v>38</v>
      </c>
      <c r="E20" s="10">
        <v>40</v>
      </c>
      <c r="F20" s="6"/>
      <c r="G20" s="7" t="str">
        <f t="shared" si="1"/>
        <v/>
      </c>
    </row>
    <row r="21" spans="1:7" ht="86" customHeight="1" x14ac:dyDescent="0.2">
      <c r="A21" s="3" t="s">
        <v>52</v>
      </c>
      <c r="B21" s="4" t="s">
        <v>53</v>
      </c>
      <c r="C21" s="4" t="s">
        <v>54</v>
      </c>
      <c r="D21" s="4" t="s">
        <v>11</v>
      </c>
      <c r="E21" s="10">
        <v>1</v>
      </c>
      <c r="F21" s="6"/>
      <c r="G21" s="7" t="str">
        <f t="shared" si="1"/>
        <v/>
      </c>
    </row>
    <row r="22" spans="1:7" ht="56" x14ac:dyDescent="0.2">
      <c r="A22" s="3" t="s">
        <v>55</v>
      </c>
      <c r="B22" s="4" t="s">
        <v>56</v>
      </c>
      <c r="C22" s="4" t="s">
        <v>57</v>
      </c>
      <c r="D22" s="4" t="s">
        <v>58</v>
      </c>
      <c r="E22" s="10">
        <v>1</v>
      </c>
      <c r="F22" s="6"/>
      <c r="G22" s="7" t="str">
        <f t="shared" si="1"/>
        <v/>
      </c>
    </row>
    <row r="23" spans="1:7" ht="116" customHeight="1" x14ac:dyDescent="0.2">
      <c r="A23" s="3" t="s">
        <v>59</v>
      </c>
      <c r="B23" s="4" t="s">
        <v>60</v>
      </c>
      <c r="C23" s="4" t="s">
        <v>61</v>
      </c>
      <c r="D23" s="4" t="s">
        <v>11</v>
      </c>
      <c r="E23" s="5">
        <v>1</v>
      </c>
      <c r="F23" s="6"/>
      <c r="G23" s="7" t="str">
        <f t="shared" si="1"/>
        <v/>
      </c>
    </row>
    <row r="24" spans="1:7" ht="89" customHeight="1" x14ac:dyDescent="0.2">
      <c r="A24" s="3" t="s">
        <v>62</v>
      </c>
      <c r="B24" s="4" t="s">
        <v>63</v>
      </c>
      <c r="C24" s="4" t="s">
        <v>64</v>
      </c>
      <c r="D24" s="4" t="s">
        <v>11</v>
      </c>
      <c r="E24" s="5">
        <v>1</v>
      </c>
      <c r="F24" s="6"/>
      <c r="G24" s="7" t="str">
        <f t="shared" si="1"/>
        <v/>
      </c>
    </row>
    <row r="25" spans="1:7" ht="94" customHeight="1" x14ac:dyDescent="0.2">
      <c r="A25" s="3" t="s">
        <v>65</v>
      </c>
      <c r="B25" s="4" t="s">
        <v>66</v>
      </c>
      <c r="C25" s="4" t="s">
        <v>67</v>
      </c>
      <c r="D25" s="4" t="s">
        <v>11</v>
      </c>
      <c r="E25" s="5">
        <v>1</v>
      </c>
      <c r="F25" s="6"/>
      <c r="G25" s="7" t="str">
        <f t="shared" si="1"/>
        <v/>
      </c>
    </row>
    <row r="26" spans="1:7" ht="120" customHeight="1" x14ac:dyDescent="0.2">
      <c r="A26" s="3" t="s">
        <v>68</v>
      </c>
      <c r="B26" s="4" t="s">
        <v>69</v>
      </c>
      <c r="C26" s="4" t="s">
        <v>70</v>
      </c>
      <c r="D26" s="4" t="s">
        <v>11</v>
      </c>
      <c r="E26" s="10">
        <v>1</v>
      </c>
      <c r="F26" s="6"/>
      <c r="G26" s="7" t="str">
        <f t="shared" si="1"/>
        <v/>
      </c>
    </row>
    <row r="27" spans="1:7" ht="79" customHeight="1" x14ac:dyDescent="0.2">
      <c r="A27" s="3" t="s">
        <v>71</v>
      </c>
      <c r="B27" s="4" t="s">
        <v>72</v>
      </c>
      <c r="C27" s="4" t="s">
        <v>73</v>
      </c>
      <c r="D27" s="4" t="s">
        <v>11</v>
      </c>
      <c r="E27" s="10">
        <v>1</v>
      </c>
      <c r="F27" s="6"/>
      <c r="G27" s="7" t="str">
        <f t="shared" si="1"/>
        <v/>
      </c>
    </row>
    <row r="28" spans="1:7" ht="56" x14ac:dyDescent="0.2">
      <c r="A28" s="3" t="s">
        <v>74</v>
      </c>
      <c r="B28" s="4" t="s">
        <v>75</v>
      </c>
      <c r="C28" s="4" t="s">
        <v>76</v>
      </c>
      <c r="D28" s="4" t="s">
        <v>11</v>
      </c>
      <c r="E28" s="10">
        <v>1</v>
      </c>
      <c r="F28" s="6"/>
      <c r="G28" s="7" t="str">
        <f t="shared" si="1"/>
        <v/>
      </c>
    </row>
    <row r="29" spans="1:7" ht="101" customHeight="1" x14ac:dyDescent="0.2">
      <c r="A29" s="3" t="s">
        <v>77</v>
      </c>
      <c r="B29" s="4" t="s">
        <v>78</v>
      </c>
      <c r="C29" s="4" t="s">
        <v>79</v>
      </c>
      <c r="D29" s="4" t="s">
        <v>11</v>
      </c>
      <c r="E29" s="10">
        <v>1</v>
      </c>
      <c r="F29" s="6"/>
      <c r="G29" s="7" t="str">
        <f t="shared" si="1"/>
        <v/>
      </c>
    </row>
    <row r="30" spans="1:7" ht="75" customHeight="1" x14ac:dyDescent="0.2">
      <c r="A30" s="3" t="s">
        <v>80</v>
      </c>
      <c r="B30" s="4" t="s">
        <v>81</v>
      </c>
      <c r="C30" s="4" t="s">
        <v>82</v>
      </c>
      <c r="D30" s="4" t="s">
        <v>336</v>
      </c>
      <c r="E30" s="10">
        <v>45</v>
      </c>
      <c r="F30" s="6"/>
      <c r="G30" s="7" t="str">
        <f t="shared" si="1"/>
        <v/>
      </c>
    </row>
    <row r="31" spans="1:7" ht="90" customHeight="1" x14ac:dyDescent="0.2">
      <c r="A31" s="3" t="s">
        <v>83</v>
      </c>
      <c r="B31" s="4" t="s">
        <v>84</v>
      </c>
      <c r="C31" s="4" t="s">
        <v>85</v>
      </c>
      <c r="D31" s="4" t="s">
        <v>11</v>
      </c>
      <c r="E31" s="5">
        <v>1</v>
      </c>
      <c r="F31" s="6"/>
      <c r="G31" s="7" t="str">
        <f t="shared" si="1"/>
        <v/>
      </c>
    </row>
    <row r="32" spans="1:7" ht="81" customHeight="1" x14ac:dyDescent="0.2">
      <c r="A32" s="3" t="s">
        <v>86</v>
      </c>
      <c r="B32" s="4" t="s">
        <v>87</v>
      </c>
      <c r="C32" s="4" t="s">
        <v>88</v>
      </c>
      <c r="D32" s="4" t="s">
        <v>11</v>
      </c>
      <c r="E32" s="5">
        <v>1</v>
      </c>
      <c r="F32" s="6"/>
      <c r="G32" s="7" t="str">
        <f t="shared" si="1"/>
        <v/>
      </c>
    </row>
    <row r="33" spans="1:7" ht="42" x14ac:dyDescent="0.2">
      <c r="A33" s="3" t="s">
        <v>89</v>
      </c>
      <c r="B33" s="4" t="s">
        <v>90</v>
      </c>
      <c r="C33" s="4" t="s">
        <v>91</v>
      </c>
      <c r="D33" s="4" t="s">
        <v>11</v>
      </c>
      <c r="E33" s="5">
        <v>1</v>
      </c>
      <c r="F33" s="6"/>
      <c r="G33" s="7" t="str">
        <f t="shared" si="1"/>
        <v/>
      </c>
    </row>
    <row r="34" spans="1:7" ht="70" x14ac:dyDescent="0.2">
      <c r="A34" s="3" t="s">
        <v>92</v>
      </c>
      <c r="B34" s="4" t="s">
        <v>496</v>
      </c>
      <c r="C34" s="4" t="s">
        <v>495</v>
      </c>
      <c r="D34" s="4" t="s">
        <v>11</v>
      </c>
      <c r="E34" s="5">
        <v>1</v>
      </c>
      <c r="F34" s="6"/>
      <c r="G34" s="7" t="str">
        <f t="shared" si="1"/>
        <v/>
      </c>
    </row>
    <row r="35" spans="1:7" ht="42" x14ac:dyDescent="0.2">
      <c r="A35" s="3" t="s">
        <v>494</v>
      </c>
      <c r="B35" s="4" t="s">
        <v>93</v>
      </c>
      <c r="C35" s="4" t="s">
        <v>94</v>
      </c>
      <c r="D35" s="4" t="s">
        <v>38</v>
      </c>
      <c r="E35" s="10">
        <v>100</v>
      </c>
      <c r="F35" s="6"/>
      <c r="G35" s="7" t="str">
        <f t="shared" si="1"/>
        <v/>
      </c>
    </row>
    <row r="36" spans="1:7" x14ac:dyDescent="0.2">
      <c r="A36" s="17" t="s">
        <v>95</v>
      </c>
      <c r="B36" s="18"/>
      <c r="C36" s="18"/>
      <c r="D36" s="18"/>
      <c r="E36" s="19"/>
      <c r="F36" s="19"/>
      <c r="G36" s="8" t="str">
        <f>IF(COUNT(G16,G17,G18,G19,G20,G21,G22,G23,G24,G25,G26,G27,G28,G29,G30,G31,G32,G33,G35)=0,"",SUM(G16,G17,G18,G19,G20,G21,G22,G23,G24,G25,G26,G27,G28,G29,G30,G31,G32,G33,G35))</f>
        <v/>
      </c>
    </row>
    <row r="37" spans="1:7" x14ac:dyDescent="0.2">
      <c r="A37" s="3"/>
      <c r="B37" s="4"/>
      <c r="C37" s="4"/>
      <c r="D37" s="4"/>
      <c r="E37" s="7"/>
      <c r="F37" s="6"/>
      <c r="G37" s="7"/>
    </row>
    <row r="38" spans="1:7" x14ac:dyDescent="0.2">
      <c r="A38" s="22" t="s">
        <v>96</v>
      </c>
      <c r="B38" s="23"/>
      <c r="C38" s="23"/>
      <c r="D38" s="23"/>
      <c r="E38" s="24"/>
      <c r="F38" s="24"/>
      <c r="G38" s="24"/>
    </row>
    <row r="39" spans="1:7" ht="147" customHeight="1" x14ac:dyDescent="0.2">
      <c r="A39" s="3" t="s">
        <v>97</v>
      </c>
      <c r="B39" s="4" t="s">
        <v>98</v>
      </c>
      <c r="C39" s="4" t="s">
        <v>99</v>
      </c>
      <c r="D39" s="4" t="s">
        <v>11</v>
      </c>
      <c r="E39" s="5">
        <v>1</v>
      </c>
      <c r="F39" s="6"/>
      <c r="G39" s="7" t="str">
        <f>IF(AND(ISNUMBER(E39),ISNUMBER(F39)),ROUND(E39*F39,2),"")</f>
        <v/>
      </c>
    </row>
    <row r="40" spans="1:7" ht="105" customHeight="1" x14ac:dyDescent="0.2">
      <c r="A40" s="3" t="s">
        <v>100</v>
      </c>
      <c r="B40" s="4" t="s">
        <v>101</v>
      </c>
      <c r="C40" s="4" t="s">
        <v>102</v>
      </c>
      <c r="D40" s="4" t="s">
        <v>11</v>
      </c>
      <c r="E40" s="5">
        <v>1</v>
      </c>
      <c r="F40" s="6"/>
      <c r="G40" s="7" t="str">
        <f>IF(AND(ISNUMBER(E40),ISNUMBER(F40)),ROUND(E40*F40,2),"")</f>
        <v/>
      </c>
    </row>
    <row r="41" spans="1:7" ht="102" customHeight="1" x14ac:dyDescent="0.2">
      <c r="A41" s="3" t="s">
        <v>103</v>
      </c>
      <c r="B41" s="4" t="s">
        <v>104</v>
      </c>
      <c r="C41" s="4" t="s">
        <v>105</v>
      </c>
      <c r="D41" s="4" t="s">
        <v>11</v>
      </c>
      <c r="E41" s="5">
        <v>1</v>
      </c>
      <c r="F41" s="6"/>
      <c r="G41" s="7" t="str">
        <f>IF(AND(ISNUMBER(E41),ISNUMBER(F41)),ROUND(E41*F41,2),"")</f>
        <v/>
      </c>
    </row>
    <row r="42" spans="1:7" ht="110" customHeight="1" x14ac:dyDescent="0.2">
      <c r="A42" s="3" t="s">
        <v>106</v>
      </c>
      <c r="B42" s="4" t="s">
        <v>107</v>
      </c>
      <c r="C42" s="4" t="s">
        <v>108</v>
      </c>
      <c r="D42" s="4" t="s">
        <v>11</v>
      </c>
      <c r="E42" s="5">
        <v>1</v>
      </c>
      <c r="F42" s="6"/>
      <c r="G42" s="7" t="str">
        <f>IF(AND(ISNUMBER(E42),ISNUMBER(F42)),ROUND(E42*F42,2),"")</f>
        <v/>
      </c>
    </row>
    <row r="43" spans="1:7" x14ac:dyDescent="0.2">
      <c r="A43" s="17" t="s">
        <v>109</v>
      </c>
      <c r="B43" s="18"/>
      <c r="C43" s="18"/>
      <c r="D43" s="18"/>
      <c r="E43" s="19"/>
      <c r="F43" s="19"/>
      <c r="G43" s="8" t="str">
        <f>IF(COUNT(G39,G40,G41,G42)=0,"",SUM(G39,G40,G41,G42))</f>
        <v/>
      </c>
    </row>
    <row r="44" spans="1:7" x14ac:dyDescent="0.2">
      <c r="A44" s="3"/>
      <c r="B44" s="4"/>
      <c r="C44" s="4"/>
      <c r="D44" s="4"/>
      <c r="E44" s="7"/>
      <c r="F44" s="6"/>
      <c r="G44" s="7"/>
    </row>
    <row r="45" spans="1:7" x14ac:dyDescent="0.2">
      <c r="A45" s="22" t="s">
        <v>110</v>
      </c>
      <c r="B45" s="23"/>
      <c r="C45" s="23"/>
      <c r="D45" s="23"/>
      <c r="E45" s="24"/>
      <c r="F45" s="24"/>
      <c r="G45" s="24"/>
    </row>
    <row r="46" spans="1:7" ht="190" customHeight="1" x14ac:dyDescent="0.2">
      <c r="A46" s="3" t="s">
        <v>111</v>
      </c>
      <c r="B46" s="4" t="s">
        <v>112</v>
      </c>
      <c r="C46" s="4" t="s">
        <v>113</v>
      </c>
      <c r="D46" s="4" t="s">
        <v>38</v>
      </c>
      <c r="E46" s="5">
        <v>6.3</v>
      </c>
      <c r="F46" s="6"/>
      <c r="G46" s="7" t="str">
        <f>IF(AND(ISNUMBER(E46),ISNUMBER(F46)),ROUND(E46*F46,2),"")</f>
        <v/>
      </c>
    </row>
    <row r="47" spans="1:7" ht="160" customHeight="1" x14ac:dyDescent="0.2">
      <c r="A47" s="3" t="s">
        <v>114</v>
      </c>
      <c r="B47" s="4" t="s">
        <v>115</v>
      </c>
      <c r="C47" s="4" t="s">
        <v>116</v>
      </c>
      <c r="D47" s="4" t="s">
        <v>38</v>
      </c>
      <c r="E47" s="5">
        <v>17.7</v>
      </c>
      <c r="F47" s="6"/>
      <c r="G47" s="7" t="str">
        <f>IF(AND(ISNUMBER(E47),ISNUMBER(F47)),ROUND(E47*F47,2),"")</f>
        <v/>
      </c>
    </row>
    <row r="48" spans="1:7" ht="129" customHeight="1" x14ac:dyDescent="0.2">
      <c r="A48" s="3" t="s">
        <v>117</v>
      </c>
      <c r="B48" s="4" t="s">
        <v>118</v>
      </c>
      <c r="C48" s="4" t="s">
        <v>119</v>
      </c>
      <c r="D48" s="4" t="s">
        <v>38</v>
      </c>
      <c r="E48" s="5">
        <v>2.08</v>
      </c>
      <c r="F48" s="6"/>
      <c r="G48" s="7" t="str">
        <f>IF(AND(ISNUMBER(E48),ISNUMBER(F48)),ROUND(E48*F48,2),"")</f>
        <v/>
      </c>
    </row>
    <row r="49" spans="1:7" x14ac:dyDescent="0.2">
      <c r="A49" s="17" t="s">
        <v>120</v>
      </c>
      <c r="B49" s="18"/>
      <c r="C49" s="18"/>
      <c r="D49" s="18"/>
      <c r="E49" s="19"/>
      <c r="F49" s="19"/>
      <c r="G49" s="8" t="str">
        <f>IF(COUNT(G46,G47,G48)=0,"",SUM(G46,G47,G48))</f>
        <v/>
      </c>
    </row>
    <row r="50" spans="1:7" x14ac:dyDescent="0.2">
      <c r="A50" s="3"/>
      <c r="B50" s="4"/>
      <c r="C50" s="4"/>
      <c r="D50" s="4"/>
      <c r="E50" s="7"/>
      <c r="F50" s="6"/>
      <c r="G50" s="7"/>
    </row>
    <row r="51" spans="1:7" x14ac:dyDescent="0.2">
      <c r="A51" s="22" t="s">
        <v>121</v>
      </c>
      <c r="B51" s="23"/>
      <c r="C51" s="23"/>
      <c r="D51" s="23"/>
      <c r="E51" s="24"/>
      <c r="F51" s="24"/>
      <c r="G51" s="24"/>
    </row>
    <row r="52" spans="1:7" ht="75" customHeight="1" x14ac:dyDescent="0.2">
      <c r="A52" s="3" t="s">
        <v>122</v>
      </c>
      <c r="B52" s="4" t="s">
        <v>123</v>
      </c>
      <c r="C52" s="4" t="s">
        <v>124</v>
      </c>
      <c r="D52" s="4" t="s">
        <v>58</v>
      </c>
      <c r="E52" s="7">
        <f>'[1]חישובי כמויות'!G8</f>
        <v>7</v>
      </c>
      <c r="F52" s="6"/>
      <c r="G52" s="7" t="str">
        <f t="shared" ref="G52:G84" si="2">IF(AND(ISNUMBER(E52),ISNUMBER(F52)),ROUND(E52*F52,2),"")</f>
        <v/>
      </c>
    </row>
    <row r="53" spans="1:7" ht="104" customHeight="1" x14ac:dyDescent="0.2">
      <c r="A53" s="3" t="s">
        <v>125</v>
      </c>
      <c r="B53" s="4" t="s">
        <v>126</v>
      </c>
      <c r="C53" s="4" t="s">
        <v>127</v>
      </c>
      <c r="D53" s="4" t="s">
        <v>58</v>
      </c>
      <c r="E53" s="7">
        <f>'[1]חישובי כמויות'!G8</f>
        <v>7</v>
      </c>
      <c r="F53" s="6"/>
      <c r="G53" s="7" t="str">
        <f t="shared" si="2"/>
        <v/>
      </c>
    </row>
    <row r="54" spans="1:7" ht="42" x14ac:dyDescent="0.2">
      <c r="A54" s="3" t="s">
        <v>128</v>
      </c>
      <c r="B54" s="4" t="s">
        <v>129</v>
      </c>
      <c r="C54" s="4" t="s">
        <v>130</v>
      </c>
      <c r="D54" s="4" t="s">
        <v>58</v>
      </c>
      <c r="E54" s="7">
        <f>'[1]חישובי כמויות'!G8</f>
        <v>7</v>
      </c>
      <c r="F54" s="6"/>
      <c r="G54" s="7" t="str">
        <f t="shared" si="2"/>
        <v/>
      </c>
    </row>
    <row r="55" spans="1:7" ht="84" customHeight="1" x14ac:dyDescent="0.2">
      <c r="A55" s="3" t="s">
        <v>131</v>
      </c>
      <c r="B55" s="4" t="s">
        <v>132</v>
      </c>
      <c r="C55" s="4" t="s">
        <v>133</v>
      </c>
      <c r="D55" s="4" t="s">
        <v>58</v>
      </c>
      <c r="E55" s="7">
        <f>'[1]חישובי כמויות'!G8</f>
        <v>7</v>
      </c>
      <c r="F55" s="6"/>
      <c r="G55" s="7" t="str">
        <f t="shared" si="2"/>
        <v/>
      </c>
    </row>
    <row r="56" spans="1:7" ht="42" x14ac:dyDescent="0.2">
      <c r="A56" s="3" t="s">
        <v>134</v>
      </c>
      <c r="B56" s="4" t="s">
        <v>135</v>
      </c>
      <c r="C56" s="4" t="s">
        <v>136</v>
      </c>
      <c r="D56" s="4" t="s">
        <v>58</v>
      </c>
      <c r="E56" s="7">
        <f>'[1]חישובי כמויות'!G13</f>
        <v>1</v>
      </c>
      <c r="F56" s="6"/>
      <c r="G56" s="7" t="str">
        <f t="shared" si="2"/>
        <v/>
      </c>
    </row>
    <row r="57" spans="1:7" ht="42" x14ac:dyDescent="0.2">
      <c r="A57" s="3" t="s">
        <v>137</v>
      </c>
      <c r="B57" s="4" t="s">
        <v>138</v>
      </c>
      <c r="C57" s="4" t="s">
        <v>139</v>
      </c>
      <c r="D57" s="4" t="s">
        <v>58</v>
      </c>
      <c r="E57" s="5">
        <v>6</v>
      </c>
      <c r="F57" s="6"/>
      <c r="G57" s="7" t="str">
        <f t="shared" si="2"/>
        <v/>
      </c>
    </row>
    <row r="58" spans="1:7" ht="42" x14ac:dyDescent="0.2">
      <c r="A58" s="3" t="s">
        <v>140</v>
      </c>
      <c r="B58" s="4" t="s">
        <v>141</v>
      </c>
      <c r="C58" s="4" t="s">
        <v>142</v>
      </c>
      <c r="D58" s="4" t="s">
        <v>58</v>
      </c>
      <c r="E58" s="5">
        <v>6</v>
      </c>
      <c r="F58" s="6"/>
      <c r="G58" s="7" t="str">
        <f t="shared" si="2"/>
        <v/>
      </c>
    </row>
    <row r="59" spans="1:7" ht="70" x14ac:dyDescent="0.2">
      <c r="A59" s="3" t="s">
        <v>143</v>
      </c>
      <c r="B59" s="4" t="s">
        <v>144</v>
      </c>
      <c r="C59" s="4" t="s">
        <v>145</v>
      </c>
      <c r="D59" s="4" t="s">
        <v>58</v>
      </c>
      <c r="E59" s="5">
        <v>10</v>
      </c>
      <c r="F59" s="6"/>
      <c r="G59" s="7" t="str">
        <f t="shared" si="2"/>
        <v/>
      </c>
    </row>
    <row r="60" spans="1:7" ht="87" customHeight="1" x14ac:dyDescent="0.2">
      <c r="A60" s="3" t="s">
        <v>146</v>
      </c>
      <c r="B60" s="4" t="s">
        <v>147</v>
      </c>
      <c r="C60" s="4" t="s">
        <v>148</v>
      </c>
      <c r="D60" s="4" t="s">
        <v>58</v>
      </c>
      <c r="E60" s="5">
        <v>2</v>
      </c>
      <c r="F60" s="6"/>
      <c r="G60" s="7" t="str">
        <f t="shared" si="2"/>
        <v/>
      </c>
    </row>
    <row r="61" spans="1:7" ht="42" x14ac:dyDescent="0.2">
      <c r="A61" s="3" t="s">
        <v>149</v>
      </c>
      <c r="B61" s="4" t="s">
        <v>150</v>
      </c>
      <c r="C61" s="4" t="s">
        <v>151</v>
      </c>
      <c r="D61" s="4" t="s">
        <v>58</v>
      </c>
      <c r="E61" s="5">
        <v>7</v>
      </c>
      <c r="F61" s="6"/>
      <c r="G61" s="7" t="str">
        <f t="shared" si="2"/>
        <v/>
      </c>
    </row>
    <row r="62" spans="1:7" ht="70" x14ac:dyDescent="0.2">
      <c r="A62" s="3" t="s">
        <v>152</v>
      </c>
      <c r="B62" s="4" t="s">
        <v>153</v>
      </c>
      <c r="C62" s="4" t="s">
        <v>154</v>
      </c>
      <c r="D62" s="4" t="s">
        <v>58</v>
      </c>
      <c r="E62" s="5">
        <v>5</v>
      </c>
      <c r="F62" s="6"/>
      <c r="G62" s="7" t="str">
        <f t="shared" si="2"/>
        <v/>
      </c>
    </row>
    <row r="63" spans="1:7" ht="70" x14ac:dyDescent="0.2">
      <c r="A63" s="3" t="s">
        <v>155</v>
      </c>
      <c r="B63" s="4" t="s">
        <v>156</v>
      </c>
      <c r="C63" s="4" t="s">
        <v>157</v>
      </c>
      <c r="D63" s="4" t="s">
        <v>58</v>
      </c>
      <c r="E63" s="5">
        <v>1</v>
      </c>
      <c r="F63" s="6"/>
      <c r="G63" s="7" t="str">
        <f t="shared" si="2"/>
        <v/>
      </c>
    </row>
    <row r="64" spans="1:7" ht="56" x14ac:dyDescent="0.2">
      <c r="A64" s="3" t="s">
        <v>158</v>
      </c>
      <c r="B64" s="4" t="s">
        <v>159</v>
      </c>
      <c r="C64" s="4" t="s">
        <v>160</v>
      </c>
      <c r="D64" s="4" t="s">
        <v>58</v>
      </c>
      <c r="E64" s="7">
        <f>'[1]חישובי כמויות'!G21</f>
        <v>1</v>
      </c>
      <c r="F64" s="6"/>
      <c r="G64" s="7" t="str">
        <f t="shared" si="2"/>
        <v/>
      </c>
    </row>
    <row r="65" spans="1:7" ht="42" x14ac:dyDescent="0.2">
      <c r="A65" s="3" t="s">
        <v>161</v>
      </c>
      <c r="B65" s="4" t="s">
        <v>162</v>
      </c>
      <c r="C65" s="4" t="s">
        <v>163</v>
      </c>
      <c r="D65" s="4" t="s">
        <v>58</v>
      </c>
      <c r="E65" s="5">
        <v>1</v>
      </c>
      <c r="F65" s="6"/>
      <c r="G65" s="7" t="str">
        <f t="shared" si="2"/>
        <v/>
      </c>
    </row>
    <row r="66" spans="1:7" ht="56" x14ac:dyDescent="0.2">
      <c r="A66" s="3" t="s">
        <v>164</v>
      </c>
      <c r="B66" s="4" t="s">
        <v>165</v>
      </c>
      <c r="C66" s="4" t="s">
        <v>166</v>
      </c>
      <c r="D66" s="4" t="s">
        <v>58</v>
      </c>
      <c r="E66" s="7">
        <f>'[1]חישובי כמויות'!G18</f>
        <v>3</v>
      </c>
      <c r="F66" s="6"/>
      <c r="G66" s="7" t="str">
        <f t="shared" si="2"/>
        <v/>
      </c>
    </row>
    <row r="67" spans="1:7" ht="42" x14ac:dyDescent="0.2">
      <c r="A67" s="3" t="s">
        <v>167</v>
      </c>
      <c r="B67" s="4" t="s">
        <v>168</v>
      </c>
      <c r="C67" s="4" t="s">
        <v>169</v>
      </c>
      <c r="D67" s="4" t="s">
        <v>58</v>
      </c>
      <c r="E67" s="7">
        <f>'[1]חישובי כמויות'!G18+'[1]חישובי כמויות'!G19</f>
        <v>5</v>
      </c>
      <c r="F67" s="6"/>
      <c r="G67" s="7" t="str">
        <f t="shared" si="2"/>
        <v/>
      </c>
    </row>
    <row r="68" spans="1:7" ht="42" x14ac:dyDescent="0.2">
      <c r="A68" s="3" t="s">
        <v>170</v>
      </c>
      <c r="B68" s="4" t="s">
        <v>171</v>
      </c>
      <c r="C68" s="4" t="s">
        <v>172</v>
      </c>
      <c r="D68" s="4" t="s">
        <v>58</v>
      </c>
      <c r="E68" s="7">
        <f>'[1]חישובי כמויות'!G20</f>
        <v>2</v>
      </c>
      <c r="F68" s="6"/>
      <c r="G68" s="7" t="str">
        <f t="shared" si="2"/>
        <v/>
      </c>
    </row>
    <row r="69" spans="1:7" ht="42" x14ac:dyDescent="0.2">
      <c r="A69" s="3" t="s">
        <v>173</v>
      </c>
      <c r="B69" s="4" t="s">
        <v>174</v>
      </c>
      <c r="C69" s="4" t="s">
        <v>175</v>
      </c>
      <c r="D69" s="4" t="s">
        <v>58</v>
      </c>
      <c r="E69" s="7">
        <f>'[1]חישובי כמויות'!G20</f>
        <v>2</v>
      </c>
      <c r="F69" s="6"/>
      <c r="G69" s="7" t="str">
        <f t="shared" si="2"/>
        <v/>
      </c>
    </row>
    <row r="70" spans="1:7" ht="56" x14ac:dyDescent="0.2">
      <c r="A70" s="3" t="s">
        <v>176</v>
      </c>
      <c r="B70" s="4" t="s">
        <v>177</v>
      </c>
      <c r="C70" s="4" t="s">
        <v>178</v>
      </c>
      <c r="D70" s="4" t="s">
        <v>58</v>
      </c>
      <c r="E70" s="7">
        <f>'[1]חישובי כמויות'!G14</f>
        <v>1</v>
      </c>
      <c r="F70" s="6"/>
      <c r="G70" s="7" t="str">
        <f t="shared" si="2"/>
        <v/>
      </c>
    </row>
    <row r="71" spans="1:7" ht="42" x14ac:dyDescent="0.2">
      <c r="A71" s="3" t="s">
        <v>179</v>
      </c>
      <c r="B71" s="4" t="s">
        <v>180</v>
      </c>
      <c r="C71" s="4" t="s">
        <v>181</v>
      </c>
      <c r="D71" s="4" t="s">
        <v>58</v>
      </c>
      <c r="E71" s="5">
        <v>11</v>
      </c>
      <c r="F71" s="6"/>
      <c r="G71" s="7" t="str">
        <f t="shared" si="2"/>
        <v/>
      </c>
    </row>
    <row r="72" spans="1:7" ht="70" x14ac:dyDescent="0.2">
      <c r="A72" s="3" t="s">
        <v>182</v>
      </c>
      <c r="B72" s="4" t="s">
        <v>183</v>
      </c>
      <c r="C72" s="4" t="s">
        <v>184</v>
      </c>
      <c r="D72" s="4" t="s">
        <v>58</v>
      </c>
      <c r="E72" s="5">
        <v>1</v>
      </c>
      <c r="F72" s="6"/>
      <c r="G72" s="7" t="str">
        <f t="shared" si="2"/>
        <v/>
      </c>
    </row>
    <row r="73" spans="1:7" ht="56" x14ac:dyDescent="0.2">
      <c r="A73" s="3" t="s">
        <v>185</v>
      </c>
      <c r="B73" s="4" t="s">
        <v>186</v>
      </c>
      <c r="C73" s="4" t="s">
        <v>187</v>
      </c>
      <c r="D73" s="4" t="s">
        <v>58</v>
      </c>
      <c r="E73" s="5">
        <v>1</v>
      </c>
      <c r="F73" s="6"/>
      <c r="G73" s="7" t="str">
        <f t="shared" si="2"/>
        <v/>
      </c>
    </row>
    <row r="74" spans="1:7" ht="42" x14ac:dyDescent="0.2">
      <c r="A74" s="3" t="s">
        <v>188</v>
      </c>
      <c r="B74" s="4" t="s">
        <v>189</v>
      </c>
      <c r="C74" s="4" t="s">
        <v>190</v>
      </c>
      <c r="D74" s="4" t="s">
        <v>58</v>
      </c>
      <c r="E74" s="7">
        <f>'[1]חישובי כמויות'!G19</f>
        <v>2</v>
      </c>
      <c r="F74" s="6"/>
      <c r="G74" s="7" t="str">
        <f t="shared" si="2"/>
        <v/>
      </c>
    </row>
    <row r="75" spans="1:7" ht="42" x14ac:dyDescent="0.2">
      <c r="A75" s="3" t="s">
        <v>191</v>
      </c>
      <c r="B75" s="4" t="s">
        <v>192</v>
      </c>
      <c r="C75" s="4" t="s">
        <v>193</v>
      </c>
      <c r="D75" s="4" t="s">
        <v>194</v>
      </c>
      <c r="E75" s="10">
        <v>23</v>
      </c>
      <c r="F75" s="6"/>
      <c r="G75" s="7" t="str">
        <f t="shared" si="2"/>
        <v/>
      </c>
    </row>
    <row r="76" spans="1:7" ht="28" x14ac:dyDescent="0.2">
      <c r="A76" s="3" t="s">
        <v>195</v>
      </c>
      <c r="B76" s="4" t="s">
        <v>196</v>
      </c>
      <c r="C76" s="4" t="s">
        <v>197</v>
      </c>
      <c r="D76" s="4" t="s">
        <v>194</v>
      </c>
      <c r="E76" s="7">
        <f>'[1]חישובי כמויות'!G8</f>
        <v>7</v>
      </c>
      <c r="F76" s="6"/>
      <c r="G76" s="7" t="str">
        <f t="shared" si="2"/>
        <v/>
      </c>
    </row>
    <row r="77" spans="1:7" ht="28" x14ac:dyDescent="0.2">
      <c r="A77" s="3" t="s">
        <v>198</v>
      </c>
      <c r="B77" s="4" t="s">
        <v>199</v>
      </c>
      <c r="C77" s="4" t="s">
        <v>200</v>
      </c>
      <c r="D77" s="4" t="s">
        <v>194</v>
      </c>
      <c r="E77" s="7">
        <f>'[1]חישובי כמויות'!G8</f>
        <v>7</v>
      </c>
      <c r="F77" s="6"/>
      <c r="G77" s="7" t="str">
        <f t="shared" si="2"/>
        <v/>
      </c>
    </row>
    <row r="78" spans="1:7" ht="42" x14ac:dyDescent="0.2">
      <c r="A78" s="3" t="s">
        <v>201</v>
      </c>
      <c r="B78" s="4" t="s">
        <v>202</v>
      </c>
      <c r="C78" s="4" t="s">
        <v>203</v>
      </c>
      <c r="D78" s="4" t="s">
        <v>194</v>
      </c>
      <c r="E78" s="7">
        <f>'[1]חישובי כמויות'!G22</f>
        <v>15</v>
      </c>
      <c r="F78" s="6"/>
      <c r="G78" s="7" t="str">
        <f t="shared" si="2"/>
        <v/>
      </c>
    </row>
    <row r="79" spans="1:7" ht="28" x14ac:dyDescent="0.2">
      <c r="A79" s="3" t="s">
        <v>204</v>
      </c>
      <c r="B79" s="4" t="s">
        <v>205</v>
      </c>
      <c r="C79" s="4" t="s">
        <v>206</v>
      </c>
      <c r="D79" s="4" t="s">
        <v>194</v>
      </c>
      <c r="E79" s="10">
        <v>2</v>
      </c>
      <c r="F79" s="6"/>
      <c r="G79" s="7" t="str">
        <f t="shared" si="2"/>
        <v/>
      </c>
    </row>
    <row r="80" spans="1:7" ht="28" x14ac:dyDescent="0.2">
      <c r="A80" s="3" t="s">
        <v>207</v>
      </c>
      <c r="B80" s="4" t="s">
        <v>208</v>
      </c>
      <c r="C80" s="4" t="s">
        <v>209</v>
      </c>
      <c r="D80" s="4" t="s">
        <v>58</v>
      </c>
      <c r="E80" s="10">
        <v>2</v>
      </c>
      <c r="F80" s="6"/>
      <c r="G80" s="7" t="str">
        <f t="shared" si="2"/>
        <v/>
      </c>
    </row>
    <row r="81" spans="1:7" ht="42" x14ac:dyDescent="0.2">
      <c r="A81" s="3" t="s">
        <v>210</v>
      </c>
      <c r="B81" s="4" t="s">
        <v>211</v>
      </c>
      <c r="C81" s="4" t="s">
        <v>212</v>
      </c>
      <c r="D81" s="4" t="s">
        <v>11</v>
      </c>
      <c r="E81" s="5">
        <v>1</v>
      </c>
      <c r="F81" s="6"/>
      <c r="G81" s="7" t="str">
        <f t="shared" si="2"/>
        <v/>
      </c>
    </row>
    <row r="82" spans="1:7" ht="42" x14ac:dyDescent="0.2">
      <c r="A82" s="3" t="s">
        <v>213</v>
      </c>
      <c r="B82" s="4" t="s">
        <v>214</v>
      </c>
      <c r="C82" s="4" t="s">
        <v>215</v>
      </c>
      <c r="D82" s="4" t="s">
        <v>11</v>
      </c>
      <c r="E82" s="5">
        <v>1</v>
      </c>
      <c r="F82" s="6"/>
      <c r="G82" s="7" t="str">
        <f t="shared" si="2"/>
        <v/>
      </c>
    </row>
    <row r="83" spans="1:7" ht="42" x14ac:dyDescent="0.2">
      <c r="A83" s="3" t="s">
        <v>216</v>
      </c>
      <c r="B83" s="4" t="s">
        <v>217</v>
      </c>
      <c r="C83" s="4" t="s">
        <v>218</v>
      </c>
      <c r="D83" s="4" t="s">
        <v>58</v>
      </c>
      <c r="E83" s="9" t="s">
        <v>48</v>
      </c>
      <c r="F83" s="6"/>
      <c r="G83" s="7" t="str">
        <f t="shared" si="2"/>
        <v/>
      </c>
    </row>
    <row r="84" spans="1:7" ht="42" x14ac:dyDescent="0.2">
      <c r="A84" s="3" t="s">
        <v>219</v>
      </c>
      <c r="B84" s="4" t="s">
        <v>220</v>
      </c>
      <c r="C84" s="4" t="s">
        <v>221</v>
      </c>
      <c r="D84" s="4" t="s">
        <v>11</v>
      </c>
      <c r="E84" s="5">
        <v>1</v>
      </c>
      <c r="F84" s="6"/>
      <c r="G84" s="7" t="str">
        <f t="shared" si="2"/>
        <v/>
      </c>
    </row>
    <row r="85" spans="1:7" x14ac:dyDescent="0.2">
      <c r="A85" s="17" t="s">
        <v>222</v>
      </c>
      <c r="B85" s="18"/>
      <c r="C85" s="18"/>
      <c r="D85" s="18"/>
      <c r="E85" s="19"/>
      <c r="F85" s="19"/>
      <c r="G85" s="8" t="str">
        <f>IF(COUNT(G52,G53,G54,G55,G56,G57,G58,G59,G60,G61,G62,G63,G64,G65,G66,G67,G68,G69,G70,G71,G72,G73,G74,G75,G76,G77,G78,G79,G80,#REF!,G81,G82,G83,G84)=0,"",SUM(G52,G53,G54,G55,G56,G57,G58,G59,G60,G61,G62,G63,G64,G65,G66,G67,G68,G69,G70,G71,G72,G73,G74,G75,G76,G77,G78,G79,G80,#REF!,G81,G82,G83,G84))</f>
        <v/>
      </c>
    </row>
    <row r="86" spans="1:7" x14ac:dyDescent="0.2">
      <c r="A86" s="3"/>
      <c r="B86" s="4"/>
      <c r="C86" s="4"/>
      <c r="D86" s="4"/>
      <c r="E86" s="7"/>
      <c r="F86" s="6"/>
      <c r="G86" s="7"/>
    </row>
    <row r="87" spans="1:7" x14ac:dyDescent="0.2">
      <c r="A87" s="22" t="s">
        <v>223</v>
      </c>
      <c r="B87" s="23"/>
      <c r="C87" s="23"/>
      <c r="D87" s="23"/>
      <c r="E87" s="24"/>
      <c r="F87" s="24"/>
      <c r="G87" s="24"/>
    </row>
    <row r="88" spans="1:7" ht="56" x14ac:dyDescent="0.2">
      <c r="A88" s="3" t="s">
        <v>224</v>
      </c>
      <c r="B88" s="4" t="s">
        <v>225</v>
      </c>
      <c r="C88" s="4" t="s">
        <v>226</v>
      </c>
      <c r="D88" s="4" t="s">
        <v>58</v>
      </c>
      <c r="E88" s="5">
        <v>119</v>
      </c>
      <c r="F88" s="6"/>
      <c r="G88" s="7" t="str">
        <f t="shared" ref="G88:G102" si="3">IF(AND(ISNUMBER(E88),ISNUMBER(F88)),ROUND(E88*F88,2),"")</f>
        <v/>
      </c>
    </row>
    <row r="89" spans="1:7" ht="70" x14ac:dyDescent="0.2">
      <c r="A89" s="3" t="s">
        <v>227</v>
      </c>
      <c r="B89" s="4" t="s">
        <v>228</v>
      </c>
      <c r="C89" s="4" t="s">
        <v>229</v>
      </c>
      <c r="D89" s="4" t="s">
        <v>58</v>
      </c>
      <c r="E89" s="5">
        <v>51</v>
      </c>
      <c r="F89" s="6"/>
      <c r="G89" s="7" t="str">
        <f t="shared" si="3"/>
        <v/>
      </c>
    </row>
    <row r="90" spans="1:7" ht="70" x14ac:dyDescent="0.2">
      <c r="A90" s="3" t="s">
        <v>230</v>
      </c>
      <c r="B90" s="4" t="s">
        <v>231</v>
      </c>
      <c r="C90" s="4" t="s">
        <v>232</v>
      </c>
      <c r="D90" s="4" t="s">
        <v>58</v>
      </c>
      <c r="E90" s="5">
        <v>18</v>
      </c>
      <c r="F90" s="6"/>
      <c r="G90" s="7" t="str">
        <f t="shared" si="3"/>
        <v/>
      </c>
    </row>
    <row r="91" spans="1:7" ht="56" x14ac:dyDescent="0.2">
      <c r="A91" s="3" t="s">
        <v>233</v>
      </c>
      <c r="B91" s="4" t="s">
        <v>234</v>
      </c>
      <c r="C91" s="4" t="s">
        <v>235</v>
      </c>
      <c r="D91" s="4" t="s">
        <v>58</v>
      </c>
      <c r="E91" s="5">
        <v>9</v>
      </c>
      <c r="F91" s="6"/>
      <c r="G91" s="7" t="str">
        <f t="shared" si="3"/>
        <v/>
      </c>
    </row>
    <row r="92" spans="1:7" ht="42" x14ac:dyDescent="0.2">
      <c r="A92" s="3" t="s">
        <v>236</v>
      </c>
      <c r="B92" s="4" t="s">
        <v>237</v>
      </c>
      <c r="C92" s="4" t="s">
        <v>238</v>
      </c>
      <c r="D92" s="4" t="s">
        <v>58</v>
      </c>
      <c r="E92" s="5">
        <v>1</v>
      </c>
      <c r="F92" s="6"/>
      <c r="G92" s="7" t="str">
        <f t="shared" si="3"/>
        <v/>
      </c>
    </row>
    <row r="93" spans="1:7" ht="56" x14ac:dyDescent="0.2">
      <c r="A93" s="3" t="s">
        <v>239</v>
      </c>
      <c r="B93" s="4" t="s">
        <v>240</v>
      </c>
      <c r="C93" s="4" t="s">
        <v>241</v>
      </c>
      <c r="D93" s="4" t="s">
        <v>11</v>
      </c>
      <c r="E93" s="5">
        <v>1</v>
      </c>
      <c r="F93" s="6"/>
      <c r="G93" s="7" t="str">
        <f t="shared" si="3"/>
        <v/>
      </c>
    </row>
    <row r="94" spans="1:7" ht="56" x14ac:dyDescent="0.2">
      <c r="A94" s="3" t="s">
        <v>242</v>
      </c>
      <c r="B94" s="4" t="s">
        <v>243</v>
      </c>
      <c r="C94" s="4" t="s">
        <v>244</v>
      </c>
      <c r="D94" s="4" t="s">
        <v>11</v>
      </c>
      <c r="E94" s="5">
        <v>1</v>
      </c>
      <c r="F94" s="6"/>
      <c r="G94" s="7" t="str">
        <f t="shared" si="3"/>
        <v/>
      </c>
    </row>
    <row r="95" spans="1:7" ht="98" x14ac:dyDescent="0.2">
      <c r="A95" s="3" t="s">
        <v>245</v>
      </c>
      <c r="B95" s="4" t="s">
        <v>246</v>
      </c>
      <c r="C95" s="4" t="s">
        <v>247</v>
      </c>
      <c r="D95" s="4" t="s">
        <v>11</v>
      </c>
      <c r="E95" s="5">
        <v>1</v>
      </c>
      <c r="F95" s="6"/>
      <c r="G95" s="7" t="str">
        <f t="shared" si="3"/>
        <v/>
      </c>
    </row>
    <row r="96" spans="1:7" ht="56" x14ac:dyDescent="0.2">
      <c r="A96" s="3" t="s">
        <v>248</v>
      </c>
      <c r="B96" s="4" t="s">
        <v>249</v>
      </c>
      <c r="C96" s="4" t="s">
        <v>250</v>
      </c>
      <c r="D96" s="4" t="s">
        <v>11</v>
      </c>
      <c r="E96" s="5">
        <v>1</v>
      </c>
      <c r="F96" s="6"/>
      <c r="G96" s="7" t="str">
        <f t="shared" si="3"/>
        <v/>
      </c>
    </row>
    <row r="97" spans="1:7" ht="70" x14ac:dyDescent="0.2">
      <c r="A97" s="3" t="s">
        <v>251</v>
      </c>
      <c r="B97" s="4" t="s">
        <v>252</v>
      </c>
      <c r="C97" s="4" t="s">
        <v>253</v>
      </c>
      <c r="D97" s="4" t="s">
        <v>58</v>
      </c>
      <c r="E97" s="5">
        <v>9</v>
      </c>
      <c r="F97" s="6"/>
      <c r="G97" s="7" t="str">
        <f t="shared" si="3"/>
        <v/>
      </c>
    </row>
    <row r="98" spans="1:7" ht="28" x14ac:dyDescent="0.2">
      <c r="A98" s="12" t="s">
        <v>254</v>
      </c>
      <c r="B98" s="13" t="s">
        <v>255</v>
      </c>
      <c r="C98" s="13" t="s">
        <v>256</v>
      </c>
      <c r="D98" s="13" t="s">
        <v>194</v>
      </c>
      <c r="E98" s="14" t="s">
        <v>492</v>
      </c>
      <c r="F98" s="14"/>
      <c r="G98" s="14" t="str">
        <f t="shared" si="3"/>
        <v/>
      </c>
    </row>
    <row r="99" spans="1:7" ht="28" x14ac:dyDescent="0.2">
      <c r="A99" s="12" t="s">
        <v>257</v>
      </c>
      <c r="B99" s="13" t="s">
        <v>258</v>
      </c>
      <c r="C99" s="13" t="s">
        <v>259</v>
      </c>
      <c r="D99" s="13" t="s">
        <v>194</v>
      </c>
      <c r="E99" s="14" t="s">
        <v>48</v>
      </c>
      <c r="F99" s="14"/>
      <c r="G99" s="14" t="str">
        <f t="shared" si="3"/>
        <v/>
      </c>
    </row>
    <row r="100" spans="1:7" ht="28" x14ac:dyDescent="0.2">
      <c r="A100" s="12" t="s">
        <v>260</v>
      </c>
      <c r="B100" s="13" t="s">
        <v>261</v>
      </c>
      <c r="C100" s="13" t="s">
        <v>262</v>
      </c>
      <c r="D100" s="13" t="s">
        <v>58</v>
      </c>
      <c r="E100" s="14" t="s">
        <v>486</v>
      </c>
      <c r="F100" s="14"/>
      <c r="G100" s="14" t="str">
        <f t="shared" si="3"/>
        <v/>
      </c>
    </row>
    <row r="101" spans="1:7" ht="28" x14ac:dyDescent="0.2">
      <c r="A101" s="12" t="s">
        <v>263</v>
      </c>
      <c r="B101" s="13" t="s">
        <v>264</v>
      </c>
      <c r="C101" s="13" t="s">
        <v>265</v>
      </c>
      <c r="D101" s="13" t="s">
        <v>194</v>
      </c>
      <c r="E101" s="14" t="s">
        <v>487</v>
      </c>
      <c r="F101" s="14"/>
      <c r="G101" s="14" t="str">
        <f t="shared" si="3"/>
        <v/>
      </c>
    </row>
    <row r="102" spans="1:7" ht="28" x14ac:dyDescent="0.2">
      <c r="A102" s="3" t="s">
        <v>266</v>
      </c>
      <c r="B102" s="4" t="s">
        <v>267</v>
      </c>
      <c r="C102" s="4" t="s">
        <v>268</v>
      </c>
      <c r="D102" s="4" t="s">
        <v>11</v>
      </c>
      <c r="E102" s="5">
        <v>1</v>
      </c>
      <c r="F102" s="6"/>
      <c r="G102" s="7" t="str">
        <f t="shared" si="3"/>
        <v/>
      </c>
    </row>
    <row r="103" spans="1:7" x14ac:dyDescent="0.2">
      <c r="A103" s="17" t="s">
        <v>269</v>
      </c>
      <c r="B103" s="18"/>
      <c r="C103" s="18"/>
      <c r="D103" s="18"/>
      <c r="E103" s="19"/>
      <c r="F103" s="19"/>
      <c r="G103" s="8" t="str">
        <f>IF(COUNT(G88,G89,G90,G91,G92,G93,G94,G95,G96,G97,G98,G99,G100,G101,G102)=0,"",SUM(G88,G89,G90,G91,G92,G93,G94,G95,G96,G97,G98,G99,G100,G101,G102))</f>
        <v/>
      </c>
    </row>
    <row r="104" spans="1:7" x14ac:dyDescent="0.2">
      <c r="A104" s="3"/>
      <c r="B104" s="4"/>
      <c r="C104" s="4"/>
      <c r="D104" s="4"/>
      <c r="E104" s="7"/>
      <c r="F104" s="6"/>
      <c r="G104" s="7"/>
    </row>
    <row r="105" spans="1:7" x14ac:dyDescent="0.2">
      <c r="A105" s="22" t="s">
        <v>270</v>
      </c>
      <c r="B105" s="23"/>
      <c r="C105" s="23"/>
      <c r="D105" s="23"/>
      <c r="E105" s="24"/>
      <c r="F105" s="24"/>
      <c r="G105" s="24"/>
    </row>
    <row r="106" spans="1:7" ht="56" x14ac:dyDescent="0.2">
      <c r="A106" s="12" t="s">
        <v>271</v>
      </c>
      <c r="B106" s="13" t="s">
        <v>272</v>
      </c>
      <c r="C106" s="13" t="s">
        <v>273</v>
      </c>
      <c r="D106" s="13" t="s">
        <v>58</v>
      </c>
      <c r="E106" s="14" t="s">
        <v>48</v>
      </c>
      <c r="F106" s="14"/>
      <c r="G106" s="14" t="str">
        <f t="shared" ref="G106:G125" si="4">IF(AND(ISNUMBER(E106),ISNUMBER(F106)),ROUND(E106*F106,2),"")</f>
        <v/>
      </c>
    </row>
    <row r="107" spans="1:7" ht="42" x14ac:dyDescent="0.2">
      <c r="A107" s="12" t="s">
        <v>274</v>
      </c>
      <c r="B107" s="13" t="s">
        <v>275</v>
      </c>
      <c r="C107" s="13" t="s">
        <v>276</v>
      </c>
      <c r="D107" s="13" t="s">
        <v>58</v>
      </c>
      <c r="E107" s="14" t="s">
        <v>48</v>
      </c>
      <c r="F107" s="14"/>
      <c r="G107" s="14" t="str">
        <f t="shared" si="4"/>
        <v/>
      </c>
    </row>
    <row r="108" spans="1:7" ht="42" x14ac:dyDescent="0.2">
      <c r="A108" s="3" t="s">
        <v>277</v>
      </c>
      <c r="B108" s="4" t="s">
        <v>278</v>
      </c>
      <c r="C108" s="4" t="s">
        <v>279</v>
      </c>
      <c r="D108" s="4" t="s">
        <v>58</v>
      </c>
      <c r="E108" s="5">
        <v>15</v>
      </c>
      <c r="F108" s="6"/>
      <c r="G108" s="7" t="str">
        <f t="shared" si="4"/>
        <v/>
      </c>
    </row>
    <row r="109" spans="1:7" ht="56" x14ac:dyDescent="0.2">
      <c r="A109" s="3" t="s">
        <v>280</v>
      </c>
      <c r="B109" s="4" t="s">
        <v>281</v>
      </c>
      <c r="C109" s="4" t="s">
        <v>282</v>
      </c>
      <c r="D109" s="4" t="s">
        <v>58</v>
      </c>
      <c r="E109" s="5">
        <v>22</v>
      </c>
      <c r="F109" s="6"/>
      <c r="G109" s="7" t="str">
        <f t="shared" si="4"/>
        <v/>
      </c>
    </row>
    <row r="110" spans="1:7" ht="56" x14ac:dyDescent="0.2">
      <c r="A110" s="3" t="s">
        <v>283</v>
      </c>
      <c r="B110" s="4" t="s">
        <v>284</v>
      </c>
      <c r="C110" s="4" t="s">
        <v>285</v>
      </c>
      <c r="D110" s="4" t="s">
        <v>58</v>
      </c>
      <c r="E110" s="5">
        <v>30</v>
      </c>
      <c r="F110" s="6"/>
      <c r="G110" s="7" t="str">
        <f t="shared" si="4"/>
        <v/>
      </c>
    </row>
    <row r="111" spans="1:7" ht="56" x14ac:dyDescent="0.2">
      <c r="A111" s="3" t="s">
        <v>286</v>
      </c>
      <c r="B111" s="4" t="s">
        <v>287</v>
      </c>
      <c r="C111" s="4" t="s">
        <v>288</v>
      </c>
      <c r="D111" s="4" t="s">
        <v>58</v>
      </c>
      <c r="E111" s="5">
        <v>35</v>
      </c>
      <c r="F111" s="6"/>
      <c r="G111" s="7" t="str">
        <f t="shared" si="4"/>
        <v/>
      </c>
    </row>
    <row r="112" spans="1:7" ht="56" x14ac:dyDescent="0.2">
      <c r="A112" s="3" t="s">
        <v>289</v>
      </c>
      <c r="B112" s="4" t="s">
        <v>290</v>
      </c>
      <c r="C112" s="4" t="s">
        <v>291</v>
      </c>
      <c r="D112" s="4" t="s">
        <v>58</v>
      </c>
      <c r="E112" s="5">
        <v>25</v>
      </c>
      <c r="F112" s="6"/>
      <c r="G112" s="7" t="str">
        <f t="shared" si="4"/>
        <v/>
      </c>
    </row>
    <row r="113" spans="1:7" ht="56" x14ac:dyDescent="0.2">
      <c r="A113" s="3" t="s">
        <v>292</v>
      </c>
      <c r="B113" s="4" t="s">
        <v>293</v>
      </c>
      <c r="C113" s="4" t="s">
        <v>294</v>
      </c>
      <c r="D113" s="4" t="s">
        <v>58</v>
      </c>
      <c r="E113" s="5">
        <v>11</v>
      </c>
      <c r="F113" s="6"/>
      <c r="G113" s="7" t="str">
        <f t="shared" si="4"/>
        <v/>
      </c>
    </row>
    <row r="114" spans="1:7" ht="56" x14ac:dyDescent="0.2">
      <c r="A114" s="3" t="s">
        <v>295</v>
      </c>
      <c r="B114" s="4" t="s">
        <v>296</v>
      </c>
      <c r="C114" s="4" t="s">
        <v>297</v>
      </c>
      <c r="D114" s="4" t="s">
        <v>58</v>
      </c>
      <c r="E114" s="5">
        <v>2</v>
      </c>
      <c r="F114" s="6"/>
      <c r="G114" s="7" t="str">
        <f t="shared" si="4"/>
        <v/>
      </c>
    </row>
    <row r="115" spans="1:7" ht="42" x14ac:dyDescent="0.2">
      <c r="A115" s="3" t="s">
        <v>298</v>
      </c>
      <c r="B115" s="4" t="s">
        <v>299</v>
      </c>
      <c r="C115" s="4" t="s">
        <v>300</v>
      </c>
      <c r="D115" s="4" t="s">
        <v>58</v>
      </c>
      <c r="E115" s="5">
        <v>9</v>
      </c>
      <c r="F115" s="6"/>
      <c r="G115" s="7" t="str">
        <f t="shared" si="4"/>
        <v/>
      </c>
    </row>
    <row r="116" spans="1:7" ht="56" x14ac:dyDescent="0.2">
      <c r="A116" s="3" t="s">
        <v>301</v>
      </c>
      <c r="B116" s="4" t="s">
        <v>302</v>
      </c>
      <c r="C116" s="4" t="s">
        <v>303</v>
      </c>
      <c r="D116" s="4" t="s">
        <v>58</v>
      </c>
      <c r="E116" s="5">
        <v>25</v>
      </c>
      <c r="F116" s="6"/>
      <c r="G116" s="7" t="str">
        <f t="shared" si="4"/>
        <v/>
      </c>
    </row>
    <row r="117" spans="1:7" ht="42" x14ac:dyDescent="0.2">
      <c r="A117" s="3" t="s">
        <v>304</v>
      </c>
      <c r="B117" s="4" t="s">
        <v>305</v>
      </c>
      <c r="C117" s="4" t="s">
        <v>306</v>
      </c>
      <c r="D117" s="4" t="s">
        <v>58</v>
      </c>
      <c r="E117" s="5">
        <v>8</v>
      </c>
      <c r="F117" s="6"/>
      <c r="G117" s="7" t="str">
        <f t="shared" si="4"/>
        <v/>
      </c>
    </row>
    <row r="118" spans="1:7" ht="42" x14ac:dyDescent="0.2">
      <c r="A118" s="3" t="s">
        <v>307</v>
      </c>
      <c r="B118" s="4" t="s">
        <v>308</v>
      </c>
      <c r="C118" s="4" t="s">
        <v>309</v>
      </c>
      <c r="D118" s="4" t="s">
        <v>58</v>
      </c>
      <c r="E118" s="5">
        <v>5</v>
      </c>
      <c r="F118" s="6"/>
      <c r="G118" s="7" t="str">
        <f t="shared" si="4"/>
        <v/>
      </c>
    </row>
    <row r="119" spans="1:7" ht="42" x14ac:dyDescent="0.2">
      <c r="A119" s="3" t="s">
        <v>310</v>
      </c>
      <c r="B119" s="4" t="s">
        <v>311</v>
      </c>
      <c r="C119" s="4" t="s">
        <v>312</v>
      </c>
      <c r="D119" s="4" t="s">
        <v>58</v>
      </c>
      <c r="E119" s="5">
        <v>10</v>
      </c>
      <c r="F119" s="6"/>
      <c r="G119" s="7" t="str">
        <f t="shared" si="4"/>
        <v/>
      </c>
    </row>
    <row r="120" spans="1:7" ht="56" x14ac:dyDescent="0.2">
      <c r="A120" s="3" t="s">
        <v>313</v>
      </c>
      <c r="B120" s="4" t="s">
        <v>314</v>
      </c>
      <c r="C120" s="4" t="s">
        <v>315</v>
      </c>
      <c r="D120" s="4" t="s">
        <v>58</v>
      </c>
      <c r="E120" s="5">
        <v>6</v>
      </c>
      <c r="F120" s="6"/>
      <c r="G120" s="7" t="str">
        <f t="shared" si="4"/>
        <v/>
      </c>
    </row>
    <row r="121" spans="1:7" ht="56" x14ac:dyDescent="0.2">
      <c r="A121" s="3" t="s">
        <v>316</v>
      </c>
      <c r="B121" s="4" t="s">
        <v>317</v>
      </c>
      <c r="C121" s="4" t="s">
        <v>318</v>
      </c>
      <c r="D121" s="4" t="s">
        <v>58</v>
      </c>
      <c r="E121" s="5">
        <v>6</v>
      </c>
      <c r="F121" s="6"/>
      <c r="G121" s="7" t="str">
        <f t="shared" si="4"/>
        <v/>
      </c>
    </row>
    <row r="122" spans="1:7" ht="42" x14ac:dyDescent="0.2">
      <c r="A122" s="3" t="s">
        <v>319</v>
      </c>
      <c r="B122" s="4" t="s">
        <v>320</v>
      </c>
      <c r="C122" s="4" t="s">
        <v>321</v>
      </c>
      <c r="D122" s="4" t="s">
        <v>58</v>
      </c>
      <c r="E122" s="5">
        <v>115</v>
      </c>
      <c r="F122" s="6"/>
      <c r="G122" s="7" t="str">
        <f t="shared" si="4"/>
        <v/>
      </c>
    </row>
    <row r="123" spans="1:7" ht="42" x14ac:dyDescent="0.2">
      <c r="A123" s="12" t="s">
        <v>322</v>
      </c>
      <c r="B123" s="13" t="s">
        <v>323</v>
      </c>
      <c r="C123" s="13" t="s">
        <v>324</v>
      </c>
      <c r="D123" s="13" t="s">
        <v>58</v>
      </c>
      <c r="E123" s="14" t="s">
        <v>48</v>
      </c>
      <c r="F123" s="14"/>
      <c r="G123" s="14" t="str">
        <f t="shared" si="4"/>
        <v/>
      </c>
    </row>
    <row r="124" spans="1:7" ht="56" x14ac:dyDescent="0.2">
      <c r="A124" s="3" t="s">
        <v>325</v>
      </c>
      <c r="B124" s="4" t="s">
        <v>326</v>
      </c>
      <c r="C124" s="4" t="s">
        <v>327</v>
      </c>
      <c r="D124" s="4" t="s">
        <v>58</v>
      </c>
      <c r="E124" s="5">
        <v>28</v>
      </c>
      <c r="F124" s="6"/>
      <c r="G124" s="7" t="str">
        <f t="shared" si="4"/>
        <v/>
      </c>
    </row>
    <row r="125" spans="1:7" ht="42" x14ac:dyDescent="0.2">
      <c r="A125" s="3" t="s">
        <v>328</v>
      </c>
      <c r="B125" s="4" t="s">
        <v>329</v>
      </c>
      <c r="C125" s="4" t="s">
        <v>330</v>
      </c>
      <c r="D125" s="4" t="s">
        <v>58</v>
      </c>
      <c r="E125" s="5">
        <v>14</v>
      </c>
      <c r="F125" s="6"/>
      <c r="G125" s="7" t="str">
        <f t="shared" si="4"/>
        <v/>
      </c>
    </row>
    <row r="126" spans="1:7" x14ac:dyDescent="0.2">
      <c r="A126" s="17" t="s">
        <v>331</v>
      </c>
      <c r="B126" s="18"/>
      <c r="C126" s="18"/>
      <c r="D126" s="18"/>
      <c r="E126" s="19"/>
      <c r="F126" s="19"/>
      <c r="G126" s="8" t="str">
        <f>IF(COUNT(G106,G107,G108,G109,G110,G111,G112,G113,G114,G115,G116,G117,G118,G119,G120,G121,G122,G123,G124,G125)=0,"",SUM(G106,G107,G108,G109,G110,G111,G112,G113,G114,G115,G116,G117,G118,G119,G120,G121,G122,G123,G124,G125))</f>
        <v/>
      </c>
    </row>
    <row r="127" spans="1:7" x14ac:dyDescent="0.2">
      <c r="A127" s="3"/>
      <c r="B127" s="4"/>
      <c r="C127" s="4"/>
      <c r="D127" s="4"/>
      <c r="E127" s="7"/>
      <c r="F127" s="6"/>
      <c r="G127" s="7"/>
    </row>
    <row r="128" spans="1:7" x14ac:dyDescent="0.2">
      <c r="A128" s="22" t="s">
        <v>332</v>
      </c>
      <c r="B128" s="23"/>
      <c r="C128" s="23"/>
      <c r="D128" s="23"/>
      <c r="E128" s="24"/>
      <c r="F128" s="24"/>
      <c r="G128" s="24"/>
    </row>
    <row r="129" spans="1:7" ht="82" customHeight="1" x14ac:dyDescent="0.2">
      <c r="A129" s="12" t="s">
        <v>333</v>
      </c>
      <c r="B129" s="13" t="s">
        <v>334</v>
      </c>
      <c r="C129" s="13" t="s">
        <v>335</v>
      </c>
      <c r="D129" s="13" t="s">
        <v>58</v>
      </c>
      <c r="E129" s="14" t="s">
        <v>491</v>
      </c>
      <c r="F129" s="14"/>
      <c r="G129" s="14" t="str">
        <f>IF(AND(ISNUMBER(E129),ISNUMBER(F129)),ROUND(E129*F129,2),"")</f>
        <v/>
      </c>
    </row>
    <row r="130" spans="1:7" ht="42" x14ac:dyDescent="0.2">
      <c r="A130" s="3" t="s">
        <v>337</v>
      </c>
      <c r="B130" s="4" t="s">
        <v>338</v>
      </c>
      <c r="C130" s="4" t="s">
        <v>339</v>
      </c>
      <c r="D130" s="4" t="s">
        <v>11</v>
      </c>
      <c r="E130" s="5">
        <v>1</v>
      </c>
      <c r="F130" s="6"/>
      <c r="G130" s="7" t="str">
        <f>IF(AND(ISNUMBER(E130),ISNUMBER(F130)),ROUND(E130*F130,2),"")</f>
        <v/>
      </c>
    </row>
    <row r="131" spans="1:7" ht="42" x14ac:dyDescent="0.2">
      <c r="A131" s="12" t="s">
        <v>340</v>
      </c>
      <c r="B131" s="13" t="s">
        <v>341</v>
      </c>
      <c r="C131" s="13" t="s">
        <v>342</v>
      </c>
      <c r="D131" s="13" t="s">
        <v>58</v>
      </c>
      <c r="E131" s="14" t="s">
        <v>48</v>
      </c>
      <c r="F131" s="14"/>
      <c r="G131" s="14" t="str">
        <f>IF(AND(ISNUMBER(E131),ISNUMBER(F131)),ROUND(E131*F131,2),"")</f>
        <v/>
      </c>
    </row>
    <row r="132" spans="1:7" x14ac:dyDescent="0.2">
      <c r="A132" s="17" t="s">
        <v>343</v>
      </c>
      <c r="B132" s="18"/>
      <c r="C132" s="18"/>
      <c r="D132" s="18"/>
      <c r="E132" s="19"/>
      <c r="F132" s="19"/>
      <c r="G132" s="8" t="str">
        <f>IF(COUNT(G129,#REF!,G130,G131)=0,"",SUM(G129,#REF!,G130,G131))</f>
        <v/>
      </c>
    </row>
    <row r="133" spans="1:7" x14ac:dyDescent="0.2">
      <c r="A133" s="3"/>
      <c r="B133" s="4"/>
      <c r="C133" s="4"/>
      <c r="D133" s="4"/>
      <c r="E133" s="7"/>
      <c r="F133" s="6"/>
      <c r="G133" s="7"/>
    </row>
    <row r="134" spans="1:7" x14ac:dyDescent="0.2">
      <c r="A134" s="22" t="s">
        <v>344</v>
      </c>
      <c r="B134" s="23"/>
      <c r="C134" s="23"/>
      <c r="D134" s="23"/>
      <c r="E134" s="24"/>
      <c r="F134" s="24"/>
      <c r="G134" s="24"/>
    </row>
    <row r="135" spans="1:7" ht="161" customHeight="1" x14ac:dyDescent="0.2">
      <c r="A135" s="3" t="s">
        <v>345</v>
      </c>
      <c r="B135" s="4" t="s">
        <v>346</v>
      </c>
      <c r="C135" s="4" t="s">
        <v>347</v>
      </c>
      <c r="D135" s="4" t="s">
        <v>38</v>
      </c>
      <c r="E135" s="5">
        <v>64</v>
      </c>
      <c r="F135" s="6"/>
      <c r="G135" s="7" t="str">
        <f>IF(AND(ISNUMBER(E135),ISNUMBER(F135)),ROUND(E135*F135,2),"")</f>
        <v/>
      </c>
    </row>
    <row r="136" spans="1:7" ht="91" customHeight="1" x14ac:dyDescent="0.2">
      <c r="A136" s="3" t="s">
        <v>348</v>
      </c>
      <c r="B136" s="4" t="s">
        <v>349</v>
      </c>
      <c r="C136" s="4" t="s">
        <v>350</v>
      </c>
      <c r="D136" s="4" t="s">
        <v>38</v>
      </c>
      <c r="E136" s="5">
        <v>17</v>
      </c>
      <c r="F136" s="6"/>
      <c r="G136" s="7" t="str">
        <f>IF(AND(ISNUMBER(E136),ISNUMBER(F136)),ROUND(E136*F136,2),"")</f>
        <v/>
      </c>
    </row>
    <row r="137" spans="1:7" ht="111" customHeight="1" x14ac:dyDescent="0.2">
      <c r="A137" s="3" t="s">
        <v>351</v>
      </c>
      <c r="B137" s="4" t="s">
        <v>352</v>
      </c>
      <c r="C137" s="4" t="s">
        <v>353</v>
      </c>
      <c r="D137" s="4" t="s">
        <v>38</v>
      </c>
      <c r="E137" s="5">
        <v>52</v>
      </c>
      <c r="F137" s="6"/>
      <c r="G137" s="7" t="str">
        <f>IF(AND(ISNUMBER(E137),ISNUMBER(F137)),ROUND(E137*F137,2),"")</f>
        <v/>
      </c>
    </row>
    <row r="138" spans="1:7" ht="86" customHeight="1" x14ac:dyDescent="0.2">
      <c r="A138" s="3" t="s">
        <v>354</v>
      </c>
      <c r="B138" s="4" t="s">
        <v>355</v>
      </c>
      <c r="C138" s="4" t="s">
        <v>356</v>
      </c>
      <c r="D138" s="4" t="s">
        <v>38</v>
      </c>
      <c r="E138" s="7">
        <f>'[1]חישובי כמויות'!G32</f>
        <v>33.299999999999997</v>
      </c>
      <c r="F138" s="6"/>
      <c r="G138" s="7" t="str">
        <f>IF(AND(ISNUMBER(E138),ISNUMBER(F138)),ROUND(E138*F138,2),"")</f>
        <v/>
      </c>
    </row>
    <row r="139" spans="1:7" x14ac:dyDescent="0.2">
      <c r="A139" s="17" t="s">
        <v>357</v>
      </c>
      <c r="B139" s="18"/>
      <c r="C139" s="18"/>
      <c r="D139" s="18"/>
      <c r="E139" s="19"/>
      <c r="F139" s="19"/>
      <c r="G139" s="8" t="str">
        <f>IF(COUNT(G135,G136,G137,G138)=0,"",SUM(G135,G136,G137,G138))</f>
        <v/>
      </c>
    </row>
    <row r="140" spans="1:7" x14ac:dyDescent="0.2">
      <c r="A140" s="3"/>
      <c r="B140" s="4"/>
      <c r="C140" s="4"/>
      <c r="D140" s="4"/>
      <c r="E140" s="7"/>
      <c r="F140" s="6"/>
      <c r="G140" s="7"/>
    </row>
    <row r="141" spans="1:7" x14ac:dyDescent="0.2">
      <c r="A141" s="22" t="s">
        <v>358</v>
      </c>
      <c r="B141" s="23"/>
      <c r="C141" s="23"/>
      <c r="D141" s="23"/>
      <c r="E141" s="24"/>
      <c r="F141" s="24"/>
      <c r="G141" s="24"/>
    </row>
    <row r="142" spans="1:7" ht="113" customHeight="1" x14ac:dyDescent="0.2">
      <c r="A142" s="3" t="s">
        <v>359</v>
      </c>
      <c r="B142" s="4" t="s">
        <v>360</v>
      </c>
      <c r="C142" s="4" t="s">
        <v>361</v>
      </c>
      <c r="D142" s="4" t="s">
        <v>38</v>
      </c>
      <c r="E142" s="5">
        <v>40</v>
      </c>
      <c r="F142" s="6"/>
      <c r="G142" s="7" t="str">
        <f>IF(AND(ISNUMBER(E142),ISNUMBER(F142)),ROUND(E142*F142,2),"")</f>
        <v/>
      </c>
    </row>
    <row r="143" spans="1:7" ht="84" customHeight="1" x14ac:dyDescent="0.2">
      <c r="A143" s="3" t="s">
        <v>362</v>
      </c>
      <c r="B143" s="4" t="s">
        <v>363</v>
      </c>
      <c r="C143" s="4" t="s">
        <v>364</v>
      </c>
      <c r="D143" s="4" t="s">
        <v>38</v>
      </c>
      <c r="E143" s="5">
        <v>186</v>
      </c>
      <c r="F143" s="6"/>
      <c r="G143" s="7" t="str">
        <f>IF(AND(ISNUMBER(E143),ISNUMBER(F143)),ROUND(E143*F143,2),"")</f>
        <v/>
      </c>
    </row>
    <row r="144" spans="1:7" ht="46" customHeight="1" x14ac:dyDescent="0.2">
      <c r="A144" s="3" t="s">
        <v>365</v>
      </c>
      <c r="B144" s="4" t="s">
        <v>366</v>
      </c>
      <c r="C144" s="4" t="s">
        <v>367</v>
      </c>
      <c r="D144" s="4" t="s">
        <v>11</v>
      </c>
      <c r="E144" s="5">
        <v>5</v>
      </c>
      <c r="F144" s="6"/>
      <c r="G144" s="7" t="str">
        <f>IF(AND(ISNUMBER(E144),ISNUMBER(F144)),ROUND(E144*F144,2),"")</f>
        <v/>
      </c>
    </row>
    <row r="145" spans="1:7" ht="62" customHeight="1" x14ac:dyDescent="0.2">
      <c r="A145" s="3" t="s">
        <v>368</v>
      </c>
      <c r="B145" s="4" t="s">
        <v>369</v>
      </c>
      <c r="C145" s="4" t="s">
        <v>370</v>
      </c>
      <c r="D145" s="4" t="s">
        <v>38</v>
      </c>
      <c r="E145" s="5">
        <f>'[1]חישובי כמויות'!G36</f>
        <v>52.7</v>
      </c>
      <c r="F145" s="6"/>
      <c r="G145" s="7" t="str">
        <f>IF(AND(ISNUMBER(E145),ISNUMBER(F145)),ROUND(E145*F145,2),"")</f>
        <v/>
      </c>
    </row>
    <row r="146" spans="1:7" ht="33" customHeight="1" x14ac:dyDescent="0.2">
      <c r="A146" s="17" t="s">
        <v>371</v>
      </c>
      <c r="B146" s="18"/>
      <c r="C146" s="18"/>
      <c r="D146" s="18"/>
      <c r="E146" s="19"/>
      <c r="F146" s="19"/>
      <c r="G146" s="8" t="str">
        <f>IF(COUNT(G142,G143,G144,G145)=0,"",SUM(G142,G143,G144,G145))</f>
        <v/>
      </c>
    </row>
    <row r="147" spans="1:7" ht="33" customHeight="1" x14ac:dyDescent="0.2">
      <c r="A147" s="3"/>
      <c r="B147" s="4"/>
      <c r="C147" s="4"/>
      <c r="D147" s="4"/>
      <c r="E147" s="7"/>
      <c r="F147" s="6"/>
      <c r="G147" s="7"/>
    </row>
    <row r="148" spans="1:7" x14ac:dyDescent="0.2">
      <c r="A148" s="22" t="s">
        <v>372</v>
      </c>
      <c r="B148" s="23"/>
      <c r="C148" s="23"/>
      <c r="D148" s="23"/>
      <c r="E148" s="24"/>
      <c r="F148" s="24"/>
      <c r="G148" s="24"/>
    </row>
    <row r="149" spans="1:7" ht="70" x14ac:dyDescent="0.2">
      <c r="A149" s="3" t="s">
        <v>373</v>
      </c>
      <c r="B149" s="4" t="s">
        <v>374</v>
      </c>
      <c r="C149" s="4" t="s">
        <v>375</v>
      </c>
      <c r="D149" s="4" t="s">
        <v>336</v>
      </c>
      <c r="E149" s="10">
        <v>33.229999999999997</v>
      </c>
      <c r="F149" s="6"/>
      <c r="G149" s="7" t="str">
        <f>IF(AND(ISNUMBER(E149),ISNUMBER(F149)),ROUND(E149*F149,2),"")</f>
        <v/>
      </c>
    </row>
    <row r="150" spans="1:7" ht="56" x14ac:dyDescent="0.2">
      <c r="A150" s="3" t="s">
        <v>376</v>
      </c>
      <c r="B150" s="4" t="s">
        <v>377</v>
      </c>
      <c r="C150" s="4" t="s">
        <v>378</v>
      </c>
      <c r="D150" s="4" t="s">
        <v>336</v>
      </c>
      <c r="E150" s="10">
        <v>35</v>
      </c>
      <c r="F150" s="6"/>
      <c r="G150" s="7" t="str">
        <f>IF(AND(ISNUMBER(E150),ISNUMBER(F150)),ROUND(E150*F150,2),"")</f>
        <v/>
      </c>
    </row>
    <row r="151" spans="1:7" ht="42" x14ac:dyDescent="0.2">
      <c r="A151" s="3" t="s">
        <v>379</v>
      </c>
      <c r="B151" s="4" t="s">
        <v>380</v>
      </c>
      <c r="C151" s="4" t="s">
        <v>381</v>
      </c>
      <c r="D151" s="4" t="s">
        <v>336</v>
      </c>
      <c r="E151" s="10">
        <v>19</v>
      </c>
      <c r="F151" s="6"/>
      <c r="G151" s="7" t="str">
        <f>IF(AND(ISNUMBER(E151),ISNUMBER(F151)),ROUND(E151*F151,2),"")</f>
        <v/>
      </c>
    </row>
    <row r="152" spans="1:7" ht="99" customHeight="1" x14ac:dyDescent="0.2">
      <c r="A152" s="3" t="s">
        <v>382</v>
      </c>
      <c r="B152" s="4" t="s">
        <v>383</v>
      </c>
      <c r="C152" s="4" t="s">
        <v>384</v>
      </c>
      <c r="D152" s="4" t="s">
        <v>336</v>
      </c>
      <c r="E152" s="10">
        <v>125.62</v>
      </c>
      <c r="F152" s="6"/>
      <c r="G152" s="7" t="str">
        <f>IF(AND(ISNUMBER(E152),ISNUMBER(F152)),ROUND(E152*F152,2),"")</f>
        <v/>
      </c>
    </row>
    <row r="153" spans="1:7" x14ac:dyDescent="0.2">
      <c r="A153" s="17" t="s">
        <v>385</v>
      </c>
      <c r="B153" s="18"/>
      <c r="C153" s="18"/>
      <c r="D153" s="18"/>
      <c r="E153" s="19"/>
      <c r="F153" s="19"/>
      <c r="G153" s="8" t="str">
        <f>IF(COUNT(G149,G150,G151,G152)=0,"",SUM(G149,G150,G151,G152))</f>
        <v/>
      </c>
    </row>
    <row r="154" spans="1:7" x14ac:dyDescent="0.2">
      <c r="A154" s="3"/>
      <c r="B154" s="4"/>
      <c r="C154" s="4"/>
      <c r="D154" s="4"/>
      <c r="E154" s="7"/>
      <c r="F154" s="6"/>
      <c r="G154" s="7"/>
    </row>
    <row r="155" spans="1:7" x14ac:dyDescent="0.2">
      <c r="A155" s="22" t="s">
        <v>386</v>
      </c>
      <c r="B155" s="23"/>
      <c r="C155" s="23"/>
      <c r="D155" s="23"/>
      <c r="E155" s="24"/>
      <c r="F155" s="24"/>
      <c r="G155" s="24"/>
    </row>
    <row r="156" spans="1:7" ht="73" customHeight="1" x14ac:dyDescent="0.2">
      <c r="A156" s="3" t="s">
        <v>387</v>
      </c>
      <c r="B156" s="4" t="s">
        <v>388</v>
      </c>
      <c r="C156" s="4" t="s">
        <v>389</v>
      </c>
      <c r="D156" s="4" t="s">
        <v>38</v>
      </c>
      <c r="E156" s="5">
        <v>219.9</v>
      </c>
      <c r="F156" s="6"/>
      <c r="G156" s="7" t="str">
        <f t="shared" ref="G156:G161" si="5">IF(AND(ISNUMBER(E156),ISNUMBER(F156)),ROUND(E156*F156,2),"")</f>
        <v/>
      </c>
    </row>
    <row r="157" spans="1:7" ht="95" customHeight="1" x14ac:dyDescent="0.2">
      <c r="A157" s="3" t="s">
        <v>390</v>
      </c>
      <c r="B157" s="4" t="s">
        <v>391</v>
      </c>
      <c r="C157" s="4" t="s">
        <v>392</v>
      </c>
      <c r="D157" s="4" t="s">
        <v>38</v>
      </c>
      <c r="E157" s="5">
        <v>105</v>
      </c>
      <c r="F157" s="6"/>
      <c r="G157" s="7" t="str">
        <f t="shared" si="5"/>
        <v/>
      </c>
    </row>
    <row r="158" spans="1:7" ht="89" customHeight="1" x14ac:dyDescent="0.2">
      <c r="A158" s="3" t="s">
        <v>393</v>
      </c>
      <c r="B158" s="4" t="s">
        <v>394</v>
      </c>
      <c r="C158" s="4" t="s">
        <v>395</v>
      </c>
      <c r="D158" s="4" t="s">
        <v>38</v>
      </c>
      <c r="E158" s="5">
        <v>121.2</v>
      </c>
      <c r="F158" s="6"/>
      <c r="G158" s="7" t="str">
        <f t="shared" si="5"/>
        <v/>
      </c>
    </row>
    <row r="159" spans="1:7" ht="83" customHeight="1" x14ac:dyDescent="0.2">
      <c r="A159" s="3" t="s">
        <v>396</v>
      </c>
      <c r="B159" s="4" t="s">
        <v>397</v>
      </c>
      <c r="C159" s="4" t="s">
        <v>398</v>
      </c>
      <c r="D159" s="4" t="s">
        <v>399</v>
      </c>
      <c r="E159" s="5">
        <v>285</v>
      </c>
      <c r="F159" s="6"/>
      <c r="G159" s="7" t="str">
        <f t="shared" si="5"/>
        <v/>
      </c>
    </row>
    <row r="160" spans="1:7" ht="120" customHeight="1" thickBot="1" x14ac:dyDescent="0.25">
      <c r="A160" s="3" t="s">
        <v>400</v>
      </c>
      <c r="B160" s="4" t="s">
        <v>401</v>
      </c>
      <c r="C160" s="4" t="s">
        <v>402</v>
      </c>
      <c r="D160" s="4" t="s">
        <v>38</v>
      </c>
      <c r="E160" s="5">
        <v>263.7</v>
      </c>
      <c r="F160" s="6"/>
      <c r="G160" s="7" t="str">
        <f t="shared" si="5"/>
        <v/>
      </c>
    </row>
    <row r="161" spans="1:9" ht="65" customHeight="1" thickBot="1" x14ac:dyDescent="0.25">
      <c r="A161" s="3" t="s">
        <v>403</v>
      </c>
      <c r="B161" s="4" t="s">
        <v>404</v>
      </c>
      <c r="C161" s="4" t="s">
        <v>405</v>
      </c>
      <c r="D161" s="4" t="s">
        <v>336</v>
      </c>
      <c r="E161" s="10">
        <v>50</v>
      </c>
      <c r="F161" s="6"/>
      <c r="G161" s="29" t="str">
        <f t="shared" si="5"/>
        <v/>
      </c>
      <c r="H161" s="30" t="s">
        <v>493</v>
      </c>
      <c r="I161" s="31"/>
    </row>
    <row r="162" spans="1:9" x14ac:dyDescent="0.2">
      <c r="A162" s="17" t="s">
        <v>406</v>
      </c>
      <c r="B162" s="18"/>
      <c r="C162" s="18"/>
      <c r="D162" s="18"/>
      <c r="E162" s="19"/>
      <c r="F162" s="19"/>
      <c r="G162" s="8" t="str">
        <f>IF(COUNT(G156,G157,G158,G159,G160,G161,#REF!)=0,"",SUM(G156,G157,G158,G159,G160,G161,#REF!))</f>
        <v/>
      </c>
    </row>
    <row r="163" spans="1:9" x14ac:dyDescent="0.2">
      <c r="A163" s="3"/>
      <c r="B163" s="4"/>
      <c r="C163" s="4"/>
      <c r="D163" s="4"/>
      <c r="E163" s="7"/>
      <c r="F163" s="6"/>
      <c r="G163" s="7"/>
    </row>
    <row r="164" spans="1:9" x14ac:dyDescent="0.2">
      <c r="A164" s="22" t="s">
        <v>407</v>
      </c>
      <c r="B164" s="23"/>
      <c r="C164" s="23"/>
      <c r="D164" s="23"/>
      <c r="E164" s="24"/>
      <c r="F164" s="24"/>
      <c r="G164" s="24"/>
    </row>
    <row r="165" spans="1:9" ht="102" customHeight="1" x14ac:dyDescent="0.2">
      <c r="A165" s="3" t="s">
        <v>408</v>
      </c>
      <c r="B165" s="4" t="s">
        <v>409</v>
      </c>
      <c r="C165" s="4" t="s">
        <v>410</v>
      </c>
      <c r="D165" s="4" t="s">
        <v>38</v>
      </c>
      <c r="E165" s="5">
        <v>225</v>
      </c>
      <c r="F165" s="6"/>
      <c r="G165" s="7" t="str">
        <f>IF(AND(ISNUMBER(E165),ISNUMBER(F165)),ROUND(E165*F165,2),"")</f>
        <v/>
      </c>
    </row>
    <row r="166" spans="1:9" ht="49" customHeight="1" x14ac:dyDescent="0.2">
      <c r="A166" s="3" t="s">
        <v>411</v>
      </c>
      <c r="B166" s="4" t="s">
        <v>412</v>
      </c>
      <c r="C166" s="4" t="s">
        <v>413</v>
      </c>
      <c r="D166" s="4" t="s">
        <v>11</v>
      </c>
      <c r="E166" s="10">
        <v>1</v>
      </c>
      <c r="F166" s="6"/>
      <c r="G166" s="7" t="str">
        <f>IF(AND(ISNUMBER(E166),ISNUMBER(F166)),ROUND(E166*F166,2),"")</f>
        <v/>
      </c>
    </row>
    <row r="167" spans="1:9" ht="88" customHeight="1" x14ac:dyDescent="0.2">
      <c r="A167" s="3" t="s">
        <v>414</v>
      </c>
      <c r="B167" s="4" t="s">
        <v>415</v>
      </c>
      <c r="C167" s="4" t="s">
        <v>416</v>
      </c>
      <c r="D167" s="4" t="s">
        <v>11</v>
      </c>
      <c r="E167" s="5">
        <v>1</v>
      </c>
      <c r="F167" s="6"/>
      <c r="G167" s="7" t="str">
        <f>IF(AND(ISNUMBER(E167),ISNUMBER(F167)),ROUND(E167*F167,2),"")</f>
        <v/>
      </c>
    </row>
    <row r="168" spans="1:9" x14ac:dyDescent="0.2">
      <c r="A168" s="17" t="s">
        <v>417</v>
      </c>
      <c r="B168" s="18"/>
      <c r="C168" s="18"/>
      <c r="D168" s="18"/>
      <c r="E168" s="19"/>
      <c r="F168" s="19"/>
      <c r="G168" s="8" t="str">
        <f>IF(COUNT(G165,G166,G167)=0,"",SUM(G165,G166,G167))</f>
        <v/>
      </c>
    </row>
    <row r="169" spans="1:9" x14ac:dyDescent="0.2">
      <c r="A169" s="3"/>
      <c r="B169" s="4"/>
      <c r="C169" s="4"/>
      <c r="D169" s="4"/>
      <c r="E169" s="7"/>
      <c r="F169" s="6"/>
      <c r="G169" s="7"/>
    </row>
    <row r="170" spans="1:9" x14ac:dyDescent="0.2">
      <c r="A170" s="22" t="s">
        <v>418</v>
      </c>
      <c r="B170" s="23"/>
      <c r="C170" s="23"/>
      <c r="D170" s="23"/>
      <c r="E170" s="24"/>
      <c r="F170" s="24"/>
      <c r="G170" s="24"/>
    </row>
    <row r="171" spans="1:9" ht="98" customHeight="1" x14ac:dyDescent="0.2">
      <c r="A171" s="3" t="s">
        <v>419</v>
      </c>
      <c r="B171" s="4" t="s">
        <v>420</v>
      </c>
      <c r="C171" s="4" t="s">
        <v>421</v>
      </c>
      <c r="D171" s="4" t="s">
        <v>11</v>
      </c>
      <c r="E171" s="5">
        <v>1</v>
      </c>
      <c r="F171" s="6"/>
      <c r="G171" s="7" t="str">
        <f>IF(AND(ISNUMBER(E171),ISNUMBER(F171)),ROUND(E171*F171,2),"")</f>
        <v/>
      </c>
    </row>
    <row r="172" spans="1:9" ht="120" customHeight="1" x14ac:dyDescent="0.2">
      <c r="A172" s="3" t="s">
        <v>422</v>
      </c>
      <c r="B172" s="4" t="s">
        <v>423</v>
      </c>
      <c r="C172" s="4" t="s">
        <v>421</v>
      </c>
      <c r="D172" s="4" t="s">
        <v>11</v>
      </c>
      <c r="E172" s="5">
        <v>1</v>
      </c>
      <c r="F172" s="6"/>
      <c r="G172" s="7" t="str">
        <f>IF(AND(ISNUMBER(E172),ISNUMBER(F172)),ROUND(E172*F172,2),"")</f>
        <v/>
      </c>
    </row>
    <row r="173" spans="1:9" ht="133" customHeight="1" x14ac:dyDescent="0.2">
      <c r="A173" s="3" t="s">
        <v>424</v>
      </c>
      <c r="B173" s="4" t="s">
        <v>425</v>
      </c>
      <c r="C173" s="4" t="s">
        <v>421</v>
      </c>
      <c r="D173" s="4" t="s">
        <v>11</v>
      </c>
      <c r="E173" s="5">
        <v>1</v>
      </c>
      <c r="F173" s="6"/>
      <c r="G173" s="7" t="str">
        <f>IF(AND(ISNUMBER(E173),ISNUMBER(F173)),ROUND(E173*F173,2),"")</f>
        <v/>
      </c>
    </row>
    <row r="174" spans="1:9" x14ac:dyDescent="0.2">
      <c r="A174" s="17" t="s">
        <v>426</v>
      </c>
      <c r="B174" s="18"/>
      <c r="C174" s="18"/>
      <c r="D174" s="18"/>
      <c r="E174" s="19"/>
      <c r="F174" s="19"/>
      <c r="G174" s="8" t="str">
        <f>IF(COUNT(G171,G172,G173)=0,"",SUM(G171,G172,G173))</f>
        <v/>
      </c>
    </row>
    <row r="175" spans="1:9" x14ac:dyDescent="0.2">
      <c r="A175" s="3"/>
      <c r="B175" s="4"/>
      <c r="C175" s="4"/>
      <c r="D175" s="4"/>
      <c r="E175" s="7"/>
      <c r="F175" s="6"/>
      <c r="G175" s="7"/>
    </row>
    <row r="176" spans="1:9" x14ac:dyDescent="0.2">
      <c r="A176" s="22" t="s">
        <v>427</v>
      </c>
      <c r="B176" s="23"/>
      <c r="C176" s="23"/>
      <c r="D176" s="23"/>
      <c r="E176" s="24"/>
      <c r="F176" s="24"/>
      <c r="G176" s="24"/>
    </row>
    <row r="177" spans="1:11" ht="96" customHeight="1" x14ac:dyDescent="0.2">
      <c r="A177" s="3" t="s">
        <v>428</v>
      </c>
      <c r="B177" s="4" t="s">
        <v>429</v>
      </c>
      <c r="C177" s="4" t="s">
        <v>430</v>
      </c>
      <c r="D177" s="4" t="s">
        <v>58</v>
      </c>
      <c r="E177" s="5">
        <v>26</v>
      </c>
      <c r="F177" s="6"/>
      <c r="G177" s="7" t="str">
        <f t="shared" ref="G177:G184" si="6">IF(AND(ISNUMBER(E177),ISNUMBER(F177)),ROUND(E177*F177,2),"")</f>
        <v/>
      </c>
    </row>
    <row r="178" spans="1:11" ht="59" customHeight="1" x14ac:dyDescent="0.2">
      <c r="A178" s="3" t="s">
        <v>431</v>
      </c>
      <c r="B178" s="4" t="s">
        <v>489</v>
      </c>
      <c r="C178" s="4" t="s">
        <v>488</v>
      </c>
      <c r="D178" s="4" t="s">
        <v>58</v>
      </c>
      <c r="E178" s="5">
        <v>10</v>
      </c>
      <c r="F178" s="6"/>
      <c r="G178" s="7" t="str">
        <f t="shared" si="6"/>
        <v/>
      </c>
    </row>
    <row r="179" spans="1:11" ht="63" customHeight="1" x14ac:dyDescent="0.2">
      <c r="A179" s="3" t="s">
        <v>432</v>
      </c>
      <c r="B179" s="4" t="s">
        <v>433</v>
      </c>
      <c r="C179" s="4" t="s">
        <v>434</v>
      </c>
      <c r="D179" s="4" t="s">
        <v>58</v>
      </c>
      <c r="E179" s="5">
        <v>3</v>
      </c>
      <c r="F179" s="6"/>
      <c r="G179" s="7" t="str">
        <f t="shared" si="6"/>
        <v/>
      </c>
    </row>
    <row r="180" spans="1:11" ht="104" customHeight="1" x14ac:dyDescent="0.2">
      <c r="A180" s="3" t="s">
        <v>435</v>
      </c>
      <c r="B180" s="4" t="s">
        <v>436</v>
      </c>
      <c r="C180" s="4" t="s">
        <v>437</v>
      </c>
      <c r="D180" s="4" t="s">
        <v>58</v>
      </c>
      <c r="E180" s="5">
        <v>1</v>
      </c>
      <c r="F180" s="6"/>
      <c r="G180" s="7" t="str">
        <f t="shared" si="6"/>
        <v/>
      </c>
    </row>
    <row r="181" spans="1:11" ht="72" customHeight="1" x14ac:dyDescent="0.2">
      <c r="A181" s="3" t="s">
        <v>438</v>
      </c>
      <c r="B181" s="4" t="s">
        <v>439</v>
      </c>
      <c r="C181" s="4" t="s">
        <v>440</v>
      </c>
      <c r="D181" s="4" t="s">
        <v>11</v>
      </c>
      <c r="E181" s="5">
        <v>1</v>
      </c>
      <c r="F181" s="6"/>
      <c r="G181" s="7" t="str">
        <f t="shared" si="6"/>
        <v/>
      </c>
    </row>
    <row r="182" spans="1:11" ht="71" customHeight="1" x14ac:dyDescent="0.2">
      <c r="A182" s="3" t="s">
        <v>441</v>
      </c>
      <c r="B182" s="4" t="s">
        <v>442</v>
      </c>
      <c r="C182" s="4" t="s">
        <v>443</v>
      </c>
      <c r="D182" s="4" t="s">
        <v>11</v>
      </c>
      <c r="E182" s="5">
        <v>1</v>
      </c>
      <c r="F182" s="6"/>
      <c r="G182" s="7" t="str">
        <f t="shared" si="6"/>
        <v/>
      </c>
    </row>
    <row r="183" spans="1:11" ht="89" customHeight="1" x14ac:dyDescent="0.2">
      <c r="A183" s="3" t="s">
        <v>444</v>
      </c>
      <c r="B183" s="4" t="s">
        <v>445</v>
      </c>
      <c r="C183" s="4" t="s">
        <v>446</v>
      </c>
      <c r="D183" s="4" t="s">
        <v>11</v>
      </c>
      <c r="E183" s="5">
        <v>1</v>
      </c>
      <c r="F183" s="6"/>
      <c r="G183" s="7" t="str">
        <f t="shared" si="6"/>
        <v/>
      </c>
    </row>
    <row r="184" spans="1:11" ht="74" customHeight="1" x14ac:dyDescent="0.2">
      <c r="A184" s="12" t="s">
        <v>447</v>
      </c>
      <c r="B184" s="13" t="s">
        <v>448</v>
      </c>
      <c r="C184" s="13" t="s">
        <v>449</v>
      </c>
      <c r="D184" s="13" t="s">
        <v>58</v>
      </c>
      <c r="E184" s="14">
        <v>18</v>
      </c>
      <c r="F184" s="14"/>
      <c r="G184" s="14" t="str">
        <f t="shared" si="6"/>
        <v/>
      </c>
      <c r="H184" s="15" t="s">
        <v>490</v>
      </c>
      <c r="I184" s="16"/>
      <c r="J184" s="16"/>
      <c r="K184" s="16"/>
    </row>
    <row r="185" spans="1:11" x14ac:dyDescent="0.2">
      <c r="A185" s="17" t="s">
        <v>450</v>
      </c>
      <c r="B185" s="18"/>
      <c r="C185" s="18"/>
      <c r="D185" s="18"/>
      <c r="E185" s="19"/>
      <c r="F185" s="19"/>
      <c r="G185" s="8" t="str">
        <f>IF(COUNT(G177,G178,G179,G180,G181,G182,G183,#REF!,G184)=0,"",SUM(G177,G178,G179,G180,G181,G182,G183,#REF!,G184))</f>
        <v/>
      </c>
    </row>
    <row r="186" spans="1:11" x14ac:dyDescent="0.2">
      <c r="A186" s="3"/>
      <c r="B186" s="4"/>
      <c r="C186" s="4"/>
      <c r="D186" s="4"/>
      <c r="E186" s="7"/>
      <c r="F186" s="6"/>
      <c r="G186" s="7"/>
    </row>
    <row r="187" spans="1:11" x14ac:dyDescent="0.2">
      <c r="A187" s="22" t="s">
        <v>451</v>
      </c>
      <c r="B187" s="23"/>
      <c r="C187" s="23"/>
      <c r="D187" s="23"/>
      <c r="E187" s="24"/>
      <c r="F187" s="24"/>
      <c r="G187" s="24"/>
    </row>
    <row r="188" spans="1:11" ht="105" customHeight="1" x14ac:dyDescent="0.2">
      <c r="A188" s="3" t="s">
        <v>452</v>
      </c>
      <c r="B188" s="4" t="s">
        <v>453</v>
      </c>
      <c r="C188" s="4" t="s">
        <v>454</v>
      </c>
      <c r="D188" s="4" t="s">
        <v>38</v>
      </c>
      <c r="E188" s="10">
        <v>65</v>
      </c>
      <c r="F188" s="6"/>
      <c r="G188" s="7" t="str">
        <f>IF(AND(ISNUMBER(E188),ISNUMBER(F188)),ROUND(E188*F188,2),"")</f>
        <v/>
      </c>
    </row>
    <row r="189" spans="1:11" ht="86" customHeight="1" x14ac:dyDescent="0.2">
      <c r="A189" s="3" t="s">
        <v>455</v>
      </c>
      <c r="B189" s="4" t="s">
        <v>456</v>
      </c>
      <c r="C189" s="4" t="s">
        <v>457</v>
      </c>
      <c r="D189" s="4" t="s">
        <v>11</v>
      </c>
      <c r="E189" s="10">
        <v>1</v>
      </c>
      <c r="F189" s="6"/>
      <c r="G189" s="7" t="str">
        <f>IF(AND(ISNUMBER(E189),ISNUMBER(F189)),ROUND(E189*F189,2),"")</f>
        <v/>
      </c>
    </row>
    <row r="190" spans="1:11" ht="56" customHeight="1" x14ac:dyDescent="0.2">
      <c r="A190" s="3" t="s">
        <v>458</v>
      </c>
      <c r="B190" s="4" t="s">
        <v>459</v>
      </c>
      <c r="C190" s="4" t="s">
        <v>460</v>
      </c>
      <c r="D190" s="4" t="s">
        <v>11</v>
      </c>
      <c r="E190" s="5">
        <v>1</v>
      </c>
      <c r="F190" s="6"/>
      <c r="G190" s="7" t="str">
        <f>IF(AND(ISNUMBER(E190),ISNUMBER(F190)),ROUND(E190*F190,2),"")</f>
        <v/>
      </c>
    </row>
    <row r="191" spans="1:11" ht="74" customHeight="1" x14ac:dyDescent="0.2">
      <c r="A191" s="3" t="s">
        <v>461</v>
      </c>
      <c r="B191" s="4" t="s">
        <v>462</v>
      </c>
      <c r="C191" s="4" t="s">
        <v>463</v>
      </c>
      <c r="D191" s="4" t="s">
        <v>11</v>
      </c>
      <c r="E191" s="5">
        <v>1</v>
      </c>
      <c r="F191" s="6"/>
      <c r="G191" s="7" t="str">
        <f>IF(AND(ISNUMBER(E191),ISNUMBER(F191)),ROUND(E191*F191,2),"")</f>
        <v/>
      </c>
    </row>
    <row r="192" spans="1:11" x14ac:dyDescent="0.2">
      <c r="A192" s="17" t="s">
        <v>464</v>
      </c>
      <c r="B192" s="18"/>
      <c r="C192" s="18"/>
      <c r="D192" s="18"/>
      <c r="E192" s="19"/>
      <c r="F192" s="19"/>
      <c r="G192" s="8" t="str">
        <f>IF(COUNT(G188,G189,G190,G191)=0,"",SUM(G188,G189,G190,G191))</f>
        <v/>
      </c>
    </row>
    <row r="193" spans="1:7" x14ac:dyDescent="0.2">
      <c r="A193" s="3"/>
      <c r="B193" s="4"/>
      <c r="C193" s="4"/>
      <c r="D193" s="4"/>
      <c r="E193" s="7"/>
      <c r="F193" s="6"/>
      <c r="G193" s="7"/>
    </row>
    <row r="194" spans="1:7" x14ac:dyDescent="0.2">
      <c r="A194" s="22" t="s">
        <v>465</v>
      </c>
      <c r="B194" s="23"/>
      <c r="C194" s="23"/>
      <c r="D194" s="23"/>
      <c r="E194" s="24"/>
      <c r="F194" s="24"/>
      <c r="G194" s="24"/>
    </row>
    <row r="195" spans="1:7" ht="76" customHeight="1" x14ac:dyDescent="0.2">
      <c r="A195" s="3" t="s">
        <v>466</v>
      </c>
      <c r="B195" s="4" t="s">
        <v>467</v>
      </c>
      <c r="C195" s="4" t="s">
        <v>468</v>
      </c>
      <c r="D195" s="4" t="s">
        <v>11</v>
      </c>
      <c r="E195" s="5">
        <v>1</v>
      </c>
      <c r="F195" s="6"/>
      <c r="G195" s="7" t="str">
        <f>IF(AND(ISNUMBER(E195),ISNUMBER(F195)),ROUND(E195*F195,2),"")</f>
        <v/>
      </c>
    </row>
    <row r="196" spans="1:7" ht="59" customHeight="1" x14ac:dyDescent="0.2">
      <c r="A196" s="3" t="s">
        <v>469</v>
      </c>
      <c r="B196" s="4" t="s">
        <v>470</v>
      </c>
      <c r="C196" s="4" t="s">
        <v>471</v>
      </c>
      <c r="D196" s="4" t="s">
        <v>11</v>
      </c>
      <c r="E196" s="5">
        <v>1</v>
      </c>
      <c r="F196" s="6"/>
      <c r="G196" s="7" t="str">
        <f>IF(AND(ISNUMBER(E196),ISNUMBER(F196)),ROUND(E196*F196,2),"")</f>
        <v/>
      </c>
    </row>
    <row r="197" spans="1:7" ht="63" customHeight="1" x14ac:dyDescent="0.2">
      <c r="A197" s="3" t="s">
        <v>472</v>
      </c>
      <c r="B197" s="4" t="s">
        <v>473</v>
      </c>
      <c r="C197" s="4" t="s">
        <v>474</v>
      </c>
      <c r="D197" s="4" t="s">
        <v>11</v>
      </c>
      <c r="E197" s="5">
        <v>1</v>
      </c>
      <c r="F197" s="6"/>
      <c r="G197" s="7" t="str">
        <f>IF(AND(ISNUMBER(E197),ISNUMBER(F197)),ROUND(E197*F197,2),"")</f>
        <v/>
      </c>
    </row>
    <row r="198" spans="1:7" ht="75" customHeight="1" x14ac:dyDescent="0.2">
      <c r="A198" s="3" t="s">
        <v>475</v>
      </c>
      <c r="B198" s="4" t="s">
        <v>476</v>
      </c>
      <c r="C198" s="4" t="s">
        <v>477</v>
      </c>
      <c r="D198" s="4" t="s">
        <v>11</v>
      </c>
      <c r="E198" s="5">
        <v>1</v>
      </c>
      <c r="F198" s="6"/>
      <c r="G198" s="7" t="str">
        <f>IF(AND(ISNUMBER(E198),ISNUMBER(F198)),ROUND(E198*F198,2),"")</f>
        <v/>
      </c>
    </row>
    <row r="199" spans="1:7" ht="52" customHeight="1" x14ac:dyDescent="0.2">
      <c r="A199" s="3" t="s">
        <v>478</v>
      </c>
      <c r="B199" s="4" t="s">
        <v>479</v>
      </c>
      <c r="C199" s="4" t="s">
        <v>480</v>
      </c>
      <c r="D199" s="4" t="s">
        <v>194</v>
      </c>
      <c r="E199" s="9" t="s">
        <v>48</v>
      </c>
      <c r="F199" s="6"/>
      <c r="G199" s="7" t="str">
        <f>IF(AND(ISNUMBER(E199),ISNUMBER(F199)),ROUND(E199*F199,2),"")</f>
        <v/>
      </c>
    </row>
    <row r="200" spans="1:7" x14ac:dyDescent="0.2">
      <c r="A200" s="17" t="s">
        <v>481</v>
      </c>
      <c r="B200" s="18"/>
      <c r="C200" s="18"/>
      <c r="D200" s="18"/>
      <c r="E200" s="19"/>
      <c r="F200" s="19"/>
      <c r="G200" s="8" t="str">
        <f>IF(COUNT(G195,G196,G197,G198,G199)=0,"",SUM(G195,G196,G197,G198,G199))</f>
        <v/>
      </c>
    </row>
    <row r="201" spans="1:7" x14ac:dyDescent="0.2">
      <c r="A201" s="3"/>
      <c r="B201" s="4"/>
      <c r="C201" s="4"/>
      <c r="D201" s="4"/>
      <c r="E201" s="7"/>
      <c r="F201" s="6"/>
      <c r="G201" s="7"/>
    </row>
    <row r="202" spans="1:7" x14ac:dyDescent="0.2">
      <c r="A202" s="17" t="s">
        <v>482</v>
      </c>
      <c r="B202" s="18"/>
      <c r="C202" s="18"/>
      <c r="D202" s="18"/>
      <c r="E202" s="19"/>
      <c r="F202" s="19"/>
      <c r="G202" s="8" t="str">
        <f>IF(COUNT(F5,F6,F7,F8,F9,F10,F11,F12,F16,F17,F18,F19,F20,F21,F22,F23,F24,F25,F26,F27,F28,F29,F30,F31,F32,F33,F35,F39,F40,F41,F42,F46,F47,F48,F52,F53,F54,F55,F56,F57,F58,F59,F60,F61,F62,F63,F64,F65,F66,F67,F68,F69,F70,F71,F72,F73,F74,F75,F76,F77,F78,F79,F80,#REF!,F81,F82,F83,F84,F88,F89,F90,F91,F92,F93,F94,F95,F96,F97,F98,F99,F100,F101,F102,F106,F107,F108,F109,F110,F111,F112,F113,F114,F115,F116,F117,F118,F119,F120,F121,F122,F123,F124,F125,F129,#REF!,F130,F131,F135,F136,F137,F138,F142,F143,F144,F145,#REF!,#REF!,#REF!,#REF!,#REF!,F149,F150,F151,F152,F156,F157,F158,F159,F160,F161,#REF!,F165,F166,F167,F171,F172,F173,F177,F178,F179,F180,F181,F182,F183,#REF!,F184,F188,F189,F190,F191,F195,F196,F197,F198,F199)=0,"",SUM(G13,G36,G43,G49,G85,G103,G126,G132,G139,G146,#REF!,G153,G162,G168,G174,G185,G192,G200))</f>
        <v/>
      </c>
    </row>
    <row r="203" spans="1:7" x14ac:dyDescent="0.2">
      <c r="A203" s="20" t="s">
        <v>483</v>
      </c>
      <c r="B203" s="21"/>
      <c r="C203" s="21"/>
      <c r="D203" s="21"/>
      <c r="E203" s="11">
        <v>0.18</v>
      </c>
      <c r="F203" s="6"/>
      <c r="G203" s="7" t="str">
        <f>IF(ISNUMBER(G202),ROUND(G202*E203,2),"")</f>
        <v/>
      </c>
    </row>
    <row r="204" spans="1:7" ht="7" customHeight="1" x14ac:dyDescent="0.2">
      <c r="A204" s="17" t="s">
        <v>484</v>
      </c>
      <c r="B204" s="18"/>
      <c r="C204" s="18"/>
      <c r="D204" s="18"/>
      <c r="E204" s="19"/>
      <c r="F204" s="19"/>
      <c r="G204" s="8" t="str">
        <f>IF(ISNUMBER(G202),G202+G203,"")</f>
        <v/>
      </c>
    </row>
  </sheetData>
  <mergeCells count="40">
    <mergeCell ref="H161:I161"/>
    <mergeCell ref="A1:G1"/>
    <mergeCell ref="A4:G4"/>
    <mergeCell ref="A13:F13"/>
    <mergeCell ref="A15:G15"/>
    <mergeCell ref="A36:F36"/>
    <mergeCell ref="A132:F132"/>
    <mergeCell ref="A38:G38"/>
    <mergeCell ref="A43:F43"/>
    <mergeCell ref="A45:G45"/>
    <mergeCell ref="A49:F49"/>
    <mergeCell ref="A51:G51"/>
    <mergeCell ref="A85:F85"/>
    <mergeCell ref="A87:G87"/>
    <mergeCell ref="A103:F103"/>
    <mergeCell ref="A105:G105"/>
    <mergeCell ref="A126:F126"/>
    <mergeCell ref="A128:G128"/>
    <mergeCell ref="A174:F174"/>
    <mergeCell ref="A134:G134"/>
    <mergeCell ref="A139:F139"/>
    <mergeCell ref="A141:G141"/>
    <mergeCell ref="A146:F146"/>
    <mergeCell ref="A148:G148"/>
    <mergeCell ref="A153:F153"/>
    <mergeCell ref="A155:G155"/>
    <mergeCell ref="A162:F162"/>
    <mergeCell ref="A164:G164"/>
    <mergeCell ref="A168:F168"/>
    <mergeCell ref="A170:G170"/>
    <mergeCell ref="H184:K184"/>
    <mergeCell ref="A202:F202"/>
    <mergeCell ref="A203:D203"/>
    <mergeCell ref="A204:F204"/>
    <mergeCell ref="A176:G176"/>
    <mergeCell ref="A185:F185"/>
    <mergeCell ref="A187:G187"/>
    <mergeCell ref="A192:F192"/>
    <mergeCell ref="A194:G194"/>
    <mergeCell ref="A200:F200"/>
  </mergeCells>
  <pageMargins left="0.7" right="0.7" top="0.75" bottom="0.75" header="0.3" footer="0.3"/>
  <ignoredErrors>
    <ignoredError sqref="A5:E5 A182 A156:XFD156 A152:D152 F152:XFD152 H5:XFD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גליונות עבודה</vt:lpstr>
      </vt:variant>
      <vt:variant>
        <vt:i4>1</vt:i4>
      </vt:variant>
    </vt:vector>
  </HeadingPairs>
  <TitlesOfParts>
    <vt:vector size="1" baseType="lpstr">
      <vt:lpstr>כתב כמויות שלונסקי 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shairoz04@outlook.com</dc:creator>
  <cp:lastModifiedBy>shairoz04@outlook.com</cp:lastModifiedBy>
  <dcterms:created xsi:type="dcterms:W3CDTF">2026-10-07T13:23:11Z</dcterms:created>
  <dcterms:modified xsi:type="dcterms:W3CDTF">2026-10-08T14:20:06Z</dcterms:modified>
</cp:coreProperties>
</file>